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hassen\finance\docs\"/>
    </mc:Choice>
  </mc:AlternateContent>
  <xr:revisionPtr revIDLastSave="0" documentId="8_{0B7065BD-157A-4A8F-97C0-90B001EB02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uide" sheetId="1" r:id="rId1"/>
    <sheet name="Synthèse" sheetId="2" r:id="rId2"/>
    <sheet name="Budget" sheetId="3" r:id="rId3"/>
    <sheet name="Crédits" sheetId="4" r:id="rId4"/>
    <sheet name="Suivi réel" sheetId="5" r:id="rId5"/>
    <sheet name="Plan" sheetId="6" r:id="rId6"/>
    <sheet name="Calc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7" l="1"/>
  <c r="AV3" i="7" s="1"/>
  <c r="AP3" i="7"/>
  <c r="AQ3" i="7" s="1"/>
  <c r="AR3" i="7" s="1"/>
  <c r="AO3" i="7"/>
  <c r="AN3" i="7"/>
  <c r="AO4" i="7" s="1"/>
  <c r="AN4" i="7" s="1"/>
  <c r="AO5" i="7" s="1"/>
  <c r="AH3" i="7"/>
  <c r="AI3" i="7" s="1"/>
  <c r="AG3" i="7"/>
  <c r="AF3" i="7" s="1"/>
  <c r="AG4" i="7" s="1"/>
  <c r="Z3" i="7"/>
  <c r="Y3" i="7"/>
  <c r="X3" i="7"/>
  <c r="Y4" i="7" s="1"/>
  <c r="R3" i="7"/>
  <c r="S3" i="7" s="1"/>
  <c r="Q3" i="7"/>
  <c r="J3" i="7"/>
  <c r="K3" i="7" s="1"/>
  <c r="I3" i="7"/>
  <c r="H3" i="7" s="1"/>
  <c r="B3" i="7"/>
  <c r="AP1" i="7"/>
  <c r="AH1" i="7"/>
  <c r="Z1" i="7"/>
  <c r="R1" i="7"/>
  <c r="J1" i="7"/>
  <c r="B1" i="7"/>
  <c r="AB304" i="6"/>
  <c r="AA304" i="6"/>
  <c r="B304" i="6"/>
  <c r="G304" i="6" s="1"/>
  <c r="AB303" i="6"/>
  <c r="AA303" i="6"/>
  <c r="B303" i="6"/>
  <c r="G303" i="6" s="1"/>
  <c r="AB302" i="6"/>
  <c r="AA302" i="6"/>
  <c r="B302" i="6"/>
  <c r="G302" i="6" s="1"/>
  <c r="AB301" i="6"/>
  <c r="AA301" i="6"/>
  <c r="B301" i="6"/>
  <c r="G301" i="6" s="1"/>
  <c r="AB300" i="6"/>
  <c r="AA300" i="6"/>
  <c r="B300" i="6"/>
  <c r="G300" i="6" s="1"/>
  <c r="AB299" i="6"/>
  <c r="AA299" i="6"/>
  <c r="B299" i="6"/>
  <c r="G299" i="6" s="1"/>
  <c r="AB298" i="6"/>
  <c r="AA298" i="6"/>
  <c r="B298" i="6"/>
  <c r="G298" i="6" s="1"/>
  <c r="AB297" i="6"/>
  <c r="AA297" i="6"/>
  <c r="B297" i="6"/>
  <c r="G297" i="6" s="1"/>
  <c r="AB296" i="6"/>
  <c r="AA296" i="6"/>
  <c r="B296" i="6"/>
  <c r="G296" i="6" s="1"/>
  <c r="AB295" i="6"/>
  <c r="AA295" i="6"/>
  <c r="B295" i="6"/>
  <c r="G295" i="6" s="1"/>
  <c r="AB294" i="6"/>
  <c r="AA294" i="6"/>
  <c r="B294" i="6"/>
  <c r="G294" i="6" s="1"/>
  <c r="AB293" i="6"/>
  <c r="AA293" i="6"/>
  <c r="B293" i="6"/>
  <c r="G293" i="6" s="1"/>
  <c r="AB292" i="6"/>
  <c r="AA292" i="6"/>
  <c r="B292" i="6"/>
  <c r="G292" i="6" s="1"/>
  <c r="AB291" i="6"/>
  <c r="AA291" i="6"/>
  <c r="B291" i="6"/>
  <c r="G291" i="6" s="1"/>
  <c r="AB290" i="6"/>
  <c r="AA290" i="6"/>
  <c r="B290" i="6"/>
  <c r="G290" i="6" s="1"/>
  <c r="AB289" i="6"/>
  <c r="AA289" i="6"/>
  <c r="B289" i="6"/>
  <c r="G289" i="6" s="1"/>
  <c r="AB288" i="6"/>
  <c r="AA288" i="6"/>
  <c r="B288" i="6"/>
  <c r="G288" i="6" s="1"/>
  <c r="AB287" i="6"/>
  <c r="AA287" i="6"/>
  <c r="B287" i="6"/>
  <c r="G287" i="6" s="1"/>
  <c r="AB286" i="6"/>
  <c r="AA286" i="6"/>
  <c r="B286" i="6"/>
  <c r="G286" i="6" s="1"/>
  <c r="AB285" i="6"/>
  <c r="AA285" i="6"/>
  <c r="B285" i="6"/>
  <c r="G285" i="6" s="1"/>
  <c r="AB284" i="6"/>
  <c r="AA284" i="6"/>
  <c r="B284" i="6"/>
  <c r="G284" i="6" s="1"/>
  <c r="AB283" i="6"/>
  <c r="AA283" i="6"/>
  <c r="B283" i="6"/>
  <c r="G283" i="6" s="1"/>
  <c r="AB282" i="6"/>
  <c r="AA282" i="6"/>
  <c r="B282" i="6"/>
  <c r="G282" i="6" s="1"/>
  <c r="AB281" i="6"/>
  <c r="AA281" i="6"/>
  <c r="B281" i="6"/>
  <c r="G281" i="6" s="1"/>
  <c r="AB280" i="6"/>
  <c r="AA280" i="6"/>
  <c r="B280" i="6"/>
  <c r="G280" i="6" s="1"/>
  <c r="AB279" i="6"/>
  <c r="AA279" i="6"/>
  <c r="B279" i="6"/>
  <c r="G279" i="6" s="1"/>
  <c r="AB278" i="6"/>
  <c r="AA278" i="6"/>
  <c r="B278" i="6"/>
  <c r="G278" i="6" s="1"/>
  <c r="AB277" i="6"/>
  <c r="AA277" i="6"/>
  <c r="B277" i="6"/>
  <c r="G277" i="6" s="1"/>
  <c r="AB276" i="6"/>
  <c r="AA276" i="6"/>
  <c r="B276" i="6"/>
  <c r="G276" i="6" s="1"/>
  <c r="AB275" i="6"/>
  <c r="AA275" i="6"/>
  <c r="B275" i="6"/>
  <c r="G275" i="6" s="1"/>
  <c r="AB274" i="6"/>
  <c r="AA274" i="6"/>
  <c r="B274" i="6"/>
  <c r="G274" i="6" s="1"/>
  <c r="AB273" i="6"/>
  <c r="AA273" i="6"/>
  <c r="B273" i="6"/>
  <c r="G273" i="6" s="1"/>
  <c r="AB272" i="6"/>
  <c r="AA272" i="6"/>
  <c r="B272" i="6"/>
  <c r="G272" i="6" s="1"/>
  <c r="AB271" i="6"/>
  <c r="AA271" i="6"/>
  <c r="B271" i="6"/>
  <c r="G271" i="6" s="1"/>
  <c r="AB270" i="6"/>
  <c r="AA270" i="6"/>
  <c r="B270" i="6"/>
  <c r="G270" i="6" s="1"/>
  <c r="AB269" i="6"/>
  <c r="AA269" i="6"/>
  <c r="B269" i="6"/>
  <c r="G269" i="6" s="1"/>
  <c r="AB268" i="6"/>
  <c r="AA268" i="6"/>
  <c r="B268" i="6"/>
  <c r="G268" i="6" s="1"/>
  <c r="AB267" i="6"/>
  <c r="AA267" i="6"/>
  <c r="B267" i="6"/>
  <c r="G267" i="6" s="1"/>
  <c r="AB266" i="6"/>
  <c r="AA266" i="6"/>
  <c r="B266" i="6"/>
  <c r="G266" i="6" s="1"/>
  <c r="AB265" i="6"/>
  <c r="AA265" i="6"/>
  <c r="B265" i="6"/>
  <c r="G265" i="6" s="1"/>
  <c r="AB264" i="6"/>
  <c r="AA264" i="6"/>
  <c r="B264" i="6"/>
  <c r="G264" i="6" s="1"/>
  <c r="AB263" i="6"/>
  <c r="AA263" i="6"/>
  <c r="B263" i="6"/>
  <c r="G263" i="6" s="1"/>
  <c r="AB262" i="6"/>
  <c r="AA262" i="6"/>
  <c r="B262" i="6"/>
  <c r="G262" i="6" s="1"/>
  <c r="AB261" i="6"/>
  <c r="AA261" i="6"/>
  <c r="B261" i="6"/>
  <c r="G261" i="6" s="1"/>
  <c r="AB260" i="6"/>
  <c r="AA260" i="6"/>
  <c r="B260" i="6"/>
  <c r="G260" i="6" s="1"/>
  <c r="AB259" i="6"/>
  <c r="AA259" i="6"/>
  <c r="B259" i="6"/>
  <c r="G259" i="6" s="1"/>
  <c r="AB258" i="6"/>
  <c r="AA258" i="6"/>
  <c r="B258" i="6"/>
  <c r="G258" i="6" s="1"/>
  <c r="AB257" i="6"/>
  <c r="AA257" i="6"/>
  <c r="B257" i="6"/>
  <c r="G257" i="6" s="1"/>
  <c r="AB256" i="6"/>
  <c r="AA256" i="6"/>
  <c r="B256" i="6"/>
  <c r="G256" i="6" s="1"/>
  <c r="AB255" i="6"/>
  <c r="AA255" i="6"/>
  <c r="B255" i="6"/>
  <c r="G255" i="6" s="1"/>
  <c r="AB254" i="6"/>
  <c r="AA254" i="6"/>
  <c r="B254" i="6"/>
  <c r="G254" i="6" s="1"/>
  <c r="AB253" i="6"/>
  <c r="AA253" i="6"/>
  <c r="B253" i="6"/>
  <c r="G253" i="6" s="1"/>
  <c r="AB252" i="6"/>
  <c r="AA252" i="6"/>
  <c r="B252" i="6"/>
  <c r="G252" i="6" s="1"/>
  <c r="AB251" i="6"/>
  <c r="AA251" i="6"/>
  <c r="B251" i="6"/>
  <c r="G251" i="6" s="1"/>
  <c r="AB250" i="6"/>
  <c r="AA250" i="6"/>
  <c r="B250" i="6"/>
  <c r="G250" i="6" s="1"/>
  <c r="AB249" i="6"/>
  <c r="AA249" i="6"/>
  <c r="B249" i="6"/>
  <c r="G249" i="6" s="1"/>
  <c r="AB248" i="6"/>
  <c r="AA248" i="6"/>
  <c r="B248" i="6"/>
  <c r="G248" i="6" s="1"/>
  <c r="AB247" i="6"/>
  <c r="AA247" i="6"/>
  <c r="B247" i="6"/>
  <c r="G247" i="6" s="1"/>
  <c r="AB246" i="6"/>
  <c r="AA246" i="6"/>
  <c r="B246" i="6"/>
  <c r="G246" i="6" s="1"/>
  <c r="AB245" i="6"/>
  <c r="AA245" i="6"/>
  <c r="B245" i="6"/>
  <c r="G245" i="6" s="1"/>
  <c r="AB244" i="6"/>
  <c r="AA244" i="6"/>
  <c r="B244" i="6"/>
  <c r="G244" i="6" s="1"/>
  <c r="AB243" i="6"/>
  <c r="AA243" i="6"/>
  <c r="B243" i="6"/>
  <c r="G243" i="6" s="1"/>
  <c r="AB242" i="6"/>
  <c r="AA242" i="6"/>
  <c r="B242" i="6"/>
  <c r="G242" i="6" s="1"/>
  <c r="AB241" i="6"/>
  <c r="AA241" i="6"/>
  <c r="B241" i="6"/>
  <c r="G241" i="6" s="1"/>
  <c r="AB240" i="6"/>
  <c r="AA240" i="6"/>
  <c r="B240" i="6"/>
  <c r="G240" i="6" s="1"/>
  <c r="AB239" i="6"/>
  <c r="AA239" i="6"/>
  <c r="B239" i="6"/>
  <c r="G239" i="6" s="1"/>
  <c r="AB238" i="6"/>
  <c r="AA238" i="6"/>
  <c r="B238" i="6"/>
  <c r="G238" i="6" s="1"/>
  <c r="AB237" i="6"/>
  <c r="AA237" i="6"/>
  <c r="B237" i="6"/>
  <c r="G237" i="6" s="1"/>
  <c r="AB236" i="6"/>
  <c r="AA236" i="6"/>
  <c r="B236" i="6"/>
  <c r="G236" i="6" s="1"/>
  <c r="AB235" i="6"/>
  <c r="AA235" i="6"/>
  <c r="B235" i="6"/>
  <c r="G235" i="6" s="1"/>
  <c r="AB234" i="6"/>
  <c r="AA234" i="6"/>
  <c r="B234" i="6"/>
  <c r="G234" i="6" s="1"/>
  <c r="AB233" i="6"/>
  <c r="AA233" i="6"/>
  <c r="B233" i="6"/>
  <c r="G233" i="6" s="1"/>
  <c r="AB232" i="6"/>
  <c r="AA232" i="6"/>
  <c r="B232" i="6"/>
  <c r="G232" i="6" s="1"/>
  <c r="AB231" i="6"/>
  <c r="AA231" i="6"/>
  <c r="B231" i="6"/>
  <c r="G231" i="6" s="1"/>
  <c r="AB230" i="6"/>
  <c r="AA230" i="6"/>
  <c r="B230" i="6"/>
  <c r="G230" i="6" s="1"/>
  <c r="AB229" i="6"/>
  <c r="AA229" i="6"/>
  <c r="B229" i="6"/>
  <c r="G229" i="6" s="1"/>
  <c r="AB228" i="6"/>
  <c r="AA228" i="6"/>
  <c r="B228" i="6"/>
  <c r="G228" i="6" s="1"/>
  <c r="AB227" i="6"/>
  <c r="AA227" i="6"/>
  <c r="B227" i="6"/>
  <c r="G227" i="6" s="1"/>
  <c r="AB226" i="6"/>
  <c r="AA226" i="6"/>
  <c r="B226" i="6"/>
  <c r="G226" i="6" s="1"/>
  <c r="AB225" i="6"/>
  <c r="AA225" i="6"/>
  <c r="B225" i="6"/>
  <c r="G225" i="6" s="1"/>
  <c r="AB224" i="6"/>
  <c r="AA224" i="6"/>
  <c r="B224" i="6"/>
  <c r="G224" i="6" s="1"/>
  <c r="AB223" i="6"/>
  <c r="AA223" i="6"/>
  <c r="B223" i="6"/>
  <c r="G223" i="6" s="1"/>
  <c r="AB222" i="6"/>
  <c r="AA222" i="6"/>
  <c r="B222" i="6"/>
  <c r="G222" i="6" s="1"/>
  <c r="AB221" i="6"/>
  <c r="AA221" i="6"/>
  <c r="B221" i="6"/>
  <c r="G221" i="6" s="1"/>
  <c r="AB220" i="6"/>
  <c r="AA220" i="6"/>
  <c r="B220" i="6"/>
  <c r="G220" i="6" s="1"/>
  <c r="AB219" i="6"/>
  <c r="AA219" i="6"/>
  <c r="B219" i="6"/>
  <c r="G219" i="6" s="1"/>
  <c r="AB218" i="6"/>
  <c r="AA218" i="6"/>
  <c r="B218" i="6"/>
  <c r="G218" i="6" s="1"/>
  <c r="AB217" i="6"/>
  <c r="AA217" i="6"/>
  <c r="B217" i="6"/>
  <c r="G217" i="6" s="1"/>
  <c r="AB216" i="6"/>
  <c r="AA216" i="6"/>
  <c r="B216" i="6"/>
  <c r="G216" i="6" s="1"/>
  <c r="AB215" i="6"/>
  <c r="AA215" i="6"/>
  <c r="B215" i="6"/>
  <c r="G215" i="6" s="1"/>
  <c r="AB214" i="6"/>
  <c r="AA214" i="6"/>
  <c r="B214" i="6"/>
  <c r="G214" i="6" s="1"/>
  <c r="AB213" i="6"/>
  <c r="AA213" i="6"/>
  <c r="B213" i="6"/>
  <c r="G213" i="6" s="1"/>
  <c r="AB212" i="6"/>
  <c r="AA212" i="6"/>
  <c r="B212" i="6"/>
  <c r="G212" i="6" s="1"/>
  <c r="AB211" i="6"/>
  <c r="AA211" i="6"/>
  <c r="B211" i="6"/>
  <c r="G211" i="6" s="1"/>
  <c r="AB210" i="6"/>
  <c r="AA210" i="6"/>
  <c r="B210" i="6"/>
  <c r="G210" i="6" s="1"/>
  <c r="AB209" i="6"/>
  <c r="AA209" i="6"/>
  <c r="B209" i="6"/>
  <c r="G209" i="6" s="1"/>
  <c r="AB208" i="6"/>
  <c r="AA208" i="6"/>
  <c r="B208" i="6"/>
  <c r="G208" i="6" s="1"/>
  <c r="AB207" i="6"/>
  <c r="AA207" i="6"/>
  <c r="B207" i="6"/>
  <c r="G207" i="6" s="1"/>
  <c r="AB206" i="6"/>
  <c r="AA206" i="6"/>
  <c r="B206" i="6"/>
  <c r="G206" i="6" s="1"/>
  <c r="AB205" i="6"/>
  <c r="AA205" i="6"/>
  <c r="B205" i="6"/>
  <c r="G205" i="6" s="1"/>
  <c r="AB204" i="6"/>
  <c r="AA204" i="6"/>
  <c r="B204" i="6"/>
  <c r="G204" i="6" s="1"/>
  <c r="AB203" i="6"/>
  <c r="AA203" i="6"/>
  <c r="B203" i="6"/>
  <c r="G203" i="6" s="1"/>
  <c r="AB202" i="6"/>
  <c r="AA202" i="6"/>
  <c r="B202" i="6"/>
  <c r="G202" i="6" s="1"/>
  <c r="AB201" i="6"/>
  <c r="AA201" i="6"/>
  <c r="B201" i="6"/>
  <c r="G201" i="6" s="1"/>
  <c r="AB200" i="6"/>
  <c r="AA200" i="6"/>
  <c r="B200" i="6"/>
  <c r="G200" i="6" s="1"/>
  <c r="AB199" i="6"/>
  <c r="AA199" i="6"/>
  <c r="B199" i="6"/>
  <c r="G199" i="6" s="1"/>
  <c r="AB198" i="6"/>
  <c r="AA198" i="6"/>
  <c r="B198" i="6"/>
  <c r="G198" i="6" s="1"/>
  <c r="AB197" i="6"/>
  <c r="AA197" i="6"/>
  <c r="B197" i="6"/>
  <c r="G197" i="6" s="1"/>
  <c r="AB196" i="6"/>
  <c r="AA196" i="6"/>
  <c r="B196" i="6"/>
  <c r="G196" i="6" s="1"/>
  <c r="AB195" i="6"/>
  <c r="AA195" i="6"/>
  <c r="B195" i="6"/>
  <c r="G195" i="6" s="1"/>
  <c r="AB194" i="6"/>
  <c r="AA194" i="6"/>
  <c r="B194" i="6"/>
  <c r="G194" i="6" s="1"/>
  <c r="AB193" i="6"/>
  <c r="AA193" i="6"/>
  <c r="B193" i="6"/>
  <c r="G193" i="6" s="1"/>
  <c r="AB192" i="6"/>
  <c r="AA192" i="6"/>
  <c r="B192" i="6"/>
  <c r="G192" i="6" s="1"/>
  <c r="AB191" i="6"/>
  <c r="AA191" i="6"/>
  <c r="B191" i="6"/>
  <c r="G191" i="6" s="1"/>
  <c r="AB190" i="6"/>
  <c r="AA190" i="6"/>
  <c r="B190" i="6"/>
  <c r="G190" i="6" s="1"/>
  <c r="AB189" i="6"/>
  <c r="AA189" i="6"/>
  <c r="B189" i="6"/>
  <c r="G189" i="6" s="1"/>
  <c r="AB188" i="6"/>
  <c r="AA188" i="6"/>
  <c r="B188" i="6"/>
  <c r="G188" i="6" s="1"/>
  <c r="AB187" i="6"/>
  <c r="AA187" i="6"/>
  <c r="B187" i="6"/>
  <c r="G187" i="6" s="1"/>
  <c r="AB186" i="6"/>
  <c r="AA186" i="6"/>
  <c r="B186" i="6"/>
  <c r="G186" i="6" s="1"/>
  <c r="AB185" i="6"/>
  <c r="AA185" i="6"/>
  <c r="B185" i="6"/>
  <c r="G185" i="6" s="1"/>
  <c r="AB184" i="6"/>
  <c r="AA184" i="6"/>
  <c r="B184" i="6"/>
  <c r="G184" i="6" s="1"/>
  <c r="AB183" i="6"/>
  <c r="AA183" i="6"/>
  <c r="B183" i="6"/>
  <c r="G183" i="6" s="1"/>
  <c r="AB182" i="6"/>
  <c r="AA182" i="6"/>
  <c r="B182" i="6"/>
  <c r="G182" i="6" s="1"/>
  <c r="AB181" i="6"/>
  <c r="AA181" i="6"/>
  <c r="B181" i="6"/>
  <c r="G181" i="6" s="1"/>
  <c r="AB180" i="6"/>
  <c r="AA180" i="6"/>
  <c r="B180" i="6"/>
  <c r="G180" i="6" s="1"/>
  <c r="AB179" i="6"/>
  <c r="AA179" i="6"/>
  <c r="B179" i="6"/>
  <c r="G179" i="6" s="1"/>
  <c r="AB178" i="6"/>
  <c r="AA178" i="6"/>
  <c r="B178" i="6"/>
  <c r="G178" i="6" s="1"/>
  <c r="AB177" i="6"/>
  <c r="AA177" i="6"/>
  <c r="B177" i="6"/>
  <c r="G177" i="6" s="1"/>
  <c r="AB176" i="6"/>
  <c r="AA176" i="6"/>
  <c r="B176" i="6"/>
  <c r="G176" i="6" s="1"/>
  <c r="AB175" i="6"/>
  <c r="AA175" i="6"/>
  <c r="B175" i="6"/>
  <c r="G175" i="6" s="1"/>
  <c r="AB174" i="6"/>
  <c r="AA174" i="6"/>
  <c r="B174" i="6"/>
  <c r="G174" i="6" s="1"/>
  <c r="AB173" i="6"/>
  <c r="AA173" i="6"/>
  <c r="B173" i="6"/>
  <c r="G173" i="6" s="1"/>
  <c r="AB172" i="6"/>
  <c r="AA172" i="6"/>
  <c r="B172" i="6"/>
  <c r="G172" i="6" s="1"/>
  <c r="AB171" i="6"/>
  <c r="AA171" i="6"/>
  <c r="B171" i="6"/>
  <c r="G171" i="6" s="1"/>
  <c r="AB170" i="6"/>
  <c r="AA170" i="6"/>
  <c r="B170" i="6"/>
  <c r="G170" i="6" s="1"/>
  <c r="AB169" i="6"/>
  <c r="AA169" i="6"/>
  <c r="B169" i="6"/>
  <c r="G169" i="6" s="1"/>
  <c r="AB168" i="6"/>
  <c r="AA168" i="6"/>
  <c r="B168" i="6"/>
  <c r="G168" i="6" s="1"/>
  <c r="AB167" i="6"/>
  <c r="AA167" i="6"/>
  <c r="B167" i="6"/>
  <c r="G167" i="6" s="1"/>
  <c r="AB166" i="6"/>
  <c r="AA166" i="6"/>
  <c r="B166" i="6"/>
  <c r="G166" i="6" s="1"/>
  <c r="AB165" i="6"/>
  <c r="AA165" i="6"/>
  <c r="B165" i="6"/>
  <c r="G165" i="6" s="1"/>
  <c r="AB164" i="6"/>
  <c r="AA164" i="6"/>
  <c r="B164" i="6"/>
  <c r="G164" i="6" s="1"/>
  <c r="AB163" i="6"/>
  <c r="AA163" i="6"/>
  <c r="B163" i="6"/>
  <c r="G163" i="6" s="1"/>
  <c r="AB162" i="6"/>
  <c r="AA162" i="6"/>
  <c r="B162" i="6"/>
  <c r="G162" i="6" s="1"/>
  <c r="AB161" i="6"/>
  <c r="AA161" i="6"/>
  <c r="B161" i="6"/>
  <c r="G161" i="6" s="1"/>
  <c r="AB160" i="6"/>
  <c r="AA160" i="6"/>
  <c r="G160" i="6"/>
  <c r="B160" i="6"/>
  <c r="AB159" i="6"/>
  <c r="AA159" i="6"/>
  <c r="B159" i="6"/>
  <c r="G159" i="6" s="1"/>
  <c r="AB158" i="6"/>
  <c r="AA158" i="6"/>
  <c r="B158" i="6"/>
  <c r="G158" i="6" s="1"/>
  <c r="AB157" i="6"/>
  <c r="AA157" i="6"/>
  <c r="B157" i="6"/>
  <c r="G157" i="6" s="1"/>
  <c r="AB156" i="6"/>
  <c r="AA156" i="6"/>
  <c r="B156" i="6"/>
  <c r="G156" i="6" s="1"/>
  <c r="AB155" i="6"/>
  <c r="AA155" i="6"/>
  <c r="B155" i="6"/>
  <c r="G155" i="6" s="1"/>
  <c r="AB154" i="6"/>
  <c r="AA154" i="6"/>
  <c r="B154" i="6"/>
  <c r="G154" i="6" s="1"/>
  <c r="AB153" i="6"/>
  <c r="AA153" i="6"/>
  <c r="B153" i="6"/>
  <c r="G153" i="6" s="1"/>
  <c r="AB152" i="6"/>
  <c r="AA152" i="6"/>
  <c r="B152" i="6"/>
  <c r="G152" i="6" s="1"/>
  <c r="AB151" i="6"/>
  <c r="AA151" i="6"/>
  <c r="B151" i="6"/>
  <c r="G151" i="6" s="1"/>
  <c r="AB150" i="6"/>
  <c r="AA150" i="6"/>
  <c r="B150" i="6"/>
  <c r="G150" i="6" s="1"/>
  <c r="AB149" i="6"/>
  <c r="AA149" i="6"/>
  <c r="B149" i="6"/>
  <c r="G149" i="6" s="1"/>
  <c r="AB148" i="6"/>
  <c r="AA148" i="6"/>
  <c r="B148" i="6"/>
  <c r="G148" i="6" s="1"/>
  <c r="AB147" i="6"/>
  <c r="AA147" i="6"/>
  <c r="B147" i="6"/>
  <c r="G147" i="6" s="1"/>
  <c r="AB146" i="6"/>
  <c r="AA146" i="6"/>
  <c r="B146" i="6"/>
  <c r="G146" i="6" s="1"/>
  <c r="AB145" i="6"/>
  <c r="AA145" i="6"/>
  <c r="B145" i="6"/>
  <c r="G145" i="6" s="1"/>
  <c r="AB144" i="6"/>
  <c r="AA144" i="6"/>
  <c r="B144" i="6"/>
  <c r="G144" i="6" s="1"/>
  <c r="AB143" i="6"/>
  <c r="AA143" i="6"/>
  <c r="B143" i="6"/>
  <c r="G143" i="6" s="1"/>
  <c r="AB142" i="6"/>
  <c r="AA142" i="6"/>
  <c r="B142" i="6"/>
  <c r="G142" i="6" s="1"/>
  <c r="AB141" i="6"/>
  <c r="AA141" i="6"/>
  <c r="B141" i="6"/>
  <c r="G141" i="6" s="1"/>
  <c r="AB140" i="6"/>
  <c r="AA140" i="6"/>
  <c r="B140" i="6"/>
  <c r="G140" i="6" s="1"/>
  <c r="AB139" i="6"/>
  <c r="AA139" i="6"/>
  <c r="B139" i="6"/>
  <c r="G139" i="6" s="1"/>
  <c r="AB138" i="6"/>
  <c r="AA138" i="6"/>
  <c r="B138" i="6"/>
  <c r="G138" i="6" s="1"/>
  <c r="AB137" i="6"/>
  <c r="AA137" i="6"/>
  <c r="B137" i="6"/>
  <c r="G137" i="6" s="1"/>
  <c r="AB136" i="6"/>
  <c r="AA136" i="6"/>
  <c r="B136" i="6"/>
  <c r="G136" i="6" s="1"/>
  <c r="AB135" i="6"/>
  <c r="AA135" i="6"/>
  <c r="B135" i="6"/>
  <c r="G135" i="6" s="1"/>
  <c r="AB134" i="6"/>
  <c r="AA134" i="6"/>
  <c r="B134" i="6"/>
  <c r="G134" i="6" s="1"/>
  <c r="AB133" i="6"/>
  <c r="AA133" i="6"/>
  <c r="B133" i="6"/>
  <c r="G133" i="6" s="1"/>
  <c r="AB132" i="6"/>
  <c r="AA132" i="6"/>
  <c r="B132" i="6"/>
  <c r="G132" i="6" s="1"/>
  <c r="AB131" i="6"/>
  <c r="AA131" i="6"/>
  <c r="B131" i="6"/>
  <c r="G131" i="6" s="1"/>
  <c r="AB130" i="6"/>
  <c r="AA130" i="6"/>
  <c r="B130" i="6"/>
  <c r="G130" i="6" s="1"/>
  <c r="AB129" i="6"/>
  <c r="AA129" i="6"/>
  <c r="B129" i="6"/>
  <c r="G129" i="6" s="1"/>
  <c r="AB128" i="6"/>
  <c r="AA128" i="6"/>
  <c r="B128" i="6"/>
  <c r="G128" i="6" s="1"/>
  <c r="AB127" i="6"/>
  <c r="AA127" i="6"/>
  <c r="B127" i="6"/>
  <c r="G127" i="6" s="1"/>
  <c r="AB126" i="6"/>
  <c r="AA126" i="6"/>
  <c r="B126" i="6"/>
  <c r="G126" i="6" s="1"/>
  <c r="AB125" i="6"/>
  <c r="AA125" i="6"/>
  <c r="B125" i="6"/>
  <c r="G125" i="6" s="1"/>
  <c r="AB124" i="6"/>
  <c r="AA124" i="6"/>
  <c r="B124" i="6"/>
  <c r="G124" i="6" s="1"/>
  <c r="AB123" i="6"/>
  <c r="AA123" i="6"/>
  <c r="B123" i="6"/>
  <c r="G123" i="6" s="1"/>
  <c r="AB122" i="6"/>
  <c r="AA122" i="6"/>
  <c r="B122" i="6"/>
  <c r="G122" i="6" s="1"/>
  <c r="AB121" i="6"/>
  <c r="AA121" i="6"/>
  <c r="B121" i="6"/>
  <c r="G121" i="6" s="1"/>
  <c r="AB120" i="6"/>
  <c r="AA120" i="6"/>
  <c r="B120" i="6"/>
  <c r="G120" i="6" s="1"/>
  <c r="AB119" i="6"/>
  <c r="AA119" i="6"/>
  <c r="B119" i="6"/>
  <c r="G119" i="6" s="1"/>
  <c r="AB118" i="6"/>
  <c r="AA118" i="6"/>
  <c r="B118" i="6"/>
  <c r="G118" i="6" s="1"/>
  <c r="AB117" i="6"/>
  <c r="AA117" i="6"/>
  <c r="B117" i="6"/>
  <c r="G117" i="6" s="1"/>
  <c r="AB116" i="6"/>
  <c r="AA116" i="6"/>
  <c r="B116" i="6"/>
  <c r="G116" i="6" s="1"/>
  <c r="AB115" i="6"/>
  <c r="AA115" i="6"/>
  <c r="B115" i="6"/>
  <c r="G115" i="6" s="1"/>
  <c r="AB114" i="6"/>
  <c r="AA114" i="6"/>
  <c r="B114" i="6"/>
  <c r="G114" i="6" s="1"/>
  <c r="AB113" i="6"/>
  <c r="AA113" i="6"/>
  <c r="B113" i="6"/>
  <c r="G113" i="6" s="1"/>
  <c r="AB112" i="6"/>
  <c r="AA112" i="6"/>
  <c r="B112" i="6"/>
  <c r="G112" i="6" s="1"/>
  <c r="AB111" i="6"/>
  <c r="AA111" i="6"/>
  <c r="B111" i="6"/>
  <c r="G111" i="6" s="1"/>
  <c r="AB110" i="6"/>
  <c r="AA110" i="6"/>
  <c r="B110" i="6"/>
  <c r="G110" i="6" s="1"/>
  <c r="AB109" i="6"/>
  <c r="AA109" i="6"/>
  <c r="B109" i="6"/>
  <c r="G109" i="6" s="1"/>
  <c r="AB108" i="6"/>
  <c r="AA108" i="6"/>
  <c r="B108" i="6"/>
  <c r="G108" i="6" s="1"/>
  <c r="AB107" i="6"/>
  <c r="AA107" i="6"/>
  <c r="B107" i="6"/>
  <c r="G107" i="6" s="1"/>
  <c r="AB106" i="6"/>
  <c r="AA106" i="6"/>
  <c r="B106" i="6"/>
  <c r="G106" i="6" s="1"/>
  <c r="AB105" i="6"/>
  <c r="AA105" i="6"/>
  <c r="B105" i="6"/>
  <c r="G105" i="6" s="1"/>
  <c r="AB104" i="6"/>
  <c r="AA104" i="6"/>
  <c r="B104" i="6"/>
  <c r="G104" i="6" s="1"/>
  <c r="AB103" i="6"/>
  <c r="AA103" i="6"/>
  <c r="B103" i="6"/>
  <c r="G103" i="6" s="1"/>
  <c r="AB102" i="6"/>
  <c r="AA102" i="6"/>
  <c r="B102" i="6"/>
  <c r="G102" i="6" s="1"/>
  <c r="AB101" i="6"/>
  <c r="AA101" i="6"/>
  <c r="B101" i="6"/>
  <c r="G101" i="6" s="1"/>
  <c r="AB100" i="6"/>
  <c r="AA100" i="6"/>
  <c r="B100" i="6"/>
  <c r="G100" i="6" s="1"/>
  <c r="AB99" i="6"/>
  <c r="AA99" i="6"/>
  <c r="B99" i="6"/>
  <c r="G99" i="6" s="1"/>
  <c r="AB98" i="6"/>
  <c r="AA98" i="6"/>
  <c r="B98" i="6"/>
  <c r="G98" i="6" s="1"/>
  <c r="AB97" i="6"/>
  <c r="AA97" i="6"/>
  <c r="B97" i="6"/>
  <c r="G97" i="6" s="1"/>
  <c r="AB96" i="6"/>
  <c r="AA96" i="6"/>
  <c r="B96" i="6"/>
  <c r="G96" i="6" s="1"/>
  <c r="AB95" i="6"/>
  <c r="AA95" i="6"/>
  <c r="B95" i="6"/>
  <c r="G95" i="6" s="1"/>
  <c r="AB94" i="6"/>
  <c r="AA94" i="6"/>
  <c r="B94" i="6"/>
  <c r="G94" i="6" s="1"/>
  <c r="AB93" i="6"/>
  <c r="AA93" i="6"/>
  <c r="B93" i="6"/>
  <c r="G93" i="6" s="1"/>
  <c r="AB92" i="6"/>
  <c r="AA92" i="6"/>
  <c r="B92" i="6"/>
  <c r="G92" i="6" s="1"/>
  <c r="AB91" i="6"/>
  <c r="AA91" i="6"/>
  <c r="B91" i="6"/>
  <c r="G91" i="6" s="1"/>
  <c r="AB90" i="6"/>
  <c r="AA90" i="6"/>
  <c r="B90" i="6"/>
  <c r="G90" i="6" s="1"/>
  <c r="AB89" i="6"/>
  <c r="AA89" i="6"/>
  <c r="B89" i="6"/>
  <c r="G89" i="6" s="1"/>
  <c r="AB88" i="6"/>
  <c r="AA88" i="6"/>
  <c r="B88" i="6"/>
  <c r="G88" i="6" s="1"/>
  <c r="AB87" i="6"/>
  <c r="AA87" i="6"/>
  <c r="B87" i="6"/>
  <c r="G87" i="6" s="1"/>
  <c r="AB86" i="6"/>
  <c r="AA86" i="6"/>
  <c r="B86" i="6"/>
  <c r="G86" i="6" s="1"/>
  <c r="AB85" i="6"/>
  <c r="AA85" i="6"/>
  <c r="B85" i="6"/>
  <c r="G85" i="6" s="1"/>
  <c r="AB84" i="6"/>
  <c r="AA84" i="6"/>
  <c r="B84" i="6"/>
  <c r="G84" i="6" s="1"/>
  <c r="AB83" i="6"/>
  <c r="AA83" i="6"/>
  <c r="B83" i="6"/>
  <c r="G83" i="6" s="1"/>
  <c r="AB82" i="6"/>
  <c r="AA82" i="6"/>
  <c r="B82" i="6"/>
  <c r="G82" i="6" s="1"/>
  <c r="AB81" i="6"/>
  <c r="AA81" i="6"/>
  <c r="B81" i="6"/>
  <c r="G81" i="6" s="1"/>
  <c r="AB80" i="6"/>
  <c r="AA80" i="6"/>
  <c r="B80" i="6"/>
  <c r="G80" i="6" s="1"/>
  <c r="AB79" i="6"/>
  <c r="AA79" i="6"/>
  <c r="B79" i="6"/>
  <c r="G79" i="6" s="1"/>
  <c r="AB78" i="6"/>
  <c r="AA78" i="6"/>
  <c r="B78" i="6"/>
  <c r="G78" i="6" s="1"/>
  <c r="AB77" i="6"/>
  <c r="AA77" i="6"/>
  <c r="B77" i="6"/>
  <c r="G77" i="6" s="1"/>
  <c r="AB76" i="6"/>
  <c r="AA76" i="6"/>
  <c r="B76" i="6"/>
  <c r="G76" i="6" s="1"/>
  <c r="AB75" i="6"/>
  <c r="AA75" i="6"/>
  <c r="B75" i="6"/>
  <c r="G75" i="6" s="1"/>
  <c r="AB74" i="6"/>
  <c r="AA74" i="6"/>
  <c r="B74" i="6"/>
  <c r="G74" i="6" s="1"/>
  <c r="AB73" i="6"/>
  <c r="AA73" i="6"/>
  <c r="B73" i="6"/>
  <c r="G73" i="6" s="1"/>
  <c r="AB72" i="6"/>
  <c r="AA72" i="6"/>
  <c r="B72" i="6"/>
  <c r="G72" i="6" s="1"/>
  <c r="AB71" i="6"/>
  <c r="AA71" i="6"/>
  <c r="B71" i="6"/>
  <c r="G71" i="6" s="1"/>
  <c r="AB70" i="6"/>
  <c r="AA70" i="6"/>
  <c r="B70" i="6"/>
  <c r="G70" i="6" s="1"/>
  <c r="AB69" i="6"/>
  <c r="AA69" i="6"/>
  <c r="B69" i="6"/>
  <c r="G69" i="6" s="1"/>
  <c r="AB68" i="6"/>
  <c r="AA68" i="6"/>
  <c r="B68" i="6"/>
  <c r="G68" i="6" s="1"/>
  <c r="AB67" i="6"/>
  <c r="AA67" i="6"/>
  <c r="B67" i="6"/>
  <c r="G67" i="6" s="1"/>
  <c r="AB66" i="6"/>
  <c r="AA66" i="6"/>
  <c r="B66" i="6"/>
  <c r="G66" i="6" s="1"/>
  <c r="AB65" i="6"/>
  <c r="AA65" i="6"/>
  <c r="B65" i="6"/>
  <c r="G65" i="6" s="1"/>
  <c r="AB64" i="6"/>
  <c r="AA64" i="6"/>
  <c r="B64" i="6"/>
  <c r="G64" i="6" s="1"/>
  <c r="AB63" i="6"/>
  <c r="AA63" i="6"/>
  <c r="B63" i="6"/>
  <c r="G63" i="6" s="1"/>
  <c r="AB62" i="6"/>
  <c r="AA62" i="6"/>
  <c r="B62" i="6"/>
  <c r="G62" i="6" s="1"/>
  <c r="AB61" i="6"/>
  <c r="AA61" i="6"/>
  <c r="B61" i="6"/>
  <c r="G61" i="6" s="1"/>
  <c r="AB60" i="6"/>
  <c r="AA60" i="6"/>
  <c r="B60" i="6"/>
  <c r="G60" i="6" s="1"/>
  <c r="AB59" i="6"/>
  <c r="AA59" i="6"/>
  <c r="B59" i="6"/>
  <c r="G59" i="6" s="1"/>
  <c r="AB58" i="6"/>
  <c r="AA58" i="6"/>
  <c r="B58" i="6"/>
  <c r="G58" i="6" s="1"/>
  <c r="AB57" i="6"/>
  <c r="AA57" i="6"/>
  <c r="B57" i="6"/>
  <c r="G57" i="6" s="1"/>
  <c r="AB56" i="6"/>
  <c r="AA56" i="6"/>
  <c r="B56" i="6"/>
  <c r="G56" i="6" s="1"/>
  <c r="AB55" i="6"/>
  <c r="AA55" i="6"/>
  <c r="B55" i="6"/>
  <c r="G55" i="6" s="1"/>
  <c r="AB54" i="6"/>
  <c r="AA54" i="6"/>
  <c r="G54" i="6"/>
  <c r="B54" i="6"/>
  <c r="AB53" i="6"/>
  <c r="AA53" i="6"/>
  <c r="B53" i="6"/>
  <c r="G53" i="6" s="1"/>
  <c r="AB52" i="6"/>
  <c r="AA52" i="6"/>
  <c r="B52" i="6"/>
  <c r="G52" i="6" s="1"/>
  <c r="AB51" i="6"/>
  <c r="AA51" i="6"/>
  <c r="B51" i="6"/>
  <c r="G51" i="6" s="1"/>
  <c r="AB50" i="6"/>
  <c r="AA50" i="6"/>
  <c r="B50" i="6"/>
  <c r="G50" i="6" s="1"/>
  <c r="AB49" i="6"/>
  <c r="AA49" i="6"/>
  <c r="B49" i="6"/>
  <c r="G49" i="6" s="1"/>
  <c r="AB48" i="6"/>
  <c r="AA48" i="6"/>
  <c r="B48" i="6"/>
  <c r="G48" i="6" s="1"/>
  <c r="AB47" i="6"/>
  <c r="AA47" i="6"/>
  <c r="B47" i="6"/>
  <c r="G47" i="6" s="1"/>
  <c r="AB46" i="6"/>
  <c r="AA46" i="6"/>
  <c r="B46" i="6"/>
  <c r="G46" i="6" s="1"/>
  <c r="AB45" i="6"/>
  <c r="AA45" i="6"/>
  <c r="B45" i="6"/>
  <c r="G45" i="6" s="1"/>
  <c r="AB44" i="6"/>
  <c r="AA44" i="6"/>
  <c r="B44" i="6"/>
  <c r="G44" i="6" s="1"/>
  <c r="AB43" i="6"/>
  <c r="AA43" i="6"/>
  <c r="B43" i="6"/>
  <c r="G43" i="6" s="1"/>
  <c r="AB42" i="6"/>
  <c r="AA42" i="6"/>
  <c r="B42" i="6"/>
  <c r="G42" i="6" s="1"/>
  <c r="AB41" i="6"/>
  <c r="AA41" i="6"/>
  <c r="B41" i="6"/>
  <c r="G41" i="6" s="1"/>
  <c r="AB40" i="6"/>
  <c r="AA40" i="6"/>
  <c r="B40" i="6"/>
  <c r="G40" i="6" s="1"/>
  <c r="AB39" i="6"/>
  <c r="AA39" i="6"/>
  <c r="B39" i="6"/>
  <c r="G39" i="6" s="1"/>
  <c r="AB38" i="6"/>
  <c r="AA38" i="6"/>
  <c r="B38" i="6"/>
  <c r="G38" i="6" s="1"/>
  <c r="AB37" i="6"/>
  <c r="AA37" i="6"/>
  <c r="B37" i="6"/>
  <c r="G37" i="6" s="1"/>
  <c r="AB36" i="6"/>
  <c r="AA36" i="6"/>
  <c r="B36" i="6"/>
  <c r="G36" i="6" s="1"/>
  <c r="AB35" i="6"/>
  <c r="AA35" i="6"/>
  <c r="B35" i="6"/>
  <c r="G35" i="6" s="1"/>
  <c r="AB34" i="6"/>
  <c r="AA34" i="6"/>
  <c r="B34" i="6"/>
  <c r="G34" i="6" s="1"/>
  <c r="AB33" i="6"/>
  <c r="AA33" i="6"/>
  <c r="B33" i="6"/>
  <c r="G33" i="6" s="1"/>
  <c r="AB32" i="6"/>
  <c r="AA32" i="6"/>
  <c r="B32" i="6"/>
  <c r="G32" i="6" s="1"/>
  <c r="AB31" i="6"/>
  <c r="AA31" i="6"/>
  <c r="B31" i="6"/>
  <c r="G31" i="6" s="1"/>
  <c r="AB30" i="6"/>
  <c r="AA30" i="6"/>
  <c r="B30" i="6"/>
  <c r="G30" i="6" s="1"/>
  <c r="AB29" i="6"/>
  <c r="AA29" i="6"/>
  <c r="B29" i="6"/>
  <c r="G29" i="6" s="1"/>
  <c r="AB28" i="6"/>
  <c r="AA28" i="6"/>
  <c r="B28" i="6"/>
  <c r="A29" i="5" s="1"/>
  <c r="AB27" i="6"/>
  <c r="AA27" i="6"/>
  <c r="B27" i="6"/>
  <c r="G27" i="6" s="1"/>
  <c r="AB26" i="6"/>
  <c r="AA26" i="6"/>
  <c r="B26" i="6"/>
  <c r="AB25" i="6"/>
  <c r="AA25" i="6"/>
  <c r="B25" i="6"/>
  <c r="G25" i="6" s="1"/>
  <c r="AB24" i="6"/>
  <c r="AA24" i="6"/>
  <c r="B24" i="6"/>
  <c r="G24" i="6" s="1"/>
  <c r="AB23" i="6"/>
  <c r="AA23" i="6"/>
  <c r="B23" i="6"/>
  <c r="AB22" i="6"/>
  <c r="AA22" i="6"/>
  <c r="B22" i="6"/>
  <c r="G22" i="6" s="1"/>
  <c r="AB21" i="6"/>
  <c r="AA21" i="6"/>
  <c r="B21" i="6"/>
  <c r="G21" i="6" s="1"/>
  <c r="AB20" i="6"/>
  <c r="AA20" i="6"/>
  <c r="B20" i="6"/>
  <c r="G20" i="6" s="1"/>
  <c r="AB19" i="6"/>
  <c r="AA19" i="6"/>
  <c r="B19" i="6"/>
  <c r="G19" i="6" s="1"/>
  <c r="AB18" i="6"/>
  <c r="AA18" i="6"/>
  <c r="B18" i="6"/>
  <c r="G18" i="6" s="1"/>
  <c r="AB17" i="6"/>
  <c r="AA17" i="6"/>
  <c r="B17" i="6"/>
  <c r="G17" i="6" s="1"/>
  <c r="AB16" i="6"/>
  <c r="AA16" i="6"/>
  <c r="B16" i="6"/>
  <c r="G16" i="6" s="1"/>
  <c r="AB15" i="6"/>
  <c r="AA15" i="6"/>
  <c r="B15" i="6"/>
  <c r="G15" i="6" s="1"/>
  <c r="AB14" i="6"/>
  <c r="AA14" i="6"/>
  <c r="B14" i="6"/>
  <c r="G14" i="6" s="1"/>
  <c r="AB13" i="6"/>
  <c r="AA13" i="6"/>
  <c r="B13" i="6"/>
  <c r="G13" i="6" s="1"/>
  <c r="AB12" i="6"/>
  <c r="AA12" i="6"/>
  <c r="B12" i="6"/>
  <c r="A13" i="5" s="1"/>
  <c r="AB11" i="6"/>
  <c r="AA11" i="6"/>
  <c r="B11" i="6"/>
  <c r="G11" i="6" s="1"/>
  <c r="AB10" i="6"/>
  <c r="AA10" i="6"/>
  <c r="B10" i="6"/>
  <c r="AB9" i="6"/>
  <c r="AA9" i="6"/>
  <c r="B9" i="6"/>
  <c r="AB8" i="6"/>
  <c r="AA8" i="6"/>
  <c r="B8" i="6"/>
  <c r="A9" i="5" s="1"/>
  <c r="AB7" i="6"/>
  <c r="AA7" i="6"/>
  <c r="B7" i="6"/>
  <c r="A8" i="5" s="1"/>
  <c r="AB6" i="6"/>
  <c r="AA6" i="6"/>
  <c r="B6" i="6"/>
  <c r="AB5" i="6"/>
  <c r="AA5" i="6"/>
  <c r="B5" i="6"/>
  <c r="A6" i="5" s="1"/>
  <c r="V29" i="5"/>
  <c r="U29" i="5"/>
  <c r="T29" i="5"/>
  <c r="S29" i="5"/>
  <c r="R29" i="5"/>
  <c r="Q29" i="5"/>
  <c r="P29" i="5"/>
  <c r="O29" i="5"/>
  <c r="N29" i="5"/>
  <c r="M29" i="5"/>
  <c r="V28" i="5"/>
  <c r="U28" i="5"/>
  <c r="T28" i="5"/>
  <c r="S28" i="5"/>
  <c r="R28" i="5"/>
  <c r="Q28" i="5"/>
  <c r="P28" i="5"/>
  <c r="O28" i="5"/>
  <c r="N28" i="5"/>
  <c r="M28" i="5"/>
  <c r="V27" i="5"/>
  <c r="U27" i="5"/>
  <c r="T27" i="5"/>
  <c r="S27" i="5"/>
  <c r="R27" i="5"/>
  <c r="Q27" i="5"/>
  <c r="P27" i="5"/>
  <c r="O27" i="5"/>
  <c r="N27" i="5"/>
  <c r="M27" i="5"/>
  <c r="V26" i="5"/>
  <c r="U26" i="5"/>
  <c r="T26" i="5"/>
  <c r="S26" i="5"/>
  <c r="R26" i="5"/>
  <c r="Q26" i="5"/>
  <c r="P26" i="5"/>
  <c r="O26" i="5"/>
  <c r="N26" i="5"/>
  <c r="M26" i="5"/>
  <c r="V25" i="5"/>
  <c r="U25" i="5"/>
  <c r="T25" i="5"/>
  <c r="S25" i="5"/>
  <c r="R25" i="5"/>
  <c r="Q25" i="5"/>
  <c r="P25" i="5"/>
  <c r="O25" i="5"/>
  <c r="N25" i="5"/>
  <c r="M25" i="5"/>
  <c r="V24" i="5"/>
  <c r="U24" i="5"/>
  <c r="T24" i="5"/>
  <c r="S24" i="5"/>
  <c r="R24" i="5"/>
  <c r="Q24" i="5"/>
  <c r="P24" i="5"/>
  <c r="O24" i="5"/>
  <c r="N24" i="5"/>
  <c r="M24" i="5"/>
  <c r="V23" i="5"/>
  <c r="U23" i="5"/>
  <c r="T23" i="5"/>
  <c r="S23" i="5"/>
  <c r="R23" i="5"/>
  <c r="Q23" i="5"/>
  <c r="P23" i="5"/>
  <c r="O23" i="5"/>
  <c r="N23" i="5"/>
  <c r="M23" i="5"/>
  <c r="V22" i="5"/>
  <c r="U22" i="5"/>
  <c r="T22" i="5"/>
  <c r="S22" i="5"/>
  <c r="R22" i="5"/>
  <c r="Q22" i="5"/>
  <c r="P22" i="5"/>
  <c r="O22" i="5"/>
  <c r="N22" i="5"/>
  <c r="M22" i="5"/>
  <c r="A22" i="5"/>
  <c r="V21" i="5"/>
  <c r="U21" i="5"/>
  <c r="T21" i="5"/>
  <c r="S21" i="5"/>
  <c r="R21" i="5"/>
  <c r="Q21" i="5"/>
  <c r="P21" i="5"/>
  <c r="O21" i="5"/>
  <c r="N21" i="5"/>
  <c r="M21" i="5"/>
  <c r="V20" i="5"/>
  <c r="U20" i="5"/>
  <c r="T20" i="5"/>
  <c r="S20" i="5"/>
  <c r="R20" i="5"/>
  <c r="Q20" i="5"/>
  <c r="P20" i="5"/>
  <c r="O20" i="5"/>
  <c r="N20" i="5"/>
  <c r="M20" i="5"/>
  <c r="V19" i="5"/>
  <c r="U19" i="5"/>
  <c r="T19" i="5"/>
  <c r="S19" i="5"/>
  <c r="R19" i="5"/>
  <c r="Q19" i="5"/>
  <c r="P19" i="5"/>
  <c r="O19" i="5"/>
  <c r="N19" i="5"/>
  <c r="M19" i="5"/>
  <c r="V18" i="5"/>
  <c r="U18" i="5"/>
  <c r="T18" i="5"/>
  <c r="S18" i="5"/>
  <c r="R18" i="5"/>
  <c r="Q18" i="5"/>
  <c r="P18" i="5"/>
  <c r="O18" i="5"/>
  <c r="N18" i="5"/>
  <c r="M18" i="5"/>
  <c r="V17" i="5"/>
  <c r="U17" i="5"/>
  <c r="T17" i="5"/>
  <c r="S17" i="5"/>
  <c r="R17" i="5"/>
  <c r="Q17" i="5"/>
  <c r="P17" i="5"/>
  <c r="O17" i="5"/>
  <c r="N17" i="5"/>
  <c r="M17" i="5"/>
  <c r="V16" i="5"/>
  <c r="U16" i="5"/>
  <c r="T16" i="5"/>
  <c r="S16" i="5"/>
  <c r="R16" i="5"/>
  <c r="Q16" i="5"/>
  <c r="P16" i="5"/>
  <c r="O16" i="5"/>
  <c r="N16" i="5"/>
  <c r="M16" i="5"/>
  <c r="A16" i="5"/>
  <c r="V15" i="5"/>
  <c r="U15" i="5"/>
  <c r="T15" i="5"/>
  <c r="S15" i="5"/>
  <c r="R15" i="5"/>
  <c r="Q15" i="5"/>
  <c r="P15" i="5"/>
  <c r="O15" i="5"/>
  <c r="N15" i="5"/>
  <c r="M15" i="5"/>
  <c r="V14" i="5"/>
  <c r="U14" i="5"/>
  <c r="T14" i="5"/>
  <c r="S14" i="5"/>
  <c r="R14" i="5"/>
  <c r="Q14" i="5"/>
  <c r="P14" i="5"/>
  <c r="O14" i="5"/>
  <c r="N14" i="5"/>
  <c r="M14" i="5"/>
  <c r="V13" i="5"/>
  <c r="U13" i="5"/>
  <c r="T13" i="5"/>
  <c r="S13" i="5"/>
  <c r="R13" i="5"/>
  <c r="Q13" i="5"/>
  <c r="P13" i="5"/>
  <c r="O13" i="5"/>
  <c r="N13" i="5"/>
  <c r="M13" i="5"/>
  <c r="V12" i="5"/>
  <c r="U12" i="5"/>
  <c r="T12" i="5"/>
  <c r="S12" i="5"/>
  <c r="R12" i="5"/>
  <c r="Q12" i="5"/>
  <c r="P12" i="5"/>
  <c r="O12" i="5"/>
  <c r="N12" i="5"/>
  <c r="M12" i="5"/>
  <c r="A12" i="5"/>
  <c r="V11" i="5"/>
  <c r="U11" i="5"/>
  <c r="T11" i="5"/>
  <c r="S11" i="5"/>
  <c r="R11" i="5"/>
  <c r="Q11" i="5"/>
  <c r="P11" i="5"/>
  <c r="O11" i="5"/>
  <c r="N11" i="5"/>
  <c r="M11" i="5"/>
  <c r="V10" i="5"/>
  <c r="U10" i="5"/>
  <c r="T10" i="5"/>
  <c r="S10" i="5"/>
  <c r="R10" i="5"/>
  <c r="Q10" i="5"/>
  <c r="P10" i="5"/>
  <c r="O10" i="5"/>
  <c r="N10" i="5"/>
  <c r="M10" i="5"/>
  <c r="V9" i="5"/>
  <c r="U9" i="5"/>
  <c r="T9" i="5"/>
  <c r="S9" i="5"/>
  <c r="R9" i="5"/>
  <c r="Q9" i="5"/>
  <c r="P9" i="5"/>
  <c r="O9" i="5"/>
  <c r="N9" i="5"/>
  <c r="M9" i="5"/>
  <c r="V8" i="5"/>
  <c r="U8" i="5"/>
  <c r="T8" i="5"/>
  <c r="S8" i="5"/>
  <c r="R8" i="5"/>
  <c r="Q8" i="5"/>
  <c r="P8" i="5"/>
  <c r="O8" i="5"/>
  <c r="N8" i="5"/>
  <c r="M8" i="5"/>
  <c r="V7" i="5"/>
  <c r="U7" i="5"/>
  <c r="T7" i="5"/>
  <c r="S7" i="5"/>
  <c r="R7" i="5"/>
  <c r="Q7" i="5"/>
  <c r="P7" i="5"/>
  <c r="O7" i="5"/>
  <c r="N7" i="5"/>
  <c r="M7" i="5"/>
  <c r="V6" i="5"/>
  <c r="U6" i="5"/>
  <c r="T6" i="5"/>
  <c r="S6" i="5"/>
  <c r="R6" i="5"/>
  <c r="Q6" i="5"/>
  <c r="P6" i="5"/>
  <c r="O6" i="5"/>
  <c r="N6" i="5"/>
  <c r="M6" i="5"/>
  <c r="L5" i="5"/>
  <c r="K5" i="5"/>
  <c r="J5" i="5"/>
  <c r="I5" i="5"/>
  <c r="H5" i="5"/>
  <c r="G5" i="5"/>
  <c r="E11" i="4"/>
  <c r="B6" i="2" s="1"/>
  <c r="C11" i="4"/>
  <c r="B10" i="2" s="1"/>
  <c r="J10" i="4"/>
  <c r="K10" i="4" s="1"/>
  <c r="I10" i="4"/>
  <c r="H10" i="4"/>
  <c r="G10" i="4"/>
  <c r="J9" i="4"/>
  <c r="L9" i="4" s="1"/>
  <c r="I9" i="4"/>
  <c r="H9" i="4"/>
  <c r="G9" i="4"/>
  <c r="J8" i="4"/>
  <c r="L8" i="4" s="1"/>
  <c r="I8" i="4"/>
  <c r="H8" i="4"/>
  <c r="G8" i="4"/>
  <c r="J7" i="4"/>
  <c r="L7" i="4" s="1"/>
  <c r="I7" i="4"/>
  <c r="H7" i="4"/>
  <c r="G7" i="4"/>
  <c r="J6" i="4"/>
  <c r="L6" i="4" s="1"/>
  <c r="I6" i="4"/>
  <c r="H6" i="4"/>
  <c r="G6" i="4"/>
  <c r="J5" i="4"/>
  <c r="I5" i="4"/>
  <c r="H5" i="4"/>
  <c r="G5" i="4"/>
  <c r="B25" i="3"/>
  <c r="B18" i="3"/>
  <c r="D181" i="6" s="1"/>
  <c r="B7" i="3"/>
  <c r="C270" i="6" s="1"/>
  <c r="B21" i="2"/>
  <c r="B15" i="2"/>
  <c r="B14" i="2"/>
  <c r="C299" i="6" l="1"/>
  <c r="G12" i="6"/>
  <c r="C277" i="6"/>
  <c r="A25" i="5"/>
  <c r="A21" i="5"/>
  <c r="A18" i="5"/>
  <c r="B38" i="2" a="1"/>
  <c r="B38" i="2" s="1"/>
  <c r="B40" i="2" a="1"/>
  <c r="B40" i="2" s="1"/>
  <c r="G11" i="4"/>
  <c r="D11" i="4"/>
  <c r="B11" i="2" s="1"/>
  <c r="AS3" i="7"/>
  <c r="L10" i="4"/>
  <c r="K8" i="4"/>
  <c r="K9" i="4"/>
  <c r="AL6" i="7" s="1"/>
  <c r="G28" i="6"/>
  <c r="A14" i="5"/>
  <c r="A17" i="5"/>
  <c r="A20" i="5"/>
  <c r="A26" i="5"/>
  <c r="A28" i="5"/>
  <c r="A11" i="5"/>
  <c r="D127" i="6"/>
  <c r="D254" i="6"/>
  <c r="D277" i="6"/>
  <c r="D177" i="6"/>
  <c r="D255" i="6"/>
  <c r="D190" i="6"/>
  <c r="D299" i="6"/>
  <c r="D32" i="6"/>
  <c r="D41" i="6"/>
  <c r="D79" i="6"/>
  <c r="D25" i="6"/>
  <c r="D145" i="6"/>
  <c r="D123" i="6"/>
  <c r="D24" i="6"/>
  <c r="D5" i="6"/>
  <c r="B5" i="2"/>
  <c r="D6" i="6"/>
  <c r="D44" i="6"/>
  <c r="D67" i="6"/>
  <c r="D31" i="6"/>
  <c r="D129" i="6"/>
  <c r="D103" i="6"/>
  <c r="D84" i="6"/>
  <c r="D89" i="6"/>
  <c r="D68" i="6"/>
  <c r="D248" i="6"/>
  <c r="D7" i="6"/>
  <c r="D38" i="6"/>
  <c r="D59" i="6"/>
  <c r="D95" i="6"/>
  <c r="D73" i="6"/>
  <c r="D117" i="6"/>
  <c r="D22" i="6"/>
  <c r="D47" i="6"/>
  <c r="D135" i="6"/>
  <c r="D226" i="6"/>
  <c r="D26" i="6"/>
  <c r="D56" i="6"/>
  <c r="C156" i="6"/>
  <c r="C68" i="6"/>
  <c r="C8" i="6"/>
  <c r="C5" i="6"/>
  <c r="C23" i="6"/>
  <c r="C92" i="6"/>
  <c r="C161" i="6"/>
  <c r="C140" i="6"/>
  <c r="C101" i="6"/>
  <c r="C25" i="6"/>
  <c r="C33" i="6"/>
  <c r="C127" i="6"/>
  <c r="C123" i="6"/>
  <c r="C145" i="6"/>
  <c r="C84" i="6"/>
  <c r="C7" i="6"/>
  <c r="C257" i="6"/>
  <c r="C22" i="6"/>
  <c r="B4" i="2"/>
  <c r="B8" i="2" s="1"/>
  <c r="B9" i="2" s="1"/>
  <c r="C6" i="6"/>
  <c r="C56" i="6"/>
  <c r="C73" i="6"/>
  <c r="C302" i="6"/>
  <c r="C86" i="6"/>
  <c r="C254" i="6"/>
  <c r="C177" i="6"/>
  <c r="C32" i="6"/>
  <c r="C44" i="6"/>
  <c r="C95" i="6"/>
  <c r="C129" i="6"/>
  <c r="K7" i="4"/>
  <c r="K5" i="4"/>
  <c r="L5" i="4"/>
  <c r="AT294" i="7"/>
  <c r="AT297" i="7"/>
  <c r="AT281" i="7"/>
  <c r="AT287" i="7"/>
  <c r="AT290" i="7"/>
  <c r="AT296" i="7"/>
  <c r="AT302" i="7"/>
  <c r="AT286" i="7"/>
  <c r="AT301" i="7"/>
  <c r="AT285" i="7"/>
  <c r="AT288" i="7"/>
  <c r="AT269" i="7"/>
  <c r="AT300" i="7"/>
  <c r="AT267" i="7"/>
  <c r="AT253" i="7"/>
  <c r="AT289" i="7"/>
  <c r="AT265" i="7"/>
  <c r="AT298" i="7"/>
  <c r="AT291" i="7"/>
  <c r="AT278" i="7"/>
  <c r="AT299" i="7"/>
  <c r="AT274" i="7"/>
  <c r="AT272" i="7"/>
  <c r="AT263" i="7"/>
  <c r="AT262" i="7"/>
  <c r="AT268" i="7"/>
  <c r="AT270" i="7"/>
  <c r="AT243" i="7"/>
  <c r="AT227" i="7"/>
  <c r="AT295" i="7"/>
  <c r="AT292" i="7"/>
  <c r="AT261" i="7"/>
  <c r="AT277" i="7"/>
  <c r="AT275" i="7"/>
  <c r="AT271" i="7"/>
  <c r="AT239" i="7"/>
  <c r="AT293" i="7"/>
  <c r="AT242" i="7"/>
  <c r="AT279" i="7"/>
  <c r="AT283" i="7"/>
  <c r="AT266" i="7"/>
  <c r="AT282" i="7"/>
  <c r="AT284" i="7"/>
  <c r="AT260" i="7"/>
  <c r="AT276" i="7"/>
  <c r="AT241" i="7"/>
  <c r="AT251" i="7"/>
  <c r="AT256" i="7"/>
  <c r="AT248" i="7"/>
  <c r="AT246" i="7"/>
  <c r="AT214" i="7"/>
  <c r="AT245" i="7"/>
  <c r="AT232" i="7"/>
  <c r="AT217" i="7"/>
  <c r="AT220" i="7"/>
  <c r="AT254" i="7"/>
  <c r="AT230" i="7"/>
  <c r="AT210" i="7"/>
  <c r="AT264" i="7"/>
  <c r="AT280" i="7"/>
  <c r="AT237" i="7"/>
  <c r="AT244" i="7"/>
  <c r="AT255" i="7"/>
  <c r="AT208" i="7"/>
  <c r="AT273" i="7"/>
  <c r="AT231" i="7"/>
  <c r="AT209" i="7"/>
  <c r="AT199" i="7"/>
  <c r="AT250" i="7"/>
  <c r="AT240" i="7"/>
  <c r="AT226" i="7"/>
  <c r="AT216" i="7"/>
  <c r="AT212" i="7"/>
  <c r="AT259" i="7"/>
  <c r="AT222" i="7"/>
  <c r="AT218" i="7"/>
  <c r="AT247" i="7"/>
  <c r="AT252" i="7"/>
  <c r="AT224" i="7"/>
  <c r="AT238" i="7"/>
  <c r="AT234" i="7"/>
  <c r="AT197" i="7"/>
  <c r="AT249" i="7"/>
  <c r="AT228" i="7"/>
  <c r="AT221" i="7"/>
  <c r="AT211" i="7"/>
  <c r="AT203" i="7"/>
  <c r="AT229" i="7"/>
  <c r="AT204" i="7"/>
  <c r="AT190" i="7"/>
  <c r="AT205" i="7"/>
  <c r="AT219" i="7"/>
  <c r="AT215" i="7"/>
  <c r="AT196" i="7"/>
  <c r="AT235" i="7"/>
  <c r="AT258" i="7"/>
  <c r="AT194" i="7"/>
  <c r="AT193" i="7"/>
  <c r="AT188" i="7"/>
  <c r="AT174" i="7"/>
  <c r="AT198" i="7"/>
  <c r="AT187" i="7"/>
  <c r="AT177" i="7"/>
  <c r="AT207" i="7"/>
  <c r="AT189" i="7"/>
  <c r="AT180" i="7"/>
  <c r="AT200" i="7"/>
  <c r="AT183" i="7"/>
  <c r="AT186" i="7"/>
  <c r="AT170" i="7"/>
  <c r="AT233" i="7"/>
  <c r="AT213" i="7"/>
  <c r="AT202" i="7"/>
  <c r="AT192" i="7"/>
  <c r="AT173" i="7"/>
  <c r="AT206" i="7"/>
  <c r="AT176" i="7"/>
  <c r="AT179" i="7"/>
  <c r="AT182" i="7"/>
  <c r="AT225" i="7"/>
  <c r="AT157" i="7"/>
  <c r="AT160" i="7"/>
  <c r="AT153" i="7"/>
  <c r="AT236" i="7"/>
  <c r="AT184" i="7"/>
  <c r="AT171" i="7"/>
  <c r="AT168" i="7"/>
  <c r="AT191" i="7"/>
  <c r="AT159" i="7"/>
  <c r="AT162" i="7"/>
  <c r="AT165" i="7"/>
  <c r="AT195" i="7"/>
  <c r="AT181" i="7"/>
  <c r="AT150" i="7"/>
  <c r="AT133" i="7"/>
  <c r="AT117" i="7"/>
  <c r="AT257" i="7"/>
  <c r="AT136" i="7"/>
  <c r="AT201" i="7"/>
  <c r="AT149" i="7"/>
  <c r="AT139" i="7"/>
  <c r="AT223" i="7"/>
  <c r="AT163" i="7"/>
  <c r="AT145" i="7"/>
  <c r="AT129" i="7"/>
  <c r="AT148" i="7"/>
  <c r="AT132" i="7"/>
  <c r="AT156" i="7"/>
  <c r="AT135" i="7"/>
  <c r="AT169" i="7"/>
  <c r="AT167" i="7"/>
  <c r="AT158" i="7"/>
  <c r="AT154" i="7"/>
  <c r="AT127" i="7"/>
  <c r="AT119" i="7"/>
  <c r="AT115" i="7"/>
  <c r="AT100" i="7"/>
  <c r="AT164" i="7"/>
  <c r="AT140" i="7"/>
  <c r="AT138" i="7"/>
  <c r="AT103" i="7"/>
  <c r="AT120" i="7"/>
  <c r="AT114" i="7"/>
  <c r="AT106" i="7"/>
  <c r="AT126" i="7"/>
  <c r="AT113" i="7"/>
  <c r="AT109" i="7"/>
  <c r="AT137" i="7"/>
  <c r="AT121" i="7"/>
  <c r="AT122" i="7"/>
  <c r="AT112" i="7"/>
  <c r="AT151" i="7"/>
  <c r="AT134" i="7"/>
  <c r="AT147" i="7"/>
  <c r="AT118" i="7"/>
  <c r="AT79" i="7"/>
  <c r="AT63" i="7"/>
  <c r="AT124" i="7"/>
  <c r="AT94" i="7"/>
  <c r="AT82" i="7"/>
  <c r="AT131" i="7"/>
  <c r="AT110" i="7"/>
  <c r="AT108" i="7"/>
  <c r="AT88" i="7"/>
  <c r="AT101" i="7"/>
  <c r="AT92" i="7"/>
  <c r="AT178" i="7"/>
  <c r="AT152" i="7"/>
  <c r="AT130" i="7"/>
  <c r="AT128" i="7"/>
  <c r="AT116" i="7"/>
  <c r="AT107" i="7"/>
  <c r="AT172" i="7"/>
  <c r="AT105" i="7"/>
  <c r="AT84" i="7"/>
  <c r="AT87" i="7"/>
  <c r="AT185" i="7"/>
  <c r="AT69" i="7"/>
  <c r="AT60" i="7"/>
  <c r="AT95" i="7"/>
  <c r="AT59" i="7"/>
  <c r="AT85" i="7"/>
  <c r="AT68" i="7"/>
  <c r="AT146" i="7"/>
  <c r="AT144" i="7"/>
  <c r="AT102" i="7"/>
  <c r="AT81" i="7"/>
  <c r="AT125" i="7"/>
  <c r="AT66" i="7"/>
  <c r="AT142" i="7"/>
  <c r="AT99" i="7"/>
  <c r="AT75" i="7"/>
  <c r="AT111" i="7"/>
  <c r="AT65" i="7"/>
  <c r="AT78" i="7"/>
  <c r="AT73" i="7"/>
  <c r="AT57" i="7"/>
  <c r="AT43" i="7"/>
  <c r="AT27" i="7"/>
  <c r="AT93" i="7"/>
  <c r="AT46" i="7"/>
  <c r="AT77" i="7"/>
  <c r="AT166" i="7"/>
  <c r="AT36" i="7"/>
  <c r="AT61" i="7"/>
  <c r="AT71" i="7"/>
  <c r="AT42" i="7"/>
  <c r="AT143" i="7"/>
  <c r="AT52" i="7"/>
  <c r="AT45" i="7"/>
  <c r="AT62" i="7"/>
  <c r="AT58" i="7"/>
  <c r="AT53" i="7"/>
  <c r="AT86" i="7"/>
  <c r="AT54" i="7"/>
  <c r="AT24" i="7"/>
  <c r="AT7" i="7"/>
  <c r="AT155" i="7"/>
  <c r="AT97" i="7"/>
  <c r="AT74" i="7"/>
  <c r="AT39" i="7"/>
  <c r="AT23" i="7"/>
  <c r="AT10" i="7"/>
  <c r="AT47" i="7"/>
  <c r="AT34" i="7"/>
  <c r="AT13" i="7"/>
  <c r="AT123" i="7"/>
  <c r="AT90" i="7"/>
  <c r="AT50" i="7"/>
  <c r="AT49" i="7"/>
  <c r="AT48" i="7"/>
  <c r="AT44" i="7"/>
  <c r="AT16" i="7"/>
  <c r="AT55" i="7"/>
  <c r="AT51" i="7"/>
  <c r="AT38" i="7"/>
  <c r="AT19" i="7"/>
  <c r="AT175" i="7"/>
  <c r="AT22" i="7"/>
  <c r="AT6" i="7"/>
  <c r="AT64" i="7"/>
  <c r="AT9" i="7"/>
  <c r="AT37" i="7"/>
  <c r="AT31" i="7"/>
  <c r="AT21" i="7"/>
  <c r="AT70" i="7"/>
  <c r="AT41" i="7"/>
  <c r="AT35" i="7"/>
  <c r="AT12" i="7"/>
  <c r="AT96" i="7"/>
  <c r="AT30" i="7"/>
  <c r="AT15" i="7"/>
  <c r="AT28" i="7"/>
  <c r="AT18" i="7"/>
  <c r="AT72" i="7"/>
  <c r="AT67" i="7"/>
  <c r="AT32" i="7"/>
  <c r="AT26" i="7"/>
  <c r="AT161" i="7"/>
  <c r="AT40" i="7"/>
  <c r="AT4" i="7"/>
  <c r="AT141" i="7"/>
  <c r="AT83" i="7"/>
  <c r="AT20" i="7"/>
  <c r="AT89" i="7"/>
  <c r="AT98" i="7"/>
  <c r="AT5" i="7"/>
  <c r="AT25" i="7"/>
  <c r="AT14" i="7"/>
  <c r="AT76" i="7"/>
  <c r="AT104" i="7"/>
  <c r="AT8" i="7"/>
  <c r="AT29" i="7"/>
  <c r="AT11" i="7"/>
  <c r="AT80" i="7"/>
  <c r="AT3" i="7"/>
  <c r="AT56" i="7"/>
  <c r="AT33" i="7"/>
  <c r="AT17" i="7"/>
  <c r="AT91" i="7"/>
  <c r="H11" i="4"/>
  <c r="T3" i="7"/>
  <c r="U3" i="7" s="1"/>
  <c r="G23" i="6"/>
  <c r="A24" i="5"/>
  <c r="B39" i="2" a="1"/>
  <c r="B39" i="2" s="1"/>
  <c r="K6" i="4"/>
  <c r="A7" i="5"/>
  <c r="A23" i="5"/>
  <c r="D8" i="6"/>
  <c r="C9" i="6"/>
  <c r="C21" i="6"/>
  <c r="C64" i="6"/>
  <c r="D91" i="6"/>
  <c r="C111" i="6"/>
  <c r="C143" i="6"/>
  <c r="C213" i="6"/>
  <c r="D257" i="6"/>
  <c r="C283" i="6"/>
  <c r="B37" i="2" a="1"/>
  <c r="B37" i="2" s="1"/>
  <c r="A10" i="5"/>
  <c r="D9" i="6"/>
  <c r="C10" i="6"/>
  <c r="C19" i="6"/>
  <c r="C20" i="6"/>
  <c r="C52" i="6"/>
  <c r="C55" i="6"/>
  <c r="D64" i="6"/>
  <c r="D111" i="6"/>
  <c r="D143" i="6"/>
  <c r="D283" i="6"/>
  <c r="D10" i="6"/>
  <c r="D11" i="6"/>
  <c r="C12" i="6"/>
  <c r="D19" i="6"/>
  <c r="D20" i="6"/>
  <c r="D52" i="6"/>
  <c r="D55" i="6"/>
  <c r="C72" i="6"/>
  <c r="C80" i="6"/>
  <c r="C181" i="6"/>
  <c r="C194" i="6"/>
  <c r="D12" i="6"/>
  <c r="C13" i="6"/>
  <c r="D15" i="6"/>
  <c r="C16" i="6"/>
  <c r="C29" i="6"/>
  <c r="D72" i="6"/>
  <c r="D80" i="6"/>
  <c r="C133" i="6"/>
  <c r="D298" i="6"/>
  <c r="D282" i="6"/>
  <c r="D266" i="6"/>
  <c r="D250" i="6"/>
  <c r="D234" i="6"/>
  <c r="D218" i="6"/>
  <c r="D202" i="6"/>
  <c r="D186" i="6"/>
  <c r="D170" i="6"/>
  <c r="D154" i="6"/>
  <c r="D138" i="6"/>
  <c r="D122" i="6"/>
  <c r="D106" i="6"/>
  <c r="D301" i="6"/>
  <c r="D285" i="6"/>
  <c r="D269" i="6"/>
  <c r="D253" i="6"/>
  <c r="D237" i="6"/>
  <c r="D221" i="6"/>
  <c r="D205" i="6"/>
  <c r="D189" i="6"/>
  <c r="D173" i="6"/>
  <c r="D157" i="6"/>
  <c r="D141" i="6"/>
  <c r="D125" i="6"/>
  <c r="D109" i="6"/>
  <c r="D304" i="6"/>
  <c r="D288" i="6"/>
  <c r="D272" i="6"/>
  <c r="D256" i="6"/>
  <c r="D240" i="6"/>
  <c r="D224" i="6"/>
  <c r="D208" i="6"/>
  <c r="D192" i="6"/>
  <c r="D176" i="6"/>
  <c r="D160" i="6"/>
  <c r="D144" i="6"/>
  <c r="D128" i="6"/>
  <c r="D112" i="6"/>
  <c r="D96" i="6"/>
  <c r="D291" i="6"/>
  <c r="D275" i="6"/>
  <c r="D259" i="6"/>
  <c r="D243" i="6"/>
  <c r="D227" i="6"/>
  <c r="D211" i="6"/>
  <c r="D195" i="6"/>
  <c r="D179" i="6"/>
  <c r="D163" i="6"/>
  <c r="D147" i="6"/>
  <c r="D131" i="6"/>
  <c r="D115" i="6"/>
  <c r="D99" i="6"/>
  <c r="D294" i="6"/>
  <c r="D278" i="6"/>
  <c r="D262" i="6"/>
  <c r="D246" i="6"/>
  <c r="D230" i="6"/>
  <c r="D214" i="6"/>
  <c r="D198" i="6"/>
  <c r="D182" i="6"/>
  <c r="D166" i="6"/>
  <c r="D150" i="6"/>
  <c r="D134" i="6"/>
  <c r="D118" i="6"/>
  <c r="D102" i="6"/>
  <c r="D297" i="6"/>
  <c r="D281" i="6"/>
  <c r="D265" i="6"/>
  <c r="D249" i="6"/>
  <c r="D233" i="6"/>
  <c r="D217" i="6"/>
  <c r="D201" i="6"/>
  <c r="D185" i="6"/>
  <c r="D169" i="6"/>
  <c r="D153" i="6"/>
  <c r="D137" i="6"/>
  <c r="D121" i="6"/>
  <c r="D105" i="6"/>
  <c r="D300" i="6"/>
  <c r="D284" i="6"/>
  <c r="D268" i="6"/>
  <c r="D252" i="6"/>
  <c r="D236" i="6"/>
  <c r="D220" i="6"/>
  <c r="D204" i="6"/>
  <c r="D188" i="6"/>
  <c r="D172" i="6"/>
  <c r="D156" i="6"/>
  <c r="D140" i="6"/>
  <c r="D124" i="6"/>
  <c r="D108" i="6"/>
  <c r="D244" i="6"/>
  <c r="D238" i="6"/>
  <c r="D216" i="6"/>
  <c r="D210" i="6"/>
  <c r="D158" i="6"/>
  <c r="D136" i="6"/>
  <c r="D130" i="6"/>
  <c r="D107" i="6"/>
  <c r="D78" i="6"/>
  <c r="D62" i="6"/>
  <c r="D296" i="6"/>
  <c r="D290" i="6"/>
  <c r="D267" i="6"/>
  <c r="D199" i="6"/>
  <c r="D187" i="6"/>
  <c r="D165" i="6"/>
  <c r="D119" i="6"/>
  <c r="D113" i="6"/>
  <c r="D81" i="6"/>
  <c r="D279" i="6"/>
  <c r="D273" i="6"/>
  <c r="D245" i="6"/>
  <c r="D239" i="6"/>
  <c r="D193" i="6"/>
  <c r="D159" i="6"/>
  <c r="D148" i="6"/>
  <c r="D228" i="6"/>
  <c r="D222" i="6"/>
  <c r="D200" i="6"/>
  <c r="D142" i="6"/>
  <c r="D120" i="6"/>
  <c r="D114" i="6"/>
  <c r="D302" i="6"/>
  <c r="D280" i="6"/>
  <c r="D274" i="6"/>
  <c r="D251" i="6"/>
  <c r="D194" i="6"/>
  <c r="D171" i="6"/>
  <c r="D149" i="6"/>
  <c r="D292" i="6"/>
  <c r="D286" i="6"/>
  <c r="D264" i="6"/>
  <c r="D258" i="6"/>
  <c r="D235" i="6"/>
  <c r="D184" i="6"/>
  <c r="D178" i="6"/>
  <c r="D155" i="6"/>
  <c r="D133" i="6"/>
  <c r="D247" i="6"/>
  <c r="D241" i="6"/>
  <c r="D213" i="6"/>
  <c r="D207" i="6"/>
  <c r="D167" i="6"/>
  <c r="D161" i="6"/>
  <c r="D293" i="6"/>
  <c r="D287" i="6"/>
  <c r="D271" i="6"/>
  <c r="D242" i="6"/>
  <c r="D229" i="6"/>
  <c r="D215" i="6"/>
  <c r="D197" i="6"/>
  <c r="D97" i="6"/>
  <c r="D77" i="6"/>
  <c r="D34" i="6"/>
  <c r="D18" i="6"/>
  <c r="D231" i="6"/>
  <c r="D168" i="6"/>
  <c r="D83" i="6"/>
  <c r="D71" i="6"/>
  <c r="D58" i="6"/>
  <c r="D54" i="6"/>
  <c r="D50" i="6"/>
  <c r="D37" i="6"/>
  <c r="D21" i="6"/>
  <c r="D263" i="6"/>
  <c r="D260" i="6"/>
  <c r="D98" i="6"/>
  <c r="D88" i="6"/>
  <c r="D40" i="6"/>
  <c r="D116" i="6"/>
  <c r="D110" i="6"/>
  <c r="D104" i="6"/>
  <c r="D76" i="6"/>
  <c r="D66" i="6"/>
  <c r="D43" i="6"/>
  <c r="D27" i="6"/>
  <c r="D276" i="6"/>
  <c r="D175" i="6"/>
  <c r="D164" i="6"/>
  <c r="D146" i="6"/>
  <c r="D139" i="6"/>
  <c r="D82" i="6"/>
  <c r="D70" i="6"/>
  <c r="D46" i="6"/>
  <c r="D30" i="6"/>
  <c r="D14" i="6"/>
  <c r="D303" i="6"/>
  <c r="D209" i="6"/>
  <c r="D162" i="6"/>
  <c r="D87" i="6"/>
  <c r="D57" i="6"/>
  <c r="D53" i="6"/>
  <c r="D49" i="6"/>
  <c r="D33" i="6"/>
  <c r="D17" i="6"/>
  <c r="D191" i="6"/>
  <c r="D151" i="6"/>
  <c r="D75" i="6"/>
  <c r="D61" i="6"/>
  <c r="D36" i="6"/>
  <c r="D232" i="6"/>
  <c r="D223" i="6"/>
  <c r="D196" i="6"/>
  <c r="D180" i="6"/>
  <c r="D132" i="6"/>
  <c r="D100" i="6"/>
  <c r="D69" i="6"/>
  <c r="D65" i="6"/>
  <c r="D39" i="6"/>
  <c r="D23" i="6"/>
  <c r="D270" i="6"/>
  <c r="D261" i="6"/>
  <c r="D225" i="6"/>
  <c r="D212" i="6"/>
  <c r="D183" i="6"/>
  <c r="D126" i="6"/>
  <c r="D101" i="6"/>
  <c r="D94" i="6"/>
  <c r="D93" i="6"/>
  <c r="D92" i="6"/>
  <c r="D86" i="6"/>
  <c r="D74" i="6"/>
  <c r="D42" i="6"/>
  <c r="A19" i="5"/>
  <c r="D13" i="6"/>
  <c r="D16" i="6"/>
  <c r="C17" i="6"/>
  <c r="C28" i="6"/>
  <c r="D29" i="6"/>
  <c r="C42" i="6"/>
  <c r="C85" i="6"/>
  <c r="C203" i="6"/>
  <c r="C219" i="6"/>
  <c r="D289" i="6"/>
  <c r="B33" i="3"/>
  <c r="D28" i="6"/>
  <c r="C45" i="6"/>
  <c r="D85" i="6"/>
  <c r="C126" i="6"/>
  <c r="D203" i="6"/>
  <c r="D219" i="6"/>
  <c r="C35" i="6"/>
  <c r="D45" i="6"/>
  <c r="C48" i="6"/>
  <c r="C51" i="6"/>
  <c r="D63" i="6"/>
  <c r="C74" i="6"/>
  <c r="C90" i="6"/>
  <c r="C152" i="6"/>
  <c r="C225" i="6"/>
  <c r="A27" i="5"/>
  <c r="G26" i="6"/>
  <c r="D35" i="6"/>
  <c r="D48" i="6"/>
  <c r="D51" i="6"/>
  <c r="C60" i="6"/>
  <c r="D90" i="6"/>
  <c r="D152" i="6"/>
  <c r="C174" i="6"/>
  <c r="D206" i="6"/>
  <c r="D295" i="6"/>
  <c r="P3" i="7"/>
  <c r="BB3" i="7"/>
  <c r="C295" i="6"/>
  <c r="C279" i="6"/>
  <c r="C263" i="6"/>
  <c r="C247" i="6"/>
  <c r="C231" i="6"/>
  <c r="C215" i="6"/>
  <c r="C199" i="6"/>
  <c r="C183" i="6"/>
  <c r="C167" i="6"/>
  <c r="C151" i="6"/>
  <c r="C135" i="6"/>
  <c r="C119" i="6"/>
  <c r="C103" i="6"/>
  <c r="C298" i="6"/>
  <c r="C282" i="6"/>
  <c r="C266" i="6"/>
  <c r="C250" i="6"/>
  <c r="C234" i="6"/>
  <c r="C218" i="6"/>
  <c r="C202" i="6"/>
  <c r="C186" i="6"/>
  <c r="C170" i="6"/>
  <c r="C154" i="6"/>
  <c r="C138" i="6"/>
  <c r="C122" i="6"/>
  <c r="C106" i="6"/>
  <c r="C301" i="6"/>
  <c r="C285" i="6"/>
  <c r="C269" i="6"/>
  <c r="C253" i="6"/>
  <c r="C237" i="6"/>
  <c r="C221" i="6"/>
  <c r="C205" i="6"/>
  <c r="C189" i="6"/>
  <c r="C173" i="6"/>
  <c r="C157" i="6"/>
  <c r="C141" i="6"/>
  <c r="C125" i="6"/>
  <c r="C109" i="6"/>
  <c r="C93" i="6"/>
  <c r="C304" i="6"/>
  <c r="C288" i="6"/>
  <c r="C272" i="6"/>
  <c r="C256" i="6"/>
  <c r="C240" i="6"/>
  <c r="C224" i="6"/>
  <c r="C208" i="6"/>
  <c r="C192" i="6"/>
  <c r="C176" i="6"/>
  <c r="C160" i="6"/>
  <c r="C144" i="6"/>
  <c r="C128" i="6"/>
  <c r="C112" i="6"/>
  <c r="C96" i="6"/>
  <c r="C291" i="6"/>
  <c r="C275" i="6"/>
  <c r="C259" i="6"/>
  <c r="C243" i="6"/>
  <c r="C227" i="6"/>
  <c r="C211" i="6"/>
  <c r="C195" i="6"/>
  <c r="C179" i="6"/>
  <c r="C163" i="6"/>
  <c r="C147" i="6"/>
  <c r="C131" i="6"/>
  <c r="C115" i="6"/>
  <c r="C99" i="6"/>
  <c r="C294" i="6"/>
  <c r="C278" i="6"/>
  <c r="C262" i="6"/>
  <c r="C246" i="6"/>
  <c r="C230" i="6"/>
  <c r="C214" i="6"/>
  <c r="C198" i="6"/>
  <c r="C182" i="6"/>
  <c r="C166" i="6"/>
  <c r="C150" i="6"/>
  <c r="C134" i="6"/>
  <c r="C118" i="6"/>
  <c r="C102" i="6"/>
  <c r="C297" i="6"/>
  <c r="C281" i="6"/>
  <c r="C265" i="6"/>
  <c r="C249" i="6"/>
  <c r="C233" i="6"/>
  <c r="C217" i="6"/>
  <c r="C201" i="6"/>
  <c r="C185" i="6"/>
  <c r="C169" i="6"/>
  <c r="C153" i="6"/>
  <c r="C137" i="6"/>
  <c r="C121" i="6"/>
  <c r="C105" i="6"/>
  <c r="C289" i="6"/>
  <c r="C261" i="6"/>
  <c r="C255" i="6"/>
  <c r="C204" i="6"/>
  <c r="C175" i="6"/>
  <c r="C164" i="6"/>
  <c r="C124" i="6"/>
  <c r="C91" i="6"/>
  <c r="C75" i="6"/>
  <c r="C59" i="6"/>
  <c r="C284" i="6"/>
  <c r="C244" i="6"/>
  <c r="C238" i="6"/>
  <c r="C216" i="6"/>
  <c r="C210" i="6"/>
  <c r="C158" i="6"/>
  <c r="C136" i="6"/>
  <c r="C130" i="6"/>
  <c r="C107" i="6"/>
  <c r="C78" i="6"/>
  <c r="C296" i="6"/>
  <c r="C290" i="6"/>
  <c r="C267" i="6"/>
  <c r="C187" i="6"/>
  <c r="C165" i="6"/>
  <c r="C113" i="6"/>
  <c r="C273" i="6"/>
  <c r="C245" i="6"/>
  <c r="C239" i="6"/>
  <c r="C193" i="6"/>
  <c r="C159" i="6"/>
  <c r="C148" i="6"/>
  <c r="C108" i="6"/>
  <c r="C268" i="6"/>
  <c r="C228" i="6"/>
  <c r="C222" i="6"/>
  <c r="C200" i="6"/>
  <c r="C188" i="6"/>
  <c r="C303" i="6"/>
  <c r="C252" i="6"/>
  <c r="C212" i="6"/>
  <c r="C206" i="6"/>
  <c r="C172" i="6"/>
  <c r="C292" i="6"/>
  <c r="C286" i="6"/>
  <c r="C264" i="6"/>
  <c r="C258" i="6"/>
  <c r="C235" i="6"/>
  <c r="C184" i="6"/>
  <c r="C178" i="6"/>
  <c r="C155" i="6"/>
  <c r="C226" i="6"/>
  <c r="C89" i="6"/>
  <c r="C67" i="6"/>
  <c r="C63" i="6"/>
  <c r="C47" i="6"/>
  <c r="C31" i="6"/>
  <c r="C15" i="6"/>
  <c r="C280" i="6"/>
  <c r="C271" i="6"/>
  <c r="C251" i="6"/>
  <c r="C242" i="6"/>
  <c r="C229" i="6"/>
  <c r="C197" i="6"/>
  <c r="C97" i="6"/>
  <c r="C77" i="6"/>
  <c r="C34" i="6"/>
  <c r="C18" i="6"/>
  <c r="C300" i="6"/>
  <c r="C168" i="6"/>
  <c r="C83" i="6"/>
  <c r="C71" i="6"/>
  <c r="C58" i="6"/>
  <c r="C54" i="6"/>
  <c r="C50" i="6"/>
  <c r="C37" i="6"/>
  <c r="C260" i="6"/>
  <c r="C98" i="6"/>
  <c r="C88" i="6"/>
  <c r="C62" i="6"/>
  <c r="C40" i="6"/>
  <c r="C24" i="6"/>
  <c r="C274" i="6"/>
  <c r="C236" i="6"/>
  <c r="C116" i="6"/>
  <c r="C110" i="6"/>
  <c r="C104" i="6"/>
  <c r="C76" i="6"/>
  <c r="C66" i="6"/>
  <c r="C43" i="6"/>
  <c r="C27" i="6"/>
  <c r="C11" i="6"/>
  <c r="C276" i="6"/>
  <c r="C220" i="6"/>
  <c r="C207" i="6"/>
  <c r="C149" i="6"/>
  <c r="C146" i="6"/>
  <c r="C139" i="6"/>
  <c r="C82" i="6"/>
  <c r="C70" i="6"/>
  <c r="C46" i="6"/>
  <c r="C30" i="6"/>
  <c r="C14" i="6"/>
  <c r="C209" i="6"/>
  <c r="C171" i="6"/>
  <c r="C162" i="6"/>
  <c r="C87" i="6"/>
  <c r="C57" i="6"/>
  <c r="C53" i="6"/>
  <c r="C49" i="6"/>
  <c r="C293" i="6"/>
  <c r="C287" i="6"/>
  <c r="C191" i="6"/>
  <c r="C142" i="6"/>
  <c r="C114" i="6"/>
  <c r="C81" i="6"/>
  <c r="C61" i="6"/>
  <c r="C36" i="6"/>
  <c r="C241" i="6"/>
  <c r="C232" i="6"/>
  <c r="C223" i="6"/>
  <c r="C196" i="6"/>
  <c r="C180" i="6"/>
  <c r="C132" i="6"/>
  <c r="C120" i="6"/>
  <c r="C100" i="6"/>
  <c r="C69" i="6"/>
  <c r="C65" i="6"/>
  <c r="C39" i="6"/>
  <c r="A15" i="5"/>
  <c r="C26" i="6"/>
  <c r="C38" i="6"/>
  <c r="C41" i="6"/>
  <c r="D60" i="6"/>
  <c r="C79" i="6"/>
  <c r="C94" i="6"/>
  <c r="C117" i="6"/>
  <c r="D174" i="6"/>
  <c r="C190" i="6"/>
  <c r="C248" i="6"/>
  <c r="I4" i="7"/>
  <c r="H4" i="7" s="1"/>
  <c r="AN5" i="7"/>
  <c r="AW4" i="7"/>
  <c r="AV4" i="7" s="1"/>
  <c r="C3" i="7"/>
  <c r="AF4" i="7"/>
  <c r="L3" i="7"/>
  <c r="M3" i="7" s="1"/>
  <c r="AJ3" i="7"/>
  <c r="AK3" i="7" s="1"/>
  <c r="X4" i="7"/>
  <c r="AA3" i="7"/>
  <c r="AB3" i="7" s="1"/>
  <c r="AL286" i="7" l="1"/>
  <c r="AU3" i="7"/>
  <c r="AP4" i="7" s="1"/>
  <c r="AL302" i="7"/>
  <c r="AL4" i="7"/>
  <c r="AL38" i="7"/>
  <c r="AL13" i="7"/>
  <c r="AL29" i="7"/>
  <c r="AL56" i="7"/>
  <c r="AL132" i="7"/>
  <c r="AL112" i="7"/>
  <c r="AL96" i="7"/>
  <c r="AL108" i="7"/>
  <c r="AL86" i="7"/>
  <c r="AL144" i="7"/>
  <c r="AL67" i="7"/>
  <c r="AL191" i="7"/>
  <c r="AL160" i="7"/>
  <c r="AL22" i="7"/>
  <c r="AL175" i="7"/>
  <c r="AL186" i="7"/>
  <c r="AL24" i="7"/>
  <c r="AL200" i="7"/>
  <c r="AL91" i="7"/>
  <c r="AL195" i="7"/>
  <c r="AL170" i="7"/>
  <c r="AL199" i="7"/>
  <c r="AL52" i="7"/>
  <c r="AL207" i="7"/>
  <c r="AL64" i="7"/>
  <c r="AL204" i="7"/>
  <c r="AL94" i="7"/>
  <c r="AL238" i="7"/>
  <c r="AL126" i="7"/>
  <c r="AL17" i="7"/>
  <c r="AL150" i="7"/>
  <c r="AL212" i="7"/>
  <c r="AL145" i="7"/>
  <c r="AL9" i="7"/>
  <c r="AL21" i="7"/>
  <c r="AL176" i="7"/>
  <c r="AL242" i="7"/>
  <c r="AL27" i="7"/>
  <c r="AL183" i="7"/>
  <c r="AL253" i="7"/>
  <c r="AL241" i="7"/>
  <c r="AL35" i="7"/>
  <c r="AL128" i="7"/>
  <c r="AL247" i="7"/>
  <c r="AL18" i="7"/>
  <c r="AL121" i="7"/>
  <c r="AL172" i="7"/>
  <c r="AL254" i="7"/>
  <c r="AL133" i="7"/>
  <c r="AL270" i="7"/>
  <c r="AL301" i="7"/>
  <c r="AL37" i="7"/>
  <c r="AL194" i="7"/>
  <c r="AL53" i="7"/>
  <c r="AL50" i="7"/>
  <c r="AL71" i="7"/>
  <c r="AL220" i="7"/>
  <c r="AL279" i="7"/>
  <c r="AL47" i="7"/>
  <c r="AL138" i="7"/>
  <c r="AL216" i="7"/>
  <c r="AL12" i="7"/>
  <c r="AL99" i="7"/>
  <c r="AL92" i="7"/>
  <c r="AL198" i="7"/>
  <c r="AL271" i="7"/>
  <c r="AL36" i="7"/>
  <c r="AL101" i="7"/>
  <c r="AL87" i="7"/>
  <c r="AL171" i="7"/>
  <c r="AL211" i="7"/>
  <c r="AL292" i="7"/>
  <c r="AL84" i="7"/>
  <c r="AL106" i="7"/>
  <c r="AL142" i="7"/>
  <c r="AL167" i="7"/>
  <c r="AL246" i="7"/>
  <c r="AL258" i="7"/>
  <c r="AL11" i="7"/>
  <c r="AL85" i="7"/>
  <c r="AL129" i="7"/>
  <c r="AL187" i="7"/>
  <c r="AL234" i="7"/>
  <c r="AL291" i="7"/>
  <c r="AL89" i="7"/>
  <c r="AL26" i="7"/>
  <c r="AL55" i="7"/>
  <c r="AL111" i="7"/>
  <c r="AL149" i="7"/>
  <c r="AL218" i="7"/>
  <c r="AL285" i="7"/>
  <c r="AL60" i="7"/>
  <c r="AL5" i="7"/>
  <c r="AL73" i="7"/>
  <c r="AL232" i="7"/>
  <c r="AL190" i="7"/>
  <c r="AL225" i="7"/>
  <c r="AL261" i="7"/>
  <c r="AL45" i="7"/>
  <c r="AL57" i="7"/>
  <c r="AL61" i="7"/>
  <c r="AL90" i="7"/>
  <c r="AL127" i="7"/>
  <c r="AL181" i="7"/>
  <c r="AL229" i="7"/>
  <c r="AL243" i="7"/>
  <c r="AL281" i="7"/>
  <c r="AL30" i="7"/>
  <c r="AL70" i="7"/>
  <c r="AL177" i="7"/>
  <c r="AL252" i="7"/>
  <c r="AL273" i="7"/>
  <c r="AL8" i="7"/>
  <c r="AL77" i="7"/>
  <c r="AL63" i="7"/>
  <c r="AL118" i="7"/>
  <c r="AL143" i="7"/>
  <c r="AL210" i="7"/>
  <c r="AL230" i="7"/>
  <c r="AL263" i="7"/>
  <c r="AL287" i="7"/>
  <c r="AL20" i="7"/>
  <c r="AL82" i="7"/>
  <c r="AL78" i="7"/>
  <c r="AL123" i="7"/>
  <c r="AL131" i="7"/>
  <c r="AL224" i="7"/>
  <c r="AL231" i="7"/>
  <c r="AL250" i="7"/>
  <c r="AL274" i="7"/>
  <c r="AL40" i="7"/>
  <c r="AL134" i="7"/>
  <c r="AL184" i="7"/>
  <c r="AL257" i="7"/>
  <c r="AL48" i="7"/>
  <c r="AL105" i="7"/>
  <c r="AL103" i="7"/>
  <c r="AL136" i="7"/>
  <c r="AL147" i="7"/>
  <c r="AL178" i="7"/>
  <c r="AL215" i="7"/>
  <c r="AL277" i="7"/>
  <c r="AL278" i="7"/>
  <c r="AL139" i="7"/>
  <c r="AL34" i="7"/>
  <c r="AL23" i="7"/>
  <c r="AL32" i="7"/>
  <c r="AL166" i="7"/>
  <c r="AL83" i="7"/>
  <c r="AL115" i="7"/>
  <c r="AL153" i="7"/>
  <c r="AL152" i="7"/>
  <c r="AL161" i="7"/>
  <c r="AL202" i="7"/>
  <c r="AL213" i="7"/>
  <c r="AL256" i="7"/>
  <c r="AL299" i="7"/>
  <c r="AL296" i="7"/>
  <c r="AL137" i="7"/>
  <c r="AL74" i="7"/>
  <c r="AL65" i="7"/>
  <c r="AL62" i="7"/>
  <c r="AL44" i="7"/>
  <c r="AL95" i="7"/>
  <c r="AL98" i="7"/>
  <c r="AL107" i="7"/>
  <c r="AL155" i="7"/>
  <c r="AL173" i="7"/>
  <c r="AL248" i="7"/>
  <c r="AL217" i="7"/>
  <c r="AL237" i="7"/>
  <c r="AL267" i="7"/>
  <c r="AL293" i="7"/>
  <c r="AL19" i="7"/>
  <c r="AL33" i="7"/>
  <c r="AL59" i="7"/>
  <c r="AL120" i="7"/>
  <c r="AL113" i="7"/>
  <c r="AL151" i="7"/>
  <c r="AL236" i="7"/>
  <c r="AL196" i="7"/>
  <c r="AL219" i="7"/>
  <c r="AL209" i="7"/>
  <c r="AL290" i="7"/>
  <c r="AL280" i="7"/>
  <c r="AL51" i="7"/>
  <c r="AL88" i="7"/>
  <c r="AL75" i="7"/>
  <c r="AL79" i="7"/>
  <c r="AL114" i="7"/>
  <c r="AL119" i="7"/>
  <c r="AL164" i="7"/>
  <c r="AL205" i="7"/>
  <c r="AL223" i="7"/>
  <c r="AL227" i="7"/>
  <c r="AL300" i="7"/>
  <c r="AL284" i="7"/>
  <c r="AL16" i="7"/>
  <c r="AL43" i="7"/>
  <c r="AL81" i="7"/>
  <c r="AL49" i="7"/>
  <c r="AL203" i="7"/>
  <c r="AL110" i="7"/>
  <c r="AL158" i="7"/>
  <c r="AL157" i="7"/>
  <c r="AL174" i="7"/>
  <c r="AL201" i="7"/>
  <c r="AL221" i="7"/>
  <c r="AL240" i="7"/>
  <c r="AL269" i="7"/>
  <c r="AL289" i="7"/>
  <c r="AL41" i="7"/>
  <c r="AL54" i="7"/>
  <c r="AL146" i="7"/>
  <c r="AL135" i="7"/>
  <c r="AL159" i="7"/>
  <c r="AL214" i="7"/>
  <c r="AL189" i="7"/>
  <c r="AL222" i="7"/>
  <c r="AL266" i="7"/>
  <c r="AL76" i="7"/>
  <c r="AL7" i="7"/>
  <c r="AL14" i="7"/>
  <c r="AL15" i="7"/>
  <c r="AL68" i="7"/>
  <c r="AL148" i="7"/>
  <c r="AL109" i="7"/>
  <c r="AL80" i="7"/>
  <c r="AL104" i="7"/>
  <c r="AL124" i="7"/>
  <c r="AL179" i="7"/>
  <c r="AL188" i="7"/>
  <c r="AL197" i="7"/>
  <c r="AL226" i="7"/>
  <c r="AL245" i="7"/>
  <c r="AL268" i="7"/>
  <c r="AL251" i="7"/>
  <c r="AL283" i="7"/>
  <c r="AL282" i="7"/>
  <c r="AL66" i="7"/>
  <c r="AL69" i="7"/>
  <c r="AL100" i="7"/>
  <c r="AL180" i="7"/>
  <c r="AL141" i="7"/>
  <c r="AL185" i="7"/>
  <c r="AL249" i="7"/>
  <c r="AL235" i="7"/>
  <c r="AL288" i="7"/>
  <c r="AL3" i="7"/>
  <c r="AL58" i="7"/>
  <c r="AL25" i="7"/>
  <c r="AL28" i="7"/>
  <c r="AL93" i="7"/>
  <c r="AL156" i="7"/>
  <c r="AL116" i="7"/>
  <c r="AL97" i="7"/>
  <c r="AL117" i="7"/>
  <c r="AL140" i="7"/>
  <c r="AL163" i="7"/>
  <c r="AL193" i="7"/>
  <c r="AL208" i="7"/>
  <c r="AL259" i="7"/>
  <c r="AL264" i="7"/>
  <c r="AL272" i="7"/>
  <c r="AL262" i="7"/>
  <c r="AL276" i="7"/>
  <c r="AL298" i="7"/>
  <c r="AL125" i="7"/>
  <c r="AL165" i="7"/>
  <c r="AL169" i="7"/>
  <c r="AL192" i="7"/>
  <c r="AL239" i="7"/>
  <c r="AL206" i="7"/>
  <c r="AL297" i="7"/>
  <c r="AL260" i="7"/>
  <c r="AL294" i="7"/>
  <c r="AL39" i="7"/>
  <c r="AL10" i="7"/>
  <c r="AL42" i="7"/>
  <c r="AL46" i="7"/>
  <c r="AL31" i="7"/>
  <c r="AL122" i="7"/>
  <c r="AL72" i="7"/>
  <c r="AL130" i="7"/>
  <c r="AL102" i="7"/>
  <c r="AL154" i="7"/>
  <c r="AL162" i="7"/>
  <c r="AL168" i="7"/>
  <c r="AL244" i="7"/>
  <c r="AL182" i="7"/>
  <c r="AL228" i="7"/>
  <c r="AL233" i="7"/>
  <c r="AL255" i="7"/>
  <c r="AL265" i="7"/>
  <c r="AL275" i="7"/>
  <c r="AL295" i="7"/>
  <c r="B7" i="2"/>
  <c r="AM3" i="7"/>
  <c r="AH4" i="7" s="1"/>
  <c r="I5" i="7"/>
  <c r="H5" i="7" s="1"/>
  <c r="Y5" i="7"/>
  <c r="X5" i="7" s="1"/>
  <c r="AQ4" i="7"/>
  <c r="AC3" i="7"/>
  <c r="D3" i="7"/>
  <c r="AX3" i="7" s="1"/>
  <c r="E5" i="6" s="1"/>
  <c r="F5" i="6" s="1"/>
  <c r="BA3" i="7"/>
  <c r="Q4" i="7"/>
  <c r="BB4" i="7" s="1"/>
  <c r="AW5" i="7"/>
  <c r="AV5" i="7"/>
  <c r="AO6" i="7"/>
  <c r="AN6" i="7"/>
  <c r="AG5" i="7"/>
  <c r="AF5" i="7" s="1"/>
  <c r="P4" i="7" l="1"/>
  <c r="Q5" i="7" s="1"/>
  <c r="BB5" i="7" s="1"/>
  <c r="E3" i="7"/>
  <c r="AI4" i="7"/>
  <c r="AJ4" i="7" s="1"/>
  <c r="AK4" i="7" s="1"/>
  <c r="AM4" i="7" s="1"/>
  <c r="AH5" i="7" s="1"/>
  <c r="AI5" i="7" s="1"/>
  <c r="AJ5" i="7" s="1"/>
  <c r="AK5" i="7" s="1"/>
  <c r="AM5" i="7" s="1"/>
  <c r="AH6" i="7" s="1"/>
  <c r="AO7" i="7"/>
  <c r="AN7" i="7" s="1"/>
  <c r="Q5" i="6"/>
  <c r="G5" i="6"/>
  <c r="H5" i="6" s="1"/>
  <c r="AR4" i="7"/>
  <c r="AS4" i="7" s="1"/>
  <c r="AU4" i="7" s="1"/>
  <c r="AP5" i="7" s="1"/>
  <c r="Y6" i="7"/>
  <c r="X6" i="7" s="1"/>
  <c r="AW6" i="7"/>
  <c r="AV6" i="7" s="1"/>
  <c r="I6" i="7"/>
  <c r="H6" i="7" s="1"/>
  <c r="AG6" i="7"/>
  <c r="AF6" i="7" s="1"/>
  <c r="P5" i="7" l="1"/>
  <c r="Q6" i="7" s="1"/>
  <c r="BB6" i="7" s="1"/>
  <c r="AQ5" i="7"/>
  <c r="AI6" i="7"/>
  <c r="AJ6" i="7" s="1"/>
  <c r="AK6" i="7" s="1"/>
  <c r="AM6" i="7" s="1"/>
  <c r="AH7" i="7" s="1"/>
  <c r="I5" i="6"/>
  <c r="J5" i="6" s="1"/>
  <c r="R5" i="6"/>
  <c r="AW7" i="7"/>
  <c r="AV7" i="7" s="1"/>
  <c r="AG7" i="7"/>
  <c r="AF7" i="7" s="1"/>
  <c r="AO8" i="7"/>
  <c r="AN8" i="7" s="1"/>
  <c r="I7" i="7"/>
  <c r="H7" i="7" s="1"/>
  <c r="Y7" i="7"/>
  <c r="X7" i="7" s="1"/>
  <c r="P6" i="7" l="1"/>
  <c r="Y8" i="7"/>
  <c r="X8" i="7" s="1"/>
  <c r="AI7" i="7"/>
  <c r="AW8" i="7"/>
  <c r="AV8" i="7" s="1"/>
  <c r="K5" i="6"/>
  <c r="S5" i="6"/>
  <c r="I8" i="7"/>
  <c r="Q7" i="7"/>
  <c r="P7" i="7" s="1"/>
  <c r="AO9" i="7"/>
  <c r="AN9" i="7" s="1"/>
  <c r="AG8" i="7"/>
  <c r="AF8" i="7" s="1"/>
  <c r="AR5" i="7"/>
  <c r="AS5" i="7" s="1"/>
  <c r="AU5" i="7" s="1"/>
  <c r="AP6" i="7" s="1"/>
  <c r="Q8" i="7" l="1"/>
  <c r="P8" i="7" s="1"/>
  <c r="AG9" i="7"/>
  <c r="AF9" i="7" s="1"/>
  <c r="Y9" i="7"/>
  <c r="X9" i="7" s="1"/>
  <c r="AQ6" i="7"/>
  <c r="BB8" i="7"/>
  <c r="BB7" i="7"/>
  <c r="L5" i="6"/>
  <c r="H8" i="7"/>
  <c r="AW9" i="7"/>
  <c r="AV9" i="7" s="1"/>
  <c r="AJ7" i="7"/>
  <c r="AK7" i="7" s="1"/>
  <c r="AM7" i="7" s="1"/>
  <c r="AH8" i="7" s="1"/>
  <c r="AO10" i="7"/>
  <c r="AN10" i="7" s="1"/>
  <c r="AG10" i="7" l="1"/>
  <c r="AF10" i="7" s="1"/>
  <c r="Q9" i="7"/>
  <c r="P9" i="7" s="1"/>
  <c r="AW10" i="7"/>
  <c r="AV10" i="7" s="1"/>
  <c r="AR6" i="7"/>
  <c r="AS6" i="7" s="1"/>
  <c r="AU6" i="7" s="1"/>
  <c r="AP7" i="7" s="1"/>
  <c r="AD3" i="7"/>
  <c r="AE3" i="7" s="1"/>
  <c r="Z4" i="7" s="1"/>
  <c r="V3" i="7"/>
  <c r="W3" i="7" s="1"/>
  <c r="R4" i="7" s="1"/>
  <c r="N3" i="7"/>
  <c r="O3" i="7" s="1"/>
  <c r="J4" i="7" s="1"/>
  <c r="F3" i="7"/>
  <c r="AI8" i="7"/>
  <c r="Y10" i="7"/>
  <c r="X10" i="7" s="1"/>
  <c r="AO11" i="7"/>
  <c r="AN11" i="7" s="1"/>
  <c r="I9" i="7"/>
  <c r="BB9" i="7" s="1"/>
  <c r="AQ7" i="7" l="1"/>
  <c r="AW11" i="7"/>
  <c r="AV11" i="7" s="1"/>
  <c r="Q10" i="7"/>
  <c r="P10" i="7" s="1"/>
  <c r="AY3" i="7"/>
  <c r="M5" i="6" s="1"/>
  <c r="N5" i="6" s="1"/>
  <c r="O5" i="6" s="1"/>
  <c r="G3" i="7"/>
  <c r="K4" i="7"/>
  <c r="AJ8" i="7"/>
  <c r="AK8" i="7" s="1"/>
  <c r="AM8" i="7" s="1"/>
  <c r="AH9" i="7" s="1"/>
  <c r="AA4" i="7"/>
  <c r="AB4" i="7" s="1"/>
  <c r="AC4" i="7" s="1"/>
  <c r="S4" i="7"/>
  <c r="H9" i="7"/>
  <c r="AO12" i="7"/>
  <c r="AN12" i="7" s="1"/>
  <c r="Y11" i="7"/>
  <c r="X11" i="7" s="1"/>
  <c r="AG11" i="7"/>
  <c r="AF11" i="7" s="1"/>
  <c r="AG12" i="7" l="1"/>
  <c r="AF12" i="7" s="1"/>
  <c r="AO13" i="7"/>
  <c r="AN13" i="7" s="1"/>
  <c r="AW12" i="7"/>
  <c r="AV12" i="7" s="1"/>
  <c r="Y12" i="7"/>
  <c r="X12" i="7"/>
  <c r="AI9" i="7"/>
  <c r="AJ9" i="7" s="1"/>
  <c r="B4" i="7"/>
  <c r="AZ3" i="7"/>
  <c r="P5" i="6" s="1"/>
  <c r="T5" i="6" s="1"/>
  <c r="L4" i="7"/>
  <c r="M4" i="7" s="1"/>
  <c r="Q11" i="7"/>
  <c r="P11" i="7" s="1"/>
  <c r="T4" i="7"/>
  <c r="U4" i="7" s="1"/>
  <c r="AR7" i="7"/>
  <c r="AS7" i="7" s="1"/>
  <c r="AU7" i="7" s="1"/>
  <c r="AP8" i="7" s="1"/>
  <c r="I10" i="7"/>
  <c r="BB10" i="7" s="1"/>
  <c r="H10" i="7" l="1"/>
  <c r="I11" i="7" s="1"/>
  <c r="BB11" i="7" s="1"/>
  <c r="Q12" i="7"/>
  <c r="P12" i="7" s="1"/>
  <c r="AO14" i="7"/>
  <c r="AN14" i="7" s="1"/>
  <c r="AW13" i="7"/>
  <c r="AV13" i="7" s="1"/>
  <c r="AK9" i="7"/>
  <c r="AM9" i="7" s="1"/>
  <c r="AH10" i="7" s="1"/>
  <c r="Y13" i="7"/>
  <c r="X13" i="7" s="1"/>
  <c r="AQ8" i="7"/>
  <c r="AR8" i="7" s="1"/>
  <c r="AG13" i="7"/>
  <c r="AF13" i="7" s="1"/>
  <c r="C4" i="7"/>
  <c r="BA4" i="7" s="1"/>
  <c r="AG14" i="7" l="1"/>
  <c r="AF14" i="7" s="1"/>
  <c r="AW14" i="7"/>
  <c r="AV14" i="7" s="1"/>
  <c r="AO15" i="7"/>
  <c r="AN15" i="7" s="1"/>
  <c r="AS8" i="7"/>
  <c r="AU8" i="7" s="1"/>
  <c r="AP9" i="7" s="1"/>
  <c r="Y14" i="7"/>
  <c r="X14" i="7" s="1"/>
  <c r="H11" i="7"/>
  <c r="AI10" i="7"/>
  <c r="D4" i="7"/>
  <c r="AX4" i="7" s="1"/>
  <c r="E6" i="6" s="1"/>
  <c r="F6" i="6" s="1"/>
  <c r="Q13" i="7"/>
  <c r="P13" i="7" s="1"/>
  <c r="AG15" i="7" l="1"/>
  <c r="AF15" i="7" s="1"/>
  <c r="Q14" i="7"/>
  <c r="P14" i="7" s="1"/>
  <c r="AJ10" i="7"/>
  <c r="AK10" i="7" s="1"/>
  <c r="AM10" i="7" s="1"/>
  <c r="AH11" i="7" s="1"/>
  <c r="AQ9" i="7"/>
  <c r="E4" i="7"/>
  <c r="I12" i="7"/>
  <c r="BB12" i="7" s="1"/>
  <c r="AW15" i="7"/>
  <c r="AV15" i="7" s="1"/>
  <c r="Q6" i="6"/>
  <c r="G6" i="6"/>
  <c r="H6" i="6" s="1"/>
  <c r="Y15" i="7"/>
  <c r="X15" i="7" s="1"/>
  <c r="AO16" i="7"/>
  <c r="AN16" i="7" s="1"/>
  <c r="I6" i="6" l="1"/>
  <c r="J6" i="6" s="1"/>
  <c r="S6" i="6" s="1"/>
  <c r="AW16" i="7"/>
  <c r="AV16" i="7" s="1"/>
  <c r="Y16" i="7"/>
  <c r="X16" i="7" s="1"/>
  <c r="AO17" i="7"/>
  <c r="AN17" i="7" s="1"/>
  <c r="AI11" i="7"/>
  <c r="AJ11" i="7" s="1"/>
  <c r="Q15" i="7"/>
  <c r="P15" i="7" s="1"/>
  <c r="AG16" i="7"/>
  <c r="AF16" i="7" s="1"/>
  <c r="H12" i="7"/>
  <c r="AR9" i="7"/>
  <c r="AS9" i="7" s="1"/>
  <c r="AU9" i="7" s="1"/>
  <c r="AP10" i="7" s="1"/>
  <c r="R6" i="6"/>
  <c r="K6" i="6" l="1"/>
  <c r="L6" i="6" s="1"/>
  <c r="AG17" i="7"/>
  <c r="AF17" i="7" s="1"/>
  <c r="AO18" i="7"/>
  <c r="AN18" i="7" s="1"/>
  <c r="Q16" i="7"/>
  <c r="P16" i="7" s="1"/>
  <c r="I13" i="7"/>
  <c r="BB13" i="7" s="1"/>
  <c r="AK11" i="7"/>
  <c r="AM11" i="7" s="1"/>
  <c r="AH12" i="7" s="1"/>
  <c r="AW17" i="7"/>
  <c r="AV17" i="7" s="1"/>
  <c r="AQ10" i="7"/>
  <c r="AR10" i="7" s="1"/>
  <c r="Y17" i="7"/>
  <c r="X17" i="7"/>
  <c r="H13" i="7" l="1"/>
  <c r="AS10" i="7"/>
  <c r="AU10" i="7" s="1"/>
  <c r="AP11" i="7" s="1"/>
  <c r="AQ11" i="7" s="1"/>
  <c r="AR11" i="7" s="1"/>
  <c r="AS11" i="7" s="1"/>
  <c r="AU11" i="7" s="1"/>
  <c r="AP12" i="7" s="1"/>
  <c r="Q17" i="7"/>
  <c r="P17" i="7" s="1"/>
  <c r="AD4" i="7"/>
  <c r="AE4" i="7" s="1"/>
  <c r="Z5" i="7" s="1"/>
  <c r="V4" i="7"/>
  <c r="W4" i="7" s="1"/>
  <c r="R5" i="7" s="1"/>
  <c r="F4" i="7"/>
  <c r="N4" i="7"/>
  <c r="O4" i="7" s="1"/>
  <c r="J5" i="7" s="1"/>
  <c r="AW18" i="7"/>
  <c r="AV18" i="7" s="1"/>
  <c r="AI12" i="7"/>
  <c r="I14" i="7"/>
  <c r="BB14" i="7" s="1"/>
  <c r="Y18" i="7"/>
  <c r="X18" i="7" s="1"/>
  <c r="AO19" i="7"/>
  <c r="AN19" i="7" s="1"/>
  <c r="AG18" i="7"/>
  <c r="AF18" i="7"/>
  <c r="AO20" i="7" l="1"/>
  <c r="AN20" i="7" s="1"/>
  <c r="Q18" i="7"/>
  <c r="P18" i="7" s="1"/>
  <c r="AW19" i="7"/>
  <c r="AV19" i="7" s="1"/>
  <c r="AQ12" i="7"/>
  <c r="AR12" i="7" s="1"/>
  <c r="AY4" i="7"/>
  <c r="M6" i="6" s="1"/>
  <c r="N6" i="6" s="1"/>
  <c r="O6" i="6" s="1"/>
  <c r="G4" i="7"/>
  <c r="AJ12" i="7"/>
  <c r="AK12" i="7" s="1"/>
  <c r="AM12" i="7" s="1"/>
  <c r="AH13" i="7" s="1"/>
  <c r="AG19" i="7"/>
  <c r="AF19" i="7" s="1"/>
  <c r="S5" i="7"/>
  <c r="K5" i="7"/>
  <c r="AA5" i="7"/>
  <c r="AB5" i="7" s="1"/>
  <c r="AC5" i="7" s="1"/>
  <c r="Y19" i="7"/>
  <c r="X19" i="7" s="1"/>
  <c r="H14" i="7"/>
  <c r="AS12" i="7" l="1"/>
  <c r="AU12" i="7" s="1"/>
  <c r="AP13" i="7" s="1"/>
  <c r="AQ13" i="7" s="1"/>
  <c r="Y20" i="7"/>
  <c r="X20" i="7" s="1"/>
  <c r="AW20" i="7"/>
  <c r="AV20" i="7" s="1"/>
  <c r="AO21" i="7"/>
  <c r="AN21" i="7" s="1"/>
  <c r="AI13" i="7"/>
  <c r="AG20" i="7"/>
  <c r="AF20" i="7" s="1"/>
  <c r="I15" i="7"/>
  <c r="BB15" i="7" s="1"/>
  <c r="Q19" i="7"/>
  <c r="P19" i="7" s="1"/>
  <c r="L5" i="7"/>
  <c r="M5" i="7" s="1"/>
  <c r="T5" i="7"/>
  <c r="U5" i="7" s="1"/>
  <c r="B5" i="7"/>
  <c r="AZ4" i="7"/>
  <c r="P6" i="6" s="1"/>
  <c r="T6" i="6" s="1"/>
  <c r="H15" i="7" l="1"/>
  <c r="AR13" i="7"/>
  <c r="AS13" i="7" s="1"/>
  <c r="AU13" i="7" s="1"/>
  <c r="AP14" i="7" s="1"/>
  <c r="AO22" i="7"/>
  <c r="AN22" i="7"/>
  <c r="Q20" i="7"/>
  <c r="P20" i="7" s="1"/>
  <c r="AG21" i="7"/>
  <c r="AF21" i="7" s="1"/>
  <c r="Y21" i="7"/>
  <c r="X21" i="7" s="1"/>
  <c r="AW21" i="7"/>
  <c r="AV21" i="7" s="1"/>
  <c r="AJ13" i="7"/>
  <c r="AK13" i="7" s="1"/>
  <c r="AM13" i="7" s="1"/>
  <c r="AH14" i="7" s="1"/>
  <c r="I16" i="7"/>
  <c r="BB16" i="7" s="1"/>
  <c r="H16" i="7"/>
  <c r="C5" i="7"/>
  <c r="BA5" i="7" s="1"/>
  <c r="AQ14" i="7" l="1"/>
  <c r="AR14" i="7" s="1"/>
  <c r="AS14" i="7" s="1"/>
  <c r="AU14" i="7" s="1"/>
  <c r="AP15" i="7" s="1"/>
  <c r="AQ15" i="7" s="1"/>
  <c r="AR15" i="7" s="1"/>
  <c r="AI14" i="7"/>
  <c r="AW22" i="7"/>
  <c r="AV22" i="7" s="1"/>
  <c r="Y22" i="7"/>
  <c r="X22" i="7" s="1"/>
  <c r="Q21" i="7"/>
  <c r="P21" i="7" s="1"/>
  <c r="AG22" i="7"/>
  <c r="AF22" i="7" s="1"/>
  <c r="I17" i="7"/>
  <c r="BB17" i="7" s="1"/>
  <c r="D5" i="7"/>
  <c r="AX5" i="7" s="1"/>
  <c r="E7" i="6" s="1"/>
  <c r="F7" i="6" s="1"/>
  <c r="G7" i="6" s="1"/>
  <c r="H7" i="6" s="1"/>
  <c r="AO23" i="7"/>
  <c r="AN23" i="7"/>
  <c r="R7" i="6" l="1"/>
  <c r="AG23" i="7"/>
  <c r="AF23" i="7" s="1"/>
  <c r="Q22" i="7"/>
  <c r="P22" i="7" s="1"/>
  <c r="AW23" i="7"/>
  <c r="AV23" i="7" s="1"/>
  <c r="AS15" i="7"/>
  <c r="AU15" i="7" s="1"/>
  <c r="AP16" i="7" s="1"/>
  <c r="AJ14" i="7"/>
  <c r="AK14" i="7" s="1"/>
  <c r="AM14" i="7" s="1"/>
  <c r="AH15" i="7" s="1"/>
  <c r="H17" i="7"/>
  <c r="AO24" i="7"/>
  <c r="AN24" i="7"/>
  <c r="Y23" i="7"/>
  <c r="X23" i="7" s="1"/>
  <c r="E5" i="7"/>
  <c r="Q7" i="6"/>
  <c r="I7" i="6"/>
  <c r="J7" i="6" s="1"/>
  <c r="AI15" i="7" l="1"/>
  <c r="AW24" i="7"/>
  <c r="AV24" i="7" s="1"/>
  <c r="AG24" i="7"/>
  <c r="AF24" i="7" s="1"/>
  <c r="I18" i="7"/>
  <c r="BB18" i="7" s="1"/>
  <c r="AO25" i="7"/>
  <c r="AN25" i="7" s="1"/>
  <c r="AQ16" i="7"/>
  <c r="Y24" i="7"/>
  <c r="X24" i="7" s="1"/>
  <c r="S7" i="6"/>
  <c r="Q23" i="7"/>
  <c r="P23" i="7" s="1"/>
  <c r="K7" i="6"/>
  <c r="H18" i="7" l="1"/>
  <c r="I19" i="7" s="1"/>
  <c r="BB19" i="7" s="1"/>
  <c r="Y25" i="7"/>
  <c r="X25" i="7" s="1"/>
  <c r="AO26" i="7"/>
  <c r="AN26" i="7" s="1"/>
  <c r="AR16" i="7"/>
  <c r="AS16" i="7" s="1"/>
  <c r="AU16" i="7" s="1"/>
  <c r="AP17" i="7" s="1"/>
  <c r="AG25" i="7"/>
  <c r="AF25" i="7" s="1"/>
  <c r="L7" i="6"/>
  <c r="AW25" i="7"/>
  <c r="AV25" i="7" s="1"/>
  <c r="Q24" i="7"/>
  <c r="P24" i="7" s="1"/>
  <c r="AJ15" i="7"/>
  <c r="AK15" i="7" s="1"/>
  <c r="AM15" i="7" s="1"/>
  <c r="AH16" i="7" s="1"/>
  <c r="H19" i="7" l="1"/>
  <c r="I20" i="7" s="1"/>
  <c r="BB20" i="7" s="1"/>
  <c r="AW26" i="7"/>
  <c r="AV26" i="7" s="1"/>
  <c r="AI16" i="7"/>
  <c r="Q25" i="7"/>
  <c r="P25" i="7" s="1"/>
  <c r="AQ17" i="7"/>
  <c r="AR17" i="7" s="1"/>
  <c r="Y26" i="7"/>
  <c r="X26" i="7" s="1"/>
  <c r="AD5" i="7"/>
  <c r="AE5" i="7" s="1"/>
  <c r="Z6" i="7" s="1"/>
  <c r="N5" i="7"/>
  <c r="O5" i="7" s="1"/>
  <c r="J6" i="7" s="1"/>
  <c r="F5" i="7"/>
  <c r="V5" i="7"/>
  <c r="W5" i="7" s="1"/>
  <c r="R6" i="7" s="1"/>
  <c r="AO27" i="7"/>
  <c r="AN27" i="7" s="1"/>
  <c r="AG26" i="7"/>
  <c r="AF26" i="7"/>
  <c r="AW27" i="7" l="1"/>
  <c r="AV27" i="7" s="1"/>
  <c r="AO28" i="7"/>
  <c r="AN28" i="7" s="1"/>
  <c r="Y27" i="7"/>
  <c r="X27" i="7" s="1"/>
  <c r="Q26" i="7"/>
  <c r="P26" i="7" s="1"/>
  <c r="AG27" i="7"/>
  <c r="AF27" i="7" s="1"/>
  <c r="AS17" i="7"/>
  <c r="AU17" i="7" s="1"/>
  <c r="AP18" i="7" s="1"/>
  <c r="K6" i="7"/>
  <c r="L6" i="7" s="1"/>
  <c r="M6" i="7" s="1"/>
  <c r="S6" i="7"/>
  <c r="T6" i="7" s="1"/>
  <c r="U6" i="7" s="1"/>
  <c r="AA6" i="7"/>
  <c r="AB6" i="7" s="1"/>
  <c r="AC6" i="7" s="1"/>
  <c r="H20" i="7"/>
  <c r="AY5" i="7"/>
  <c r="M7" i="6" s="1"/>
  <c r="N7" i="6" s="1"/>
  <c r="O7" i="6" s="1"/>
  <c r="G5" i="7"/>
  <c r="AJ16" i="7"/>
  <c r="AK16" i="7" s="1"/>
  <c r="AM16" i="7" s="1"/>
  <c r="AH17" i="7" s="1"/>
  <c r="AW28" i="7" l="1"/>
  <c r="AV28" i="7" s="1"/>
  <c r="AG28" i="7"/>
  <c r="AF28" i="7" s="1"/>
  <c r="AI17" i="7"/>
  <c r="AQ18" i="7"/>
  <c r="Q27" i="7"/>
  <c r="P27" i="7" s="1"/>
  <c r="Y28" i="7"/>
  <c r="X28" i="7"/>
  <c r="AO29" i="7"/>
  <c r="AN29" i="7" s="1"/>
  <c r="B6" i="7"/>
  <c r="AZ5" i="7"/>
  <c r="P7" i="6" s="1"/>
  <c r="T7" i="6" s="1"/>
  <c r="I21" i="7"/>
  <c r="BB21" i="7" s="1"/>
  <c r="H21" i="7" l="1"/>
  <c r="AJ17" i="7"/>
  <c r="AK17" i="7" s="1"/>
  <c r="AM17" i="7" s="1"/>
  <c r="AH18" i="7" s="1"/>
  <c r="AO30" i="7"/>
  <c r="AN30" i="7" s="1"/>
  <c r="AR18" i="7"/>
  <c r="AS18" i="7" s="1"/>
  <c r="AU18" i="7" s="1"/>
  <c r="AP19" i="7" s="1"/>
  <c r="C6" i="7"/>
  <c r="BA6" i="7" s="1"/>
  <c r="AG29" i="7"/>
  <c r="AF29" i="7" s="1"/>
  <c r="Y29" i="7"/>
  <c r="X29" i="7" s="1"/>
  <c r="Q28" i="7"/>
  <c r="P28" i="7" s="1"/>
  <c r="AW29" i="7"/>
  <c r="AV29" i="7" s="1"/>
  <c r="D6" i="7" l="1"/>
  <c r="AX6" i="7" s="1"/>
  <c r="E8" i="6" s="1"/>
  <c r="F8" i="6" s="1"/>
  <c r="Q29" i="7"/>
  <c r="P29" i="7" s="1"/>
  <c r="AG30" i="7"/>
  <c r="AF30" i="7" s="1"/>
  <c r="AQ19" i="7"/>
  <c r="AR19" i="7" s="1"/>
  <c r="AI18" i="7"/>
  <c r="AW30" i="7"/>
  <c r="AV30" i="7" s="1"/>
  <c r="Y30" i="7"/>
  <c r="X30" i="7" s="1"/>
  <c r="AO31" i="7"/>
  <c r="AN31" i="7" s="1"/>
  <c r="I22" i="7"/>
  <c r="BB22" i="7" s="1"/>
  <c r="H22" i="7"/>
  <c r="G8" i="6" l="1"/>
  <c r="H8" i="6" s="1"/>
  <c r="Q8" i="6"/>
  <c r="E6" i="7"/>
  <c r="AG31" i="7"/>
  <c r="AF31" i="7" s="1"/>
  <c r="Y31" i="7"/>
  <c r="X31" i="7" s="1"/>
  <c r="AJ18" i="7"/>
  <c r="AK18" i="7" s="1"/>
  <c r="AM18" i="7" s="1"/>
  <c r="AH19" i="7" s="1"/>
  <c r="AS19" i="7"/>
  <c r="AU19" i="7" s="1"/>
  <c r="AP20" i="7" s="1"/>
  <c r="AW31" i="7"/>
  <c r="AV31" i="7"/>
  <c r="I23" i="7"/>
  <c r="BB23" i="7" s="1"/>
  <c r="AO32" i="7"/>
  <c r="AN32" i="7" s="1"/>
  <c r="Q30" i="7"/>
  <c r="P30" i="7" s="1"/>
  <c r="R8" i="6" l="1"/>
  <c r="I8" i="6"/>
  <c r="J8" i="6" s="1"/>
  <c r="S8" i="6" s="1"/>
  <c r="Q31" i="7"/>
  <c r="P31" i="7" s="1"/>
  <c r="Y32" i="7"/>
  <c r="X32" i="7" s="1"/>
  <c r="AO33" i="7"/>
  <c r="AN33" i="7" s="1"/>
  <c r="AG32" i="7"/>
  <c r="AF32" i="7" s="1"/>
  <c r="AW32" i="7"/>
  <c r="AV32" i="7" s="1"/>
  <c r="AQ20" i="7"/>
  <c r="H23" i="7"/>
  <c r="AI19" i="7"/>
  <c r="K8" i="6" l="1"/>
  <c r="L8" i="6" s="1"/>
  <c r="AD6" i="7" s="1"/>
  <c r="AE6" i="7" s="1"/>
  <c r="Z7" i="7" s="1"/>
  <c r="AG33" i="7"/>
  <c r="AF33" i="7" s="1"/>
  <c r="Q32" i="7"/>
  <c r="P32" i="7" s="1"/>
  <c r="AR20" i="7"/>
  <c r="AS20" i="7" s="1"/>
  <c r="AU20" i="7" s="1"/>
  <c r="AP21" i="7" s="1"/>
  <c r="AJ19" i="7"/>
  <c r="AK19" i="7" s="1"/>
  <c r="AM19" i="7" s="1"/>
  <c r="AH20" i="7" s="1"/>
  <c r="AO34" i="7"/>
  <c r="AN34" i="7" s="1"/>
  <c r="Y33" i="7"/>
  <c r="X33" i="7" s="1"/>
  <c r="AW33" i="7"/>
  <c r="AV33" i="7" s="1"/>
  <c r="I24" i="7"/>
  <c r="BB24" i="7" s="1"/>
  <c r="H24" i="7"/>
  <c r="N6" i="7" l="1"/>
  <c r="O6" i="7" s="1"/>
  <c r="J7" i="7" s="1"/>
  <c r="K7" i="7" s="1"/>
  <c r="F6" i="7"/>
  <c r="G6" i="7" s="1"/>
  <c r="V6" i="7"/>
  <c r="W6" i="7" s="1"/>
  <c r="R7" i="7" s="1"/>
  <c r="S7" i="7" s="1"/>
  <c r="AW34" i="7"/>
  <c r="AV34" i="7" s="1"/>
  <c r="AI20" i="7"/>
  <c r="AJ20" i="7" s="1"/>
  <c r="AK20" i="7" s="1"/>
  <c r="AM20" i="7" s="1"/>
  <c r="AH21" i="7" s="1"/>
  <c r="Y34" i="7"/>
  <c r="X34" i="7" s="1"/>
  <c r="AQ21" i="7"/>
  <c r="AO35" i="7"/>
  <c r="AN35" i="7"/>
  <c r="AA7" i="7"/>
  <c r="AB7" i="7" s="1"/>
  <c r="AC7" i="7" s="1"/>
  <c r="AG34" i="7"/>
  <c r="AF34" i="7"/>
  <c r="I25" i="7"/>
  <c r="BB25" i="7" s="1"/>
  <c r="Q33" i="7"/>
  <c r="P33" i="7" s="1"/>
  <c r="AY6" i="7" l="1"/>
  <c r="M8" i="6" s="1"/>
  <c r="N8" i="6" s="1"/>
  <c r="O8" i="6" s="1"/>
  <c r="AI21" i="7"/>
  <c r="Y35" i="7"/>
  <c r="X35" i="7" s="1"/>
  <c r="Q34" i="7"/>
  <c r="P34" i="7" s="1"/>
  <c r="AO36" i="7"/>
  <c r="AN36" i="7" s="1"/>
  <c r="T7" i="7"/>
  <c r="U7" i="7" s="1"/>
  <c r="AR21" i="7"/>
  <c r="AS21" i="7" s="1"/>
  <c r="AU21" i="7" s="1"/>
  <c r="AP22" i="7" s="1"/>
  <c r="L7" i="7"/>
  <c r="M7" i="7" s="1"/>
  <c r="AZ6" i="7"/>
  <c r="P8" i="6" s="1"/>
  <c r="T8" i="6" s="1"/>
  <c r="B7" i="7"/>
  <c r="AG35" i="7"/>
  <c r="AF35" i="7" s="1"/>
  <c r="AW35" i="7"/>
  <c r="AV35" i="7" s="1"/>
  <c r="H25" i="7"/>
  <c r="AW36" i="7" l="1"/>
  <c r="AV36" i="7" s="1"/>
  <c r="AQ22" i="7"/>
  <c r="AR22" i="7" s="1"/>
  <c r="Q35" i="7"/>
  <c r="P35" i="7" s="1"/>
  <c r="I26" i="7"/>
  <c r="BB26" i="7" s="1"/>
  <c r="AO37" i="7"/>
  <c r="AN37" i="7" s="1"/>
  <c r="Y36" i="7"/>
  <c r="X36" i="7" s="1"/>
  <c r="AG36" i="7"/>
  <c r="AF36" i="7" s="1"/>
  <c r="AJ21" i="7"/>
  <c r="AK21" i="7" s="1"/>
  <c r="AM21" i="7" s="1"/>
  <c r="AH22" i="7" s="1"/>
  <c r="C7" i="7"/>
  <c r="BA7" i="7" s="1"/>
  <c r="D7" i="7" l="1"/>
  <c r="AX7" i="7" s="1"/>
  <c r="E9" i="6" s="1"/>
  <c r="F9" i="6" s="1"/>
  <c r="AS22" i="7"/>
  <c r="AU22" i="7" s="1"/>
  <c r="AP23" i="7" s="1"/>
  <c r="AQ23" i="7" s="1"/>
  <c r="AG37" i="7"/>
  <c r="AF37" i="7" s="1"/>
  <c r="AI22" i="7"/>
  <c r="AJ22" i="7" s="1"/>
  <c r="AK22" i="7" s="1"/>
  <c r="AM22" i="7" s="1"/>
  <c r="AH23" i="7" s="1"/>
  <c r="Y37" i="7"/>
  <c r="X37" i="7" s="1"/>
  <c r="Q36" i="7"/>
  <c r="P36" i="7" s="1"/>
  <c r="AO38" i="7"/>
  <c r="AN38" i="7" s="1"/>
  <c r="AW37" i="7"/>
  <c r="AV37" i="7"/>
  <c r="H26" i="7"/>
  <c r="Q9" i="6" l="1"/>
  <c r="G9" i="6"/>
  <c r="E7" i="7"/>
  <c r="AR23" i="7"/>
  <c r="AS23" i="7" s="1"/>
  <c r="AU23" i="7" s="1"/>
  <c r="AP24" i="7" s="1"/>
  <c r="AQ24" i="7" s="1"/>
  <c r="AR24" i="7" s="1"/>
  <c r="AG38" i="7"/>
  <c r="AF38" i="7" s="1"/>
  <c r="AI23" i="7"/>
  <c r="AO39" i="7"/>
  <c r="AN39" i="7" s="1"/>
  <c r="I27" i="7"/>
  <c r="BB27" i="7" s="1"/>
  <c r="Q37" i="7"/>
  <c r="P37" i="7" s="1"/>
  <c r="Y38" i="7"/>
  <c r="X38" i="7" s="1"/>
  <c r="AW38" i="7"/>
  <c r="AV38" i="7" s="1"/>
  <c r="H9" i="6" l="1"/>
  <c r="I9" i="6"/>
  <c r="Q38" i="7"/>
  <c r="P38" i="7" s="1"/>
  <c r="AG39" i="7"/>
  <c r="AF39" i="7" s="1"/>
  <c r="AO40" i="7"/>
  <c r="AN40" i="7" s="1"/>
  <c r="AJ23" i="7"/>
  <c r="AK23" i="7" s="1"/>
  <c r="AM23" i="7" s="1"/>
  <c r="AH24" i="7" s="1"/>
  <c r="AW39" i="7"/>
  <c r="AV39" i="7" s="1"/>
  <c r="Y39" i="7"/>
  <c r="X39" i="7" s="1"/>
  <c r="AS24" i="7"/>
  <c r="AU24" i="7" s="1"/>
  <c r="AP25" i="7" s="1"/>
  <c r="H27" i="7"/>
  <c r="J9" i="6" l="1"/>
  <c r="S9" i="6" s="1"/>
  <c r="K9" i="6"/>
  <c r="L9" i="6" s="1"/>
  <c r="R9" i="6"/>
  <c r="Y40" i="7"/>
  <c r="X40" i="7" s="1"/>
  <c r="AI24" i="7"/>
  <c r="AJ24" i="7" s="1"/>
  <c r="AK24" i="7" s="1"/>
  <c r="AM24" i="7" s="1"/>
  <c r="AH25" i="7" s="1"/>
  <c r="AO41" i="7"/>
  <c r="AN41" i="7" s="1"/>
  <c r="AW40" i="7"/>
  <c r="AV40" i="7" s="1"/>
  <c r="AG40" i="7"/>
  <c r="AF40" i="7" s="1"/>
  <c r="I28" i="7"/>
  <c r="BB28" i="7" s="1"/>
  <c r="AQ25" i="7"/>
  <c r="Q39" i="7"/>
  <c r="P39" i="7" s="1"/>
  <c r="H28" i="7" l="1"/>
  <c r="I29" i="7" s="1"/>
  <c r="BB29" i="7" s="1"/>
  <c r="N7" i="7"/>
  <c r="O7" i="7" s="1"/>
  <c r="J8" i="7" s="1"/>
  <c r="K8" i="7" s="1"/>
  <c r="AD7" i="7"/>
  <c r="AE7" i="7" s="1"/>
  <c r="Z8" i="7" s="1"/>
  <c r="AA8" i="7" s="1"/>
  <c r="AB8" i="7" s="1"/>
  <c r="F7" i="7"/>
  <c r="V7" i="7"/>
  <c r="W7" i="7" s="1"/>
  <c r="R8" i="7" s="1"/>
  <c r="S8" i="7" s="1"/>
  <c r="AW41" i="7"/>
  <c r="AV41" i="7" s="1"/>
  <c r="AO42" i="7"/>
  <c r="AN42" i="7" s="1"/>
  <c r="AI25" i="7"/>
  <c r="Q40" i="7"/>
  <c r="P40" i="7" s="1"/>
  <c r="Y41" i="7"/>
  <c r="X41" i="7" s="1"/>
  <c r="AR25" i="7"/>
  <c r="AS25" i="7" s="1"/>
  <c r="AU25" i="7" s="1"/>
  <c r="AP26" i="7" s="1"/>
  <c r="AG41" i="7"/>
  <c r="AF41" i="7"/>
  <c r="L8" i="7" l="1"/>
  <c r="M8" i="7" s="1"/>
  <c r="H29" i="7"/>
  <c r="AC8" i="7"/>
  <c r="G7" i="7"/>
  <c r="AY7" i="7"/>
  <c r="M9" i="6" s="1"/>
  <c r="N9" i="6" s="1"/>
  <c r="O9" i="6" s="1"/>
  <c r="T8" i="7"/>
  <c r="U8" i="7" s="1"/>
  <c r="Y42" i="7"/>
  <c r="X42" i="7" s="1"/>
  <c r="AO43" i="7"/>
  <c r="AN43" i="7" s="1"/>
  <c r="AQ26" i="7"/>
  <c r="AR26" i="7" s="1"/>
  <c r="I30" i="7"/>
  <c r="BB30" i="7" s="1"/>
  <c r="Q41" i="7"/>
  <c r="P41" i="7" s="1"/>
  <c r="AG42" i="7"/>
  <c r="AF42" i="7" s="1"/>
  <c r="AW42" i="7"/>
  <c r="AV42" i="7" s="1"/>
  <c r="AJ25" i="7"/>
  <c r="AK25" i="7" s="1"/>
  <c r="AM25" i="7" s="1"/>
  <c r="AH26" i="7" s="1"/>
  <c r="AZ7" i="7" l="1"/>
  <c r="P9" i="6" s="1"/>
  <c r="T9" i="6" s="1"/>
  <c r="B8" i="7"/>
  <c r="C8" i="7" s="1"/>
  <c r="BA8" i="7" s="1"/>
  <c r="AI26" i="7"/>
  <c r="AJ26" i="7" s="1"/>
  <c r="AK26" i="7" s="1"/>
  <c r="AM26" i="7" s="1"/>
  <c r="AH27" i="7" s="1"/>
  <c r="AG43" i="7"/>
  <c r="AF43" i="7" s="1"/>
  <c r="AW43" i="7"/>
  <c r="AV43" i="7" s="1"/>
  <c r="Q42" i="7"/>
  <c r="P42" i="7" s="1"/>
  <c r="AS26" i="7"/>
  <c r="AU26" i="7" s="1"/>
  <c r="AP27" i="7" s="1"/>
  <c r="H30" i="7"/>
  <c r="AO44" i="7"/>
  <c r="AN44" i="7" s="1"/>
  <c r="Y43" i="7"/>
  <c r="X43" i="7"/>
  <c r="D8" i="7" l="1"/>
  <c r="AX8" i="7" s="1"/>
  <c r="E10" i="6" s="1"/>
  <c r="F10" i="6" s="1"/>
  <c r="G10" i="6" s="1"/>
  <c r="H10" i="6" s="1"/>
  <c r="AI27" i="7"/>
  <c r="AO45" i="7"/>
  <c r="AN45" i="7" s="1"/>
  <c r="Q43" i="7"/>
  <c r="P43" i="7" s="1"/>
  <c r="AG44" i="7"/>
  <c r="AF44" i="7" s="1"/>
  <c r="I31" i="7"/>
  <c r="BB31" i="7" s="1"/>
  <c r="AW44" i="7"/>
  <c r="AV44" i="7" s="1"/>
  <c r="AQ27" i="7"/>
  <c r="Y44" i="7"/>
  <c r="X44" i="7" s="1"/>
  <c r="E8" i="7" l="1"/>
  <c r="B16" i="2" a="1"/>
  <c r="B16" i="2" s="1"/>
  <c r="B18" i="2" s="1"/>
  <c r="H11" i="6"/>
  <c r="R10" i="6"/>
  <c r="AW45" i="7"/>
  <c r="AV45" i="7" s="1"/>
  <c r="Y45" i="7"/>
  <c r="X45" i="7" s="1"/>
  <c r="AG45" i="7"/>
  <c r="AF45" i="7" s="1"/>
  <c r="I10" i="6"/>
  <c r="J10" i="6" s="1"/>
  <c r="Q10" i="6"/>
  <c r="AR27" i="7"/>
  <c r="AS27" i="7" s="1"/>
  <c r="AU27" i="7" s="1"/>
  <c r="AP28" i="7" s="1"/>
  <c r="H31" i="7"/>
  <c r="Q44" i="7"/>
  <c r="P44" i="7" s="1"/>
  <c r="AO46" i="7"/>
  <c r="AN46" i="7" s="1"/>
  <c r="AJ27" i="7"/>
  <c r="AK27" i="7" s="1"/>
  <c r="AM27" i="7" s="1"/>
  <c r="AH28" i="7" s="1"/>
  <c r="R11" i="6" l="1"/>
  <c r="H12" i="6"/>
  <c r="AI28" i="7"/>
  <c r="AJ28" i="7" s="1"/>
  <c r="AK28" i="7" s="1"/>
  <c r="AM28" i="7" s="1"/>
  <c r="AH29" i="7" s="1"/>
  <c r="Q45" i="7"/>
  <c r="P45" i="7" s="1"/>
  <c r="AQ28" i="7"/>
  <c r="Y46" i="7"/>
  <c r="X46" i="7" s="1"/>
  <c r="S10" i="6"/>
  <c r="AO47" i="7"/>
  <c r="AN47" i="7" s="1"/>
  <c r="I32" i="7"/>
  <c r="BB32" i="7" s="1"/>
  <c r="AG46" i="7"/>
  <c r="AF46" i="7" s="1"/>
  <c r="AW46" i="7"/>
  <c r="AV46" i="7" s="1"/>
  <c r="K10" i="6"/>
  <c r="R12" i="6" l="1"/>
  <c r="H13" i="6"/>
  <c r="AG47" i="7"/>
  <c r="AF47" i="7" s="1"/>
  <c r="AI29" i="7"/>
  <c r="AJ29" i="7" s="1"/>
  <c r="H32" i="7"/>
  <c r="Y47" i="7"/>
  <c r="X47" i="7" s="1"/>
  <c r="AR28" i="7"/>
  <c r="AS28" i="7" s="1"/>
  <c r="AU28" i="7" s="1"/>
  <c r="AP29" i="7" s="1"/>
  <c r="AO48" i="7"/>
  <c r="AN48" i="7" s="1"/>
  <c r="L10" i="6"/>
  <c r="Q46" i="7"/>
  <c r="P46" i="7" s="1"/>
  <c r="AW47" i="7"/>
  <c r="AV47" i="7" s="1"/>
  <c r="H14" i="6" l="1"/>
  <c r="R13" i="6"/>
  <c r="AW48" i="7"/>
  <c r="AV48" i="7" s="1"/>
  <c r="AQ29" i="7"/>
  <c r="AR29" i="7" s="1"/>
  <c r="Y48" i="7"/>
  <c r="X48" i="7" s="1"/>
  <c r="AG48" i="7"/>
  <c r="AF48" i="7" s="1"/>
  <c r="I33" i="7"/>
  <c r="BB33" i="7" s="1"/>
  <c r="AD8" i="7"/>
  <c r="AE8" i="7" s="1"/>
  <c r="Z9" i="7" s="1"/>
  <c r="N8" i="7"/>
  <c r="O8" i="7" s="1"/>
  <c r="J9" i="7" s="1"/>
  <c r="V8" i="7"/>
  <c r="W8" i="7" s="1"/>
  <c r="R9" i="7" s="1"/>
  <c r="F8" i="7"/>
  <c r="AO49" i="7"/>
  <c r="AN49" i="7" s="1"/>
  <c r="AK29" i="7"/>
  <c r="AM29" i="7" s="1"/>
  <c r="AH30" i="7" s="1"/>
  <c r="Q47" i="7"/>
  <c r="P47" i="7" s="1"/>
  <c r="H15" i="6" l="1"/>
  <c r="R14" i="6"/>
  <c r="AS29" i="7"/>
  <c r="AU29" i="7" s="1"/>
  <c r="AP30" i="7" s="1"/>
  <c r="AQ30" i="7" s="1"/>
  <c r="AR30" i="7" s="1"/>
  <c r="AS30" i="7" s="1"/>
  <c r="AU30" i="7" s="1"/>
  <c r="AP31" i="7" s="1"/>
  <c r="AO50" i="7"/>
  <c r="AN50" i="7" s="1"/>
  <c r="AG49" i="7"/>
  <c r="AF49" i="7" s="1"/>
  <c r="Y49" i="7"/>
  <c r="X49" i="7" s="1"/>
  <c r="Q48" i="7"/>
  <c r="P48" i="7" s="1"/>
  <c r="AI30" i="7"/>
  <c r="AA9" i="7"/>
  <c r="AB9" i="7" s="1"/>
  <c r="AC9" i="7" s="1"/>
  <c r="AY8" i="7"/>
  <c r="M10" i="6" s="1"/>
  <c r="N10" i="6" s="1"/>
  <c r="O10" i="6" s="1"/>
  <c r="G8" i="7"/>
  <c r="H33" i="7"/>
  <c r="S9" i="7"/>
  <c r="T9" i="7" s="1"/>
  <c r="U9" i="7" s="1"/>
  <c r="AW49" i="7"/>
  <c r="AV49" i="7" s="1"/>
  <c r="K9" i="7"/>
  <c r="R15" i="6" l="1"/>
  <c r="H16" i="6"/>
  <c r="AQ31" i="7"/>
  <c r="AW50" i="7"/>
  <c r="AV50" i="7" s="1"/>
  <c r="Q49" i="7"/>
  <c r="P49" i="7" s="1"/>
  <c r="Y50" i="7"/>
  <c r="X50" i="7" s="1"/>
  <c r="L9" i="7"/>
  <c r="M9" i="7" s="1"/>
  <c r="I34" i="7"/>
  <c r="BB34" i="7" s="1"/>
  <c r="AJ30" i="7"/>
  <c r="AK30" i="7" s="1"/>
  <c r="AM30" i="7" s="1"/>
  <c r="AH31" i="7" s="1"/>
  <c r="B9" i="7"/>
  <c r="AZ8" i="7"/>
  <c r="P10" i="6" s="1"/>
  <c r="T10" i="6" s="1"/>
  <c r="AG50" i="7"/>
  <c r="AF50" i="7" s="1"/>
  <c r="AO51" i="7"/>
  <c r="AN51" i="7" s="1"/>
  <c r="H17" i="6" l="1"/>
  <c r="R16" i="6"/>
  <c r="AO52" i="7"/>
  <c r="AN52" i="7" s="1"/>
  <c r="AW51" i="7"/>
  <c r="AV51" i="7" s="1"/>
  <c r="AG51" i="7"/>
  <c r="AF51" i="7" s="1"/>
  <c r="Y51" i="7"/>
  <c r="X51" i="7" s="1"/>
  <c r="C9" i="7"/>
  <c r="BA9" i="7" s="1"/>
  <c r="H34" i="7"/>
  <c r="Q50" i="7"/>
  <c r="P50" i="7" s="1"/>
  <c r="AI31" i="7"/>
  <c r="AR31" i="7"/>
  <c r="AS31" i="7" s="1"/>
  <c r="AU31" i="7" s="1"/>
  <c r="AP32" i="7" s="1"/>
  <c r="H18" i="6" l="1"/>
  <c r="R17" i="6"/>
  <c r="Q51" i="7"/>
  <c r="P51" i="7"/>
  <c r="Y52" i="7"/>
  <c r="X52" i="7" s="1"/>
  <c r="AG52" i="7"/>
  <c r="AF52" i="7" s="1"/>
  <c r="AO53" i="7"/>
  <c r="AN53" i="7" s="1"/>
  <c r="I35" i="7"/>
  <c r="BB35" i="7" s="1"/>
  <c r="D9" i="7"/>
  <c r="AX9" i="7" s="1"/>
  <c r="E11" i="6" s="1"/>
  <c r="F11" i="6" s="1"/>
  <c r="AQ32" i="7"/>
  <c r="AR32" i="7" s="1"/>
  <c r="AW52" i="7"/>
  <c r="AV52" i="7" s="1"/>
  <c r="AJ31" i="7"/>
  <c r="AK31" i="7" s="1"/>
  <c r="AM31" i="7" s="1"/>
  <c r="AH32" i="7" s="1"/>
  <c r="H35" i="7" l="1"/>
  <c r="R18" i="6"/>
  <c r="H19" i="6"/>
  <c r="AS32" i="7"/>
  <c r="AU32" i="7" s="1"/>
  <c r="AP33" i="7" s="1"/>
  <c r="AQ33" i="7" s="1"/>
  <c r="AG53" i="7"/>
  <c r="AF53" i="7" s="1"/>
  <c r="AI32" i="7"/>
  <c r="I11" i="6"/>
  <c r="J11" i="6" s="1"/>
  <c r="Q11" i="6"/>
  <c r="Y53" i="7"/>
  <c r="X53" i="7" s="1"/>
  <c r="E9" i="7"/>
  <c r="AO54" i="7"/>
  <c r="AN54" i="7"/>
  <c r="Q52" i="7"/>
  <c r="P52" i="7"/>
  <c r="AW53" i="7"/>
  <c r="AV53" i="7" s="1"/>
  <c r="I36" i="7"/>
  <c r="BB36" i="7" s="1"/>
  <c r="H36" i="7" l="1"/>
  <c r="I37" i="7" s="1"/>
  <c r="BB37" i="7" s="1"/>
  <c r="R19" i="6"/>
  <c r="H20" i="6"/>
  <c r="Y54" i="7"/>
  <c r="X54" i="7" s="1"/>
  <c r="AR33" i="7"/>
  <c r="AS33" i="7" s="1"/>
  <c r="AU33" i="7" s="1"/>
  <c r="AP34" i="7" s="1"/>
  <c r="S11" i="6"/>
  <c r="AW54" i="7"/>
  <c r="AV54" i="7" s="1"/>
  <c r="AJ32" i="7"/>
  <c r="AK32" i="7" s="1"/>
  <c r="AM32" i="7" s="1"/>
  <c r="AH33" i="7" s="1"/>
  <c r="K11" i="6"/>
  <c r="Q53" i="7"/>
  <c r="P53" i="7" s="1"/>
  <c r="AO55" i="7"/>
  <c r="AN55" i="7" s="1"/>
  <c r="AG54" i="7"/>
  <c r="AF54" i="7" s="1"/>
  <c r="R20" i="6" l="1"/>
  <c r="H21" i="6"/>
  <c r="AI33" i="7"/>
  <c r="AO56" i="7"/>
  <c r="AN56" i="7"/>
  <c r="AQ34" i="7"/>
  <c r="AR34" i="7" s="1"/>
  <c r="AS34" i="7" s="1"/>
  <c r="AU34" i="7" s="1"/>
  <c r="AP35" i="7" s="1"/>
  <c r="Y55" i="7"/>
  <c r="X55" i="7" s="1"/>
  <c r="AW55" i="7"/>
  <c r="AV55" i="7" s="1"/>
  <c r="H37" i="7"/>
  <c r="Q54" i="7"/>
  <c r="P54" i="7" s="1"/>
  <c r="L11" i="6"/>
  <c r="AG55" i="7"/>
  <c r="AF55" i="7"/>
  <c r="H22" i="6" l="1"/>
  <c r="R21" i="6"/>
  <c r="Q55" i="7"/>
  <c r="P55" i="7" s="1"/>
  <c r="Y56" i="7"/>
  <c r="X56" i="7" s="1"/>
  <c r="AQ35" i="7"/>
  <c r="AR35" i="7" s="1"/>
  <c r="AS35" i="7" s="1"/>
  <c r="AU35" i="7" s="1"/>
  <c r="AP36" i="7" s="1"/>
  <c r="AW56" i="7"/>
  <c r="AV56" i="7" s="1"/>
  <c r="I38" i="7"/>
  <c r="BB38" i="7" s="1"/>
  <c r="AG56" i="7"/>
  <c r="AF56" i="7" s="1"/>
  <c r="AD9" i="7"/>
  <c r="AE9" i="7" s="1"/>
  <c r="Z10" i="7" s="1"/>
  <c r="F9" i="7"/>
  <c r="V9" i="7"/>
  <c r="W9" i="7" s="1"/>
  <c r="R10" i="7" s="1"/>
  <c r="N9" i="7"/>
  <c r="O9" i="7" s="1"/>
  <c r="J10" i="7" s="1"/>
  <c r="AO57" i="7"/>
  <c r="AN57" i="7" s="1"/>
  <c r="AJ33" i="7"/>
  <c r="AK33" i="7" s="1"/>
  <c r="AM33" i="7" s="1"/>
  <c r="AH34" i="7" s="1"/>
  <c r="R22" i="6" l="1"/>
  <c r="H23" i="6"/>
  <c r="AI34" i="7"/>
  <c r="AG57" i="7"/>
  <c r="AF57" i="7" s="1"/>
  <c r="AW57" i="7"/>
  <c r="AV57" i="7" s="1"/>
  <c r="AQ36" i="7"/>
  <c r="AR36" i="7" s="1"/>
  <c r="AS36" i="7" s="1"/>
  <c r="AU36" i="7" s="1"/>
  <c r="AP37" i="7" s="1"/>
  <c r="Y57" i="7"/>
  <c r="X57" i="7" s="1"/>
  <c r="Q56" i="7"/>
  <c r="P56" i="7" s="1"/>
  <c r="AA10" i="7"/>
  <c r="AB10" i="7" s="1"/>
  <c r="H38" i="7"/>
  <c r="AY9" i="7"/>
  <c r="M11" i="6" s="1"/>
  <c r="N11" i="6" s="1"/>
  <c r="O11" i="6" s="1"/>
  <c r="G9" i="7"/>
  <c r="K10" i="7"/>
  <c r="AO58" i="7"/>
  <c r="AN58" i="7" s="1"/>
  <c r="S10" i="7"/>
  <c r="H24" i="6" l="1"/>
  <c r="R23" i="6"/>
  <c r="AQ37" i="7"/>
  <c r="AR37" i="7" s="1"/>
  <c r="AO59" i="7"/>
  <c r="AN59" i="7" s="1"/>
  <c r="Q57" i="7"/>
  <c r="P57" i="7" s="1"/>
  <c r="AW58" i="7"/>
  <c r="AV58" i="7" s="1"/>
  <c r="Y58" i="7"/>
  <c r="X58" i="7" s="1"/>
  <c r="L10" i="7"/>
  <c r="M10" i="7" s="1"/>
  <c r="AG58" i="7"/>
  <c r="AF58" i="7" s="1"/>
  <c r="AZ9" i="7"/>
  <c r="P11" i="6" s="1"/>
  <c r="T11" i="6" s="1"/>
  <c r="B10" i="7"/>
  <c r="AJ34" i="7"/>
  <c r="AK34" i="7" s="1"/>
  <c r="AM34" i="7" s="1"/>
  <c r="AH35" i="7" s="1"/>
  <c r="AC10" i="7"/>
  <c r="T10" i="7"/>
  <c r="U10" i="7" s="1"/>
  <c r="I39" i="7"/>
  <c r="BB39" i="7" s="1"/>
  <c r="R24" i="6" l="1"/>
  <c r="H25" i="6"/>
  <c r="Q58" i="7"/>
  <c r="P58" i="7" s="1"/>
  <c r="AW59" i="7"/>
  <c r="AV59" i="7" s="1"/>
  <c r="Y59" i="7"/>
  <c r="X59" i="7" s="1"/>
  <c r="C10" i="7"/>
  <c r="BA10" i="7" s="1"/>
  <c r="AG59" i="7"/>
  <c r="AF59" i="7" s="1"/>
  <c r="AI35" i="7"/>
  <c r="AJ35" i="7" s="1"/>
  <c r="AK35" i="7" s="1"/>
  <c r="AM35" i="7" s="1"/>
  <c r="AH36" i="7" s="1"/>
  <c r="H39" i="7"/>
  <c r="AO60" i="7"/>
  <c r="AN60" i="7" s="1"/>
  <c r="AS37" i="7"/>
  <c r="AU37" i="7" s="1"/>
  <c r="AP38" i="7" s="1"/>
  <c r="R25" i="6" l="1"/>
  <c r="H26" i="6"/>
  <c r="AI36" i="7"/>
  <c r="Y60" i="7"/>
  <c r="X60" i="7" s="1"/>
  <c r="Q59" i="7"/>
  <c r="P59" i="7" s="1"/>
  <c r="D10" i="7"/>
  <c r="AX10" i="7" s="1"/>
  <c r="E12" i="6" s="1"/>
  <c r="F12" i="6" s="1"/>
  <c r="I40" i="7"/>
  <c r="BB40" i="7" s="1"/>
  <c r="AG60" i="7"/>
  <c r="AF60" i="7" s="1"/>
  <c r="AQ38" i="7"/>
  <c r="AR38" i="7" s="1"/>
  <c r="AW60" i="7"/>
  <c r="AV60" i="7" s="1"/>
  <c r="AO61" i="7"/>
  <c r="AN61" i="7" s="1"/>
  <c r="H27" i="6" l="1"/>
  <c r="R26" i="6"/>
  <c r="AG61" i="7"/>
  <c r="AF61" i="7" s="1"/>
  <c r="AO62" i="7"/>
  <c r="AN62" i="7" s="1"/>
  <c r="Q60" i="7"/>
  <c r="P60" i="7" s="1"/>
  <c r="AS38" i="7"/>
  <c r="AU38" i="7" s="1"/>
  <c r="AP39" i="7" s="1"/>
  <c r="Q12" i="6"/>
  <c r="I12" i="6"/>
  <c r="J12" i="6" s="1"/>
  <c r="Y61" i="7"/>
  <c r="X61" i="7" s="1"/>
  <c r="H40" i="7"/>
  <c r="E10" i="7"/>
  <c r="AW61" i="7"/>
  <c r="AV61" i="7" s="1"/>
  <c r="AJ36" i="7"/>
  <c r="AK36" i="7" s="1"/>
  <c r="AM36" i="7" s="1"/>
  <c r="AH37" i="7" s="1"/>
  <c r="H28" i="6" l="1"/>
  <c r="R27" i="6"/>
  <c r="K12" i="6"/>
  <c r="L12" i="6" s="1"/>
  <c r="Y62" i="7"/>
  <c r="X62" i="7" s="1"/>
  <c r="AW62" i="7"/>
  <c r="AV62" i="7" s="1"/>
  <c r="AI37" i="7"/>
  <c r="AJ37" i="7" s="1"/>
  <c r="AK37" i="7" s="1"/>
  <c r="AM37" i="7" s="1"/>
  <c r="AH38" i="7" s="1"/>
  <c r="I41" i="7"/>
  <c r="BB41" i="7" s="1"/>
  <c r="AQ39" i="7"/>
  <c r="S12" i="6"/>
  <c r="Q61" i="7"/>
  <c r="P61" i="7" s="1"/>
  <c r="AG62" i="7"/>
  <c r="AF62" i="7" s="1"/>
  <c r="AO63" i="7"/>
  <c r="AN63" i="7" s="1"/>
  <c r="R28" i="6" l="1"/>
  <c r="H29" i="6"/>
  <c r="AG63" i="7"/>
  <c r="AF63" i="7" s="1"/>
  <c r="Y63" i="7"/>
  <c r="X63" i="7" s="1"/>
  <c r="AO64" i="7"/>
  <c r="AN64" i="7"/>
  <c r="AI38" i="7"/>
  <c r="AJ38" i="7" s="1"/>
  <c r="H41" i="7"/>
  <c r="Q62" i="7"/>
  <c r="P62" i="7" s="1"/>
  <c r="AW63" i="7"/>
  <c r="AV63" i="7" s="1"/>
  <c r="AR39" i="7"/>
  <c r="AS39" i="7" s="1"/>
  <c r="AU39" i="7" s="1"/>
  <c r="AP40" i="7" s="1"/>
  <c r="AD10" i="7"/>
  <c r="AE10" i="7" s="1"/>
  <c r="Z11" i="7" s="1"/>
  <c r="F10" i="7"/>
  <c r="V10" i="7"/>
  <c r="W10" i="7" s="1"/>
  <c r="R11" i="7" s="1"/>
  <c r="N10" i="7"/>
  <c r="O10" i="7" s="1"/>
  <c r="J11" i="7" s="1"/>
  <c r="R29" i="6" l="1"/>
  <c r="H30" i="6"/>
  <c r="AQ40" i="7"/>
  <c r="AW64" i="7"/>
  <c r="AV64" i="7"/>
  <c r="Q63" i="7"/>
  <c r="P63" i="7" s="1"/>
  <c r="Y64" i="7"/>
  <c r="X64" i="7"/>
  <c r="AG64" i="7"/>
  <c r="AF64" i="7"/>
  <c r="AK38" i="7"/>
  <c r="AM38" i="7" s="1"/>
  <c r="AH39" i="7" s="1"/>
  <c r="S11" i="7"/>
  <c r="T11" i="7" s="1"/>
  <c r="I42" i="7"/>
  <c r="BB42" i="7" s="1"/>
  <c r="AY10" i="7"/>
  <c r="M12" i="6" s="1"/>
  <c r="N12" i="6" s="1"/>
  <c r="O12" i="6" s="1"/>
  <c r="G10" i="7"/>
  <c r="K11" i="7"/>
  <c r="L11" i="7" s="1"/>
  <c r="M11" i="7" s="1"/>
  <c r="AO65" i="7"/>
  <c r="AN65" i="7" s="1"/>
  <c r="AA11" i="7"/>
  <c r="H42" i="7" l="1"/>
  <c r="I43" i="7" s="1"/>
  <c r="BB43" i="7" s="1"/>
  <c r="R30" i="6"/>
  <c r="H31" i="6"/>
  <c r="AO66" i="7"/>
  <c r="AN66" i="7" s="1"/>
  <c r="Q64" i="7"/>
  <c r="P64" i="7" s="1"/>
  <c r="AI39" i="7"/>
  <c r="AB11" i="7"/>
  <c r="AC11" i="7" s="1"/>
  <c r="U11" i="7"/>
  <c r="AG65" i="7"/>
  <c r="AF65" i="7" s="1"/>
  <c r="B11" i="7"/>
  <c r="AZ10" i="7"/>
  <c r="P12" i="6" s="1"/>
  <c r="T12" i="6" s="1"/>
  <c r="Y65" i="7"/>
  <c r="X65" i="7"/>
  <c r="AW65" i="7"/>
  <c r="AV65" i="7" s="1"/>
  <c r="AR40" i="7"/>
  <c r="AS40" i="7" s="1"/>
  <c r="AU40" i="7" s="1"/>
  <c r="AP41" i="7" s="1"/>
  <c r="H43" i="7" l="1"/>
  <c r="R31" i="6"/>
  <c r="H32" i="6"/>
  <c r="AQ41" i="7"/>
  <c r="AR41" i="7" s="1"/>
  <c r="AS41" i="7" s="1"/>
  <c r="AU41" i="7" s="1"/>
  <c r="AP42" i="7" s="1"/>
  <c r="AW66" i="7"/>
  <c r="AV66" i="7" s="1"/>
  <c r="AG66" i="7"/>
  <c r="AF66" i="7" s="1"/>
  <c r="Q65" i="7"/>
  <c r="P65" i="7" s="1"/>
  <c r="AO67" i="7"/>
  <c r="AN67" i="7" s="1"/>
  <c r="AJ39" i="7"/>
  <c r="AK39" i="7" s="1"/>
  <c r="AM39" i="7" s="1"/>
  <c r="AH40" i="7" s="1"/>
  <c r="I44" i="7"/>
  <c r="BB44" i="7" s="1"/>
  <c r="C11" i="7"/>
  <c r="BA11" i="7" s="1"/>
  <c r="Y66" i="7"/>
  <c r="X66" i="7" s="1"/>
  <c r="H44" i="7" l="1"/>
  <c r="H33" i="6"/>
  <c r="R32" i="6"/>
  <c r="AI40" i="7"/>
  <c r="Q66" i="7"/>
  <c r="P66" i="7" s="1"/>
  <c r="AQ42" i="7"/>
  <c r="AO68" i="7"/>
  <c r="AN68" i="7" s="1"/>
  <c r="AW67" i="7"/>
  <c r="AV67" i="7" s="1"/>
  <c r="D11" i="7"/>
  <c r="Y67" i="7"/>
  <c r="X67" i="7" s="1"/>
  <c r="AG67" i="7"/>
  <c r="AF67" i="7" s="1"/>
  <c r="I45" i="7"/>
  <c r="BB45" i="7" s="1"/>
  <c r="R33" i="6" l="1"/>
  <c r="H34" i="6"/>
  <c r="Y68" i="7"/>
  <c r="X68" i="7"/>
  <c r="AW68" i="7"/>
  <c r="AV68" i="7" s="1"/>
  <c r="Q67" i="7"/>
  <c r="P67" i="7" s="1"/>
  <c r="AX11" i="7"/>
  <c r="E13" i="6" s="1"/>
  <c r="F13" i="6" s="1"/>
  <c r="E11" i="7"/>
  <c r="AO69" i="7"/>
  <c r="AN69" i="7" s="1"/>
  <c r="AR42" i="7"/>
  <c r="AS42" i="7" s="1"/>
  <c r="AU42" i="7" s="1"/>
  <c r="AP43" i="7" s="1"/>
  <c r="H45" i="7"/>
  <c r="AG68" i="7"/>
  <c r="AF68" i="7" s="1"/>
  <c r="AJ40" i="7"/>
  <c r="AK40" i="7" s="1"/>
  <c r="AM40" i="7" s="1"/>
  <c r="AH41" i="7" s="1"/>
  <c r="R34" i="6" l="1"/>
  <c r="H35" i="6"/>
  <c r="AI41" i="7"/>
  <c r="AJ41" i="7" s="1"/>
  <c r="AO70" i="7"/>
  <c r="AN70" i="7" s="1"/>
  <c r="AQ43" i="7"/>
  <c r="AR43" i="7" s="1"/>
  <c r="Q68" i="7"/>
  <c r="P68" i="7" s="1"/>
  <c r="Y69" i="7"/>
  <c r="X69" i="7" s="1"/>
  <c r="I13" i="6"/>
  <c r="J13" i="6" s="1"/>
  <c r="Q13" i="6"/>
  <c r="AG69" i="7"/>
  <c r="AF69" i="7" s="1"/>
  <c r="I46" i="7"/>
  <c r="BB46" i="7" s="1"/>
  <c r="AW69" i="7"/>
  <c r="AV69" i="7" s="1"/>
  <c r="H46" i="7" l="1"/>
  <c r="H36" i="6"/>
  <c r="R35" i="6"/>
  <c r="AS43" i="7"/>
  <c r="AU43" i="7" s="1"/>
  <c r="AP44" i="7" s="1"/>
  <c r="AQ44" i="7" s="1"/>
  <c r="AK41" i="7"/>
  <c r="AM41" i="7" s="1"/>
  <c r="AH42" i="7" s="1"/>
  <c r="AI42" i="7" s="1"/>
  <c r="AJ42" i="7" s="1"/>
  <c r="AK42" i="7" s="1"/>
  <c r="AM42" i="7" s="1"/>
  <c r="AH43" i="7" s="1"/>
  <c r="Q69" i="7"/>
  <c r="P69" i="7" s="1"/>
  <c r="Y70" i="7"/>
  <c r="X70" i="7" s="1"/>
  <c r="AW70" i="7"/>
  <c r="AV70" i="7" s="1"/>
  <c r="AO71" i="7"/>
  <c r="AN71" i="7" s="1"/>
  <c r="AG70" i="7"/>
  <c r="AF70" i="7" s="1"/>
  <c r="S13" i="6"/>
  <c r="I47" i="7"/>
  <c r="BB47" i="7" s="1"/>
  <c r="K13" i="6"/>
  <c r="H37" i="6" l="1"/>
  <c r="R36" i="6"/>
  <c r="AI43" i="7"/>
  <c r="AJ43" i="7" s="1"/>
  <c r="Y71" i="7"/>
  <c r="X71" i="7" s="1"/>
  <c r="Q70" i="7"/>
  <c r="P70" i="7" s="1"/>
  <c r="AO72" i="7"/>
  <c r="AN72" i="7" s="1"/>
  <c r="AR44" i="7"/>
  <c r="AS44" i="7" s="1"/>
  <c r="AU44" i="7" s="1"/>
  <c r="AP45" i="7" s="1"/>
  <c r="AW71" i="7"/>
  <c r="AV71" i="7" s="1"/>
  <c r="L13" i="6"/>
  <c r="H47" i="7"/>
  <c r="AG71" i="7"/>
  <c r="AF71" i="7" s="1"/>
  <c r="R37" i="6" l="1"/>
  <c r="H38" i="6"/>
  <c r="Q71" i="7"/>
  <c r="P71" i="7" s="1"/>
  <c r="AW72" i="7"/>
  <c r="AV72" i="7" s="1"/>
  <c r="AQ45" i="7"/>
  <c r="AO73" i="7"/>
  <c r="AN73" i="7" s="1"/>
  <c r="Y72" i="7"/>
  <c r="X72" i="7" s="1"/>
  <c r="AD11" i="7"/>
  <c r="AE11" i="7" s="1"/>
  <c r="Z12" i="7" s="1"/>
  <c r="V11" i="7"/>
  <c r="W11" i="7" s="1"/>
  <c r="R12" i="7" s="1"/>
  <c r="F11" i="7"/>
  <c r="N11" i="7"/>
  <c r="O11" i="7" s="1"/>
  <c r="J12" i="7" s="1"/>
  <c r="AG72" i="7"/>
  <c r="AF72" i="7"/>
  <c r="I48" i="7"/>
  <c r="BB48" i="7" s="1"/>
  <c r="AK43" i="7"/>
  <c r="AM43" i="7" s="1"/>
  <c r="AH44" i="7" s="1"/>
  <c r="H39" i="6" l="1"/>
  <c r="R38" i="6"/>
  <c r="Y73" i="7"/>
  <c r="X73" i="7" s="1"/>
  <c r="K12" i="7"/>
  <c r="L12" i="7" s="1"/>
  <c r="M12" i="7" s="1"/>
  <c r="AY11" i="7"/>
  <c r="M13" i="6" s="1"/>
  <c r="N13" i="6" s="1"/>
  <c r="O13" i="6" s="1"/>
  <c r="G11" i="7"/>
  <c r="AI44" i="7"/>
  <c r="AJ44" i="7" s="1"/>
  <c r="AK44" i="7" s="1"/>
  <c r="AM44" i="7" s="1"/>
  <c r="AH45" i="7" s="1"/>
  <c r="AR45" i="7"/>
  <c r="AS45" i="7" s="1"/>
  <c r="AU45" i="7" s="1"/>
  <c r="AP46" i="7" s="1"/>
  <c r="H48" i="7"/>
  <c r="S12" i="7"/>
  <c r="AG73" i="7"/>
  <c r="AF73" i="7" s="1"/>
  <c r="Q72" i="7"/>
  <c r="P72" i="7" s="1"/>
  <c r="AA12" i="7"/>
  <c r="AB12" i="7" s="1"/>
  <c r="AC12" i="7" s="1"/>
  <c r="AO74" i="7"/>
  <c r="AN74" i="7" s="1"/>
  <c r="AW73" i="7"/>
  <c r="AV73" i="7"/>
  <c r="H40" i="6" l="1"/>
  <c r="R39" i="6"/>
  <c r="AI45" i="7"/>
  <c r="Q73" i="7"/>
  <c r="P73" i="7" s="1"/>
  <c r="AQ46" i="7"/>
  <c r="AR46" i="7" s="1"/>
  <c r="AW74" i="7"/>
  <c r="AV74" i="7" s="1"/>
  <c r="B12" i="7"/>
  <c r="AZ11" i="7"/>
  <c r="P13" i="6" s="1"/>
  <c r="T13" i="6" s="1"/>
  <c r="T12" i="7"/>
  <c r="U12" i="7" s="1"/>
  <c r="I49" i="7"/>
  <c r="BB49" i="7" s="1"/>
  <c r="AO75" i="7"/>
  <c r="AN75" i="7"/>
  <c r="AG74" i="7"/>
  <c r="AF74" i="7" s="1"/>
  <c r="Y74" i="7"/>
  <c r="X74" i="7" s="1"/>
  <c r="H41" i="6" l="1"/>
  <c r="R40" i="6"/>
  <c r="AJ45" i="7"/>
  <c r="AK45" i="7" s="1"/>
  <c r="AM45" i="7" s="1"/>
  <c r="AH46" i="7" s="1"/>
  <c r="AI46" i="7" s="1"/>
  <c r="AJ46" i="7" s="1"/>
  <c r="AG75" i="7"/>
  <c r="AF75" i="7" s="1"/>
  <c r="C12" i="7"/>
  <c r="BA12" i="7" s="1"/>
  <c r="AS46" i="7"/>
  <c r="AU46" i="7" s="1"/>
  <c r="AP47" i="7" s="1"/>
  <c r="Q74" i="7"/>
  <c r="P74" i="7"/>
  <c r="H49" i="7"/>
  <c r="Y75" i="7"/>
  <c r="X75" i="7" s="1"/>
  <c r="AO76" i="7"/>
  <c r="AN76" i="7" s="1"/>
  <c r="AW75" i="7"/>
  <c r="AV75" i="7" s="1"/>
  <c r="H42" i="6" l="1"/>
  <c r="R41" i="6"/>
  <c r="AW76" i="7"/>
  <c r="AV76" i="7" s="1"/>
  <c r="Y76" i="7"/>
  <c r="X76" i="7" s="1"/>
  <c r="Q75" i="7"/>
  <c r="P75" i="7" s="1"/>
  <c r="AK46" i="7"/>
  <c r="AM46" i="7" s="1"/>
  <c r="AH47" i="7" s="1"/>
  <c r="I50" i="7"/>
  <c r="BB50" i="7" s="1"/>
  <c r="D12" i="7"/>
  <c r="AX12" i="7" s="1"/>
  <c r="E14" i="6" s="1"/>
  <c r="F14" i="6" s="1"/>
  <c r="AO77" i="7"/>
  <c r="AN77" i="7" s="1"/>
  <c r="AQ47" i="7"/>
  <c r="AG76" i="7"/>
  <c r="AF76" i="7" s="1"/>
  <c r="H43" i="6" l="1"/>
  <c r="R42" i="6"/>
  <c r="AG77" i="7"/>
  <c r="AF77" i="7" s="1"/>
  <c r="AO78" i="7"/>
  <c r="AN78" i="7" s="1"/>
  <c r="Y77" i="7"/>
  <c r="X77" i="7" s="1"/>
  <c r="AR47" i="7"/>
  <c r="AS47" i="7" s="1"/>
  <c r="AU47" i="7" s="1"/>
  <c r="AP48" i="7" s="1"/>
  <c r="I14" i="6"/>
  <c r="J14" i="6" s="1"/>
  <c r="Q14" i="6"/>
  <c r="E12" i="7"/>
  <c r="H50" i="7"/>
  <c r="AI47" i="7"/>
  <c r="Q76" i="7"/>
  <c r="P76" i="7" s="1"/>
  <c r="AW77" i="7"/>
  <c r="AV77" i="7"/>
  <c r="R43" i="6" l="1"/>
  <c r="H44" i="6"/>
  <c r="AQ48" i="7"/>
  <c r="AR48" i="7" s="1"/>
  <c r="AS48" i="7" s="1"/>
  <c r="AU48" i="7" s="1"/>
  <c r="AP49" i="7" s="1"/>
  <c r="Y78" i="7"/>
  <c r="X78" i="7" s="1"/>
  <c r="AO79" i="7"/>
  <c r="AN79" i="7" s="1"/>
  <c r="AG78" i="7"/>
  <c r="AF78" i="7" s="1"/>
  <c r="I51" i="7"/>
  <c r="BB51" i="7" s="1"/>
  <c r="AJ47" i="7"/>
  <c r="AK47" i="7" s="1"/>
  <c r="AM47" i="7" s="1"/>
  <c r="AH48" i="7" s="1"/>
  <c r="S14" i="6"/>
  <c r="K14" i="6"/>
  <c r="AW78" i="7"/>
  <c r="AV78" i="7" s="1"/>
  <c r="Q77" i="7"/>
  <c r="P77" i="7" s="1"/>
  <c r="H51" i="7" l="1"/>
  <c r="R44" i="6"/>
  <c r="H45" i="6"/>
  <c r="AQ49" i="7"/>
  <c r="AI48" i="7"/>
  <c r="AG79" i="7"/>
  <c r="AF79" i="7" s="1"/>
  <c r="AO80" i="7"/>
  <c r="AN80" i="7" s="1"/>
  <c r="AW79" i="7"/>
  <c r="AV79" i="7" s="1"/>
  <c r="Q78" i="7"/>
  <c r="P78" i="7" s="1"/>
  <c r="Y79" i="7"/>
  <c r="X79" i="7"/>
  <c r="I52" i="7"/>
  <c r="BB52" i="7" s="1"/>
  <c r="L14" i="6"/>
  <c r="H46" i="6" l="1"/>
  <c r="R45" i="6"/>
  <c r="AW80" i="7"/>
  <c r="AV80" i="7" s="1"/>
  <c r="AO81" i="7"/>
  <c r="AN81" i="7" s="1"/>
  <c r="AG80" i="7"/>
  <c r="AF80" i="7" s="1"/>
  <c r="Q79" i="7"/>
  <c r="P79" i="7" s="1"/>
  <c r="AJ48" i="7"/>
  <c r="AK48" i="7" s="1"/>
  <c r="AM48" i="7" s="1"/>
  <c r="AH49" i="7" s="1"/>
  <c r="AD12" i="7"/>
  <c r="AE12" i="7" s="1"/>
  <c r="Z13" i="7" s="1"/>
  <c r="N12" i="7"/>
  <c r="O12" i="7" s="1"/>
  <c r="J13" i="7" s="1"/>
  <c r="V12" i="7"/>
  <c r="W12" i="7" s="1"/>
  <c r="R13" i="7" s="1"/>
  <c r="F12" i="7"/>
  <c r="H52" i="7"/>
  <c r="Y80" i="7"/>
  <c r="X80" i="7"/>
  <c r="AR49" i="7"/>
  <c r="AS49" i="7" s="1"/>
  <c r="AU49" i="7" s="1"/>
  <c r="AP50" i="7" s="1"/>
  <c r="H47" i="6" l="1"/>
  <c r="R46" i="6"/>
  <c r="AQ50" i="7"/>
  <c r="AI49" i="7"/>
  <c r="AJ49" i="7" s="1"/>
  <c r="Q80" i="7"/>
  <c r="P80" i="7"/>
  <c r="AG81" i="7"/>
  <c r="AF81" i="7" s="1"/>
  <c r="AW81" i="7"/>
  <c r="AV81" i="7" s="1"/>
  <c r="K13" i="7"/>
  <c r="L13" i="7" s="1"/>
  <c r="S13" i="7"/>
  <c r="T13" i="7" s="1"/>
  <c r="U13" i="7" s="1"/>
  <c r="AA13" i="7"/>
  <c r="Y81" i="7"/>
  <c r="X81" i="7" s="1"/>
  <c r="I53" i="7"/>
  <c r="BB53" i="7" s="1"/>
  <c r="AO82" i="7"/>
  <c r="AN82" i="7" s="1"/>
  <c r="AY12" i="7"/>
  <c r="M14" i="6" s="1"/>
  <c r="N14" i="6" s="1"/>
  <c r="O14" i="6" s="1"/>
  <c r="G12" i="7"/>
  <c r="H53" i="7" l="1"/>
  <c r="R47" i="6"/>
  <c r="H48" i="6"/>
  <c r="AK49" i="7"/>
  <c r="AM49" i="7" s="1"/>
  <c r="AH50" i="7" s="1"/>
  <c r="AI50" i="7" s="1"/>
  <c r="AJ50" i="7" s="1"/>
  <c r="M13" i="7"/>
  <c r="AO83" i="7"/>
  <c r="AN83" i="7" s="1"/>
  <c r="Q81" i="7"/>
  <c r="P81" i="7" s="1"/>
  <c r="Y82" i="7"/>
  <c r="X82" i="7" s="1"/>
  <c r="I54" i="7"/>
  <c r="BB54" i="7" s="1"/>
  <c r="H54" i="7"/>
  <c r="AZ12" i="7"/>
  <c r="P14" i="6" s="1"/>
  <c r="T14" i="6" s="1"/>
  <c r="B13" i="7"/>
  <c r="AW82" i="7"/>
  <c r="AV82" i="7" s="1"/>
  <c r="AG82" i="7"/>
  <c r="AF82" i="7" s="1"/>
  <c r="AB13" i="7"/>
  <c r="AC13" i="7" s="1"/>
  <c r="AR50" i="7"/>
  <c r="AS50" i="7" s="1"/>
  <c r="AU50" i="7" s="1"/>
  <c r="AP51" i="7" s="1"/>
  <c r="H49" i="6" l="1"/>
  <c r="R48" i="6"/>
  <c r="Y83" i="7"/>
  <c r="X83" i="7" s="1"/>
  <c r="AG83" i="7"/>
  <c r="AF83" i="7" s="1"/>
  <c r="Q82" i="7"/>
  <c r="P82" i="7" s="1"/>
  <c r="AQ51" i="7"/>
  <c r="AR51" i="7" s="1"/>
  <c r="AO84" i="7"/>
  <c r="AN84" i="7" s="1"/>
  <c r="AW83" i="7"/>
  <c r="AV83" i="7" s="1"/>
  <c r="AK50" i="7"/>
  <c r="AM50" i="7" s="1"/>
  <c r="AH51" i="7" s="1"/>
  <c r="I55" i="7"/>
  <c r="BB55" i="7" s="1"/>
  <c r="C13" i="7"/>
  <c r="BA13" i="7" s="1"/>
  <c r="H55" i="7" l="1"/>
  <c r="I56" i="7" s="1"/>
  <c r="BB56" i="7" s="1"/>
  <c r="R49" i="6"/>
  <c r="H50" i="6"/>
  <c r="AS51" i="7"/>
  <c r="AU51" i="7" s="1"/>
  <c r="AP52" i="7" s="1"/>
  <c r="AQ52" i="7" s="1"/>
  <c r="AW84" i="7"/>
  <c r="AV84" i="7" s="1"/>
  <c r="AO85" i="7"/>
  <c r="AN85" i="7" s="1"/>
  <c r="AI51" i="7"/>
  <c r="Q83" i="7"/>
  <c r="P83" i="7"/>
  <c r="D13" i="7"/>
  <c r="AX13" i="7" s="1"/>
  <c r="E15" i="6" s="1"/>
  <c r="F15" i="6" s="1"/>
  <c r="AG84" i="7"/>
  <c r="AF84" i="7" s="1"/>
  <c r="Y84" i="7"/>
  <c r="X84" i="7"/>
  <c r="H56" i="7" l="1"/>
  <c r="H51" i="6"/>
  <c r="R50" i="6"/>
  <c r="AG85" i="7"/>
  <c r="AF85" i="7" s="1"/>
  <c r="AO86" i="7"/>
  <c r="AN86" i="7" s="1"/>
  <c r="AW85" i="7"/>
  <c r="AV85" i="7" s="1"/>
  <c r="Q84" i="7"/>
  <c r="P84" i="7" s="1"/>
  <c r="E13" i="7"/>
  <c r="Y85" i="7"/>
  <c r="X85" i="7" s="1"/>
  <c r="I57" i="7"/>
  <c r="BB57" i="7" s="1"/>
  <c r="I15" i="6"/>
  <c r="J15" i="6" s="1"/>
  <c r="Q15" i="6"/>
  <c r="AJ51" i="7"/>
  <c r="AK51" i="7" s="1"/>
  <c r="AM51" i="7" s="1"/>
  <c r="AH52" i="7" s="1"/>
  <c r="AR52" i="7"/>
  <c r="AS52" i="7" s="1"/>
  <c r="AU52" i="7" s="1"/>
  <c r="AP53" i="7" s="1"/>
  <c r="H52" i="6" l="1"/>
  <c r="R51" i="6"/>
  <c r="AO87" i="7"/>
  <c r="AN87" i="7" s="1"/>
  <c r="Y86" i="7"/>
  <c r="X86" i="7" s="1"/>
  <c r="AG86" i="7"/>
  <c r="AF86" i="7" s="1"/>
  <c r="AQ53" i="7"/>
  <c r="AR53" i="7" s="1"/>
  <c r="AS53" i="7" s="1"/>
  <c r="AU53" i="7" s="1"/>
  <c r="AP54" i="7" s="1"/>
  <c r="AI52" i="7"/>
  <c r="AJ52" i="7" s="1"/>
  <c r="Q85" i="7"/>
  <c r="P85" i="7" s="1"/>
  <c r="AW86" i="7"/>
  <c r="AV86" i="7" s="1"/>
  <c r="S15" i="6"/>
  <c r="H57" i="7"/>
  <c r="K15" i="6"/>
  <c r="H53" i="6" l="1"/>
  <c r="R52" i="6"/>
  <c r="AK52" i="7"/>
  <c r="AM52" i="7" s="1"/>
  <c r="AH53" i="7" s="1"/>
  <c r="AI53" i="7" s="1"/>
  <c r="AW87" i="7"/>
  <c r="AV87" i="7" s="1"/>
  <c r="Q86" i="7"/>
  <c r="P86" i="7" s="1"/>
  <c r="AQ54" i="7"/>
  <c r="AR54" i="7" s="1"/>
  <c r="AS54" i="7" s="1"/>
  <c r="AU54" i="7" s="1"/>
  <c r="AP55" i="7" s="1"/>
  <c r="L15" i="6"/>
  <c r="AO88" i="7"/>
  <c r="AN88" i="7" s="1"/>
  <c r="AG87" i="7"/>
  <c r="AF87" i="7" s="1"/>
  <c r="I58" i="7"/>
  <c r="BB58" i="7" s="1"/>
  <c r="Y87" i="7"/>
  <c r="X87" i="7"/>
  <c r="R53" i="6" l="1"/>
  <c r="H54" i="6"/>
  <c r="AG88" i="7"/>
  <c r="AF88" i="7" s="1"/>
  <c r="AO89" i="7"/>
  <c r="AN89" i="7" s="1"/>
  <c r="AQ55" i="7"/>
  <c r="AD13" i="7"/>
  <c r="AE13" i="7" s="1"/>
  <c r="Z14" i="7" s="1"/>
  <c r="F13" i="7"/>
  <c r="N13" i="7"/>
  <c r="O13" i="7" s="1"/>
  <c r="J14" i="7" s="1"/>
  <c r="V13" i="7"/>
  <c r="W13" i="7" s="1"/>
  <c r="R14" i="7" s="1"/>
  <c r="Y88" i="7"/>
  <c r="X88" i="7"/>
  <c r="AJ53" i="7"/>
  <c r="AK53" i="7" s="1"/>
  <c r="AM53" i="7" s="1"/>
  <c r="AH54" i="7" s="1"/>
  <c r="Q87" i="7"/>
  <c r="P87" i="7" s="1"/>
  <c r="H58" i="7"/>
  <c r="AW88" i="7"/>
  <c r="AV88" i="7" s="1"/>
  <c r="H55" i="6" l="1"/>
  <c r="R54" i="6"/>
  <c r="AG89" i="7"/>
  <c r="AF89" i="7" s="1"/>
  <c r="Q88" i="7"/>
  <c r="P88" i="7" s="1"/>
  <c r="AI54" i="7"/>
  <c r="AJ54" i="7" s="1"/>
  <c r="AK54" i="7" s="1"/>
  <c r="AM54" i="7" s="1"/>
  <c r="AH55" i="7" s="1"/>
  <c r="AO90" i="7"/>
  <c r="AN90" i="7" s="1"/>
  <c r="S14" i="7"/>
  <c r="T14" i="7" s="1"/>
  <c r="AA14" i="7"/>
  <c r="AB14" i="7" s="1"/>
  <c r="AC14" i="7" s="1"/>
  <c r="K14" i="7"/>
  <c r="L14" i="7" s="1"/>
  <c r="M14" i="7" s="1"/>
  <c r="AR55" i="7"/>
  <c r="AS55" i="7" s="1"/>
  <c r="AU55" i="7" s="1"/>
  <c r="AP56" i="7" s="1"/>
  <c r="AY13" i="7"/>
  <c r="M15" i="6" s="1"/>
  <c r="N15" i="6" s="1"/>
  <c r="O15" i="6" s="1"/>
  <c r="G13" i="7"/>
  <c r="AW89" i="7"/>
  <c r="AV89" i="7" s="1"/>
  <c r="I59" i="7"/>
  <c r="BB59" i="7" s="1"/>
  <c r="Y89" i="7"/>
  <c r="X89" i="7" s="1"/>
  <c r="R55" i="6" l="1"/>
  <c r="H56" i="6"/>
  <c r="Y90" i="7"/>
  <c r="X90" i="7" s="1"/>
  <c r="AI55" i="7"/>
  <c r="AW90" i="7"/>
  <c r="AV90" i="7" s="1"/>
  <c r="H59" i="7"/>
  <c r="U14" i="7"/>
  <c r="AQ56" i="7"/>
  <c r="AR56" i="7" s="1"/>
  <c r="AO91" i="7"/>
  <c r="AN91" i="7" s="1"/>
  <c r="AG90" i="7"/>
  <c r="AF90" i="7" s="1"/>
  <c r="B14" i="7"/>
  <c r="AZ13" i="7"/>
  <c r="P15" i="6" s="1"/>
  <c r="T15" i="6" s="1"/>
  <c r="Q89" i="7"/>
  <c r="P89" i="7"/>
  <c r="R56" i="6" l="1"/>
  <c r="H57" i="6"/>
  <c r="AG91" i="7"/>
  <c r="AF91" i="7" s="1"/>
  <c r="AW91" i="7"/>
  <c r="AV91" i="7" s="1"/>
  <c r="Y91" i="7"/>
  <c r="X91" i="7" s="1"/>
  <c r="I60" i="7"/>
  <c r="BB60" i="7" s="1"/>
  <c r="AS56" i="7"/>
  <c r="AU56" i="7" s="1"/>
  <c r="AP57" i="7" s="1"/>
  <c r="Q90" i="7"/>
  <c r="P90" i="7" s="1"/>
  <c r="C14" i="7"/>
  <c r="BA14" i="7" s="1"/>
  <c r="AJ55" i="7"/>
  <c r="AK55" i="7" s="1"/>
  <c r="AM55" i="7" s="1"/>
  <c r="AH56" i="7" s="1"/>
  <c r="AO92" i="7"/>
  <c r="AN92" i="7" s="1"/>
  <c r="H58" i="6" l="1"/>
  <c r="R57" i="6"/>
  <c r="Q91" i="7"/>
  <c r="P91" i="7" s="1"/>
  <c r="Y92" i="7"/>
  <c r="X92" i="7" s="1"/>
  <c r="AG92" i="7"/>
  <c r="AF92" i="7" s="1"/>
  <c r="AQ57" i="7"/>
  <c r="AR57" i="7" s="1"/>
  <c r="H60" i="7"/>
  <c r="AI56" i="7"/>
  <c r="AJ56" i="7" s="1"/>
  <c r="AK56" i="7" s="1"/>
  <c r="AM56" i="7" s="1"/>
  <c r="AH57" i="7" s="1"/>
  <c r="AW92" i="7"/>
  <c r="AV92" i="7" s="1"/>
  <c r="AO93" i="7"/>
  <c r="AN93" i="7" s="1"/>
  <c r="D14" i="7"/>
  <c r="R58" i="6" l="1"/>
  <c r="H59" i="6"/>
  <c r="AW93" i="7"/>
  <c r="AV93" i="7" s="1"/>
  <c r="AI57" i="7"/>
  <c r="Y93" i="7"/>
  <c r="X93" i="7" s="1"/>
  <c r="I61" i="7"/>
  <c r="BB61" i="7" s="1"/>
  <c r="AS57" i="7"/>
  <c r="AU57" i="7" s="1"/>
  <c r="AP58" i="7" s="1"/>
  <c r="AG93" i="7"/>
  <c r="AF93" i="7" s="1"/>
  <c r="AX14" i="7"/>
  <c r="E16" i="6" s="1"/>
  <c r="F16" i="6" s="1"/>
  <c r="E14" i="7"/>
  <c r="AO94" i="7"/>
  <c r="AN94" i="7" s="1"/>
  <c r="Q92" i="7"/>
  <c r="P92" i="7" s="1"/>
  <c r="H60" i="6" l="1"/>
  <c r="R59" i="6"/>
  <c r="Y94" i="7"/>
  <c r="X94" i="7" s="1"/>
  <c r="AQ58" i="7"/>
  <c r="AR58" i="7" s="1"/>
  <c r="H61" i="7"/>
  <c r="I16" i="6"/>
  <c r="J16" i="6" s="1"/>
  <c r="Q16" i="6"/>
  <c r="AJ57" i="7"/>
  <c r="AK57" i="7" s="1"/>
  <c r="AM57" i="7" s="1"/>
  <c r="AH58" i="7" s="1"/>
  <c r="Q93" i="7"/>
  <c r="P93" i="7" s="1"/>
  <c r="AG94" i="7"/>
  <c r="AF94" i="7" s="1"/>
  <c r="AO95" i="7"/>
  <c r="AN95" i="7" s="1"/>
  <c r="AW94" i="7"/>
  <c r="AV94" i="7" s="1"/>
  <c r="H61" i="6" l="1"/>
  <c r="R60" i="6"/>
  <c r="K16" i="6"/>
  <c r="L16" i="6" s="1"/>
  <c r="AI58" i="7"/>
  <c r="AJ58" i="7" s="1"/>
  <c r="AK58" i="7" s="1"/>
  <c r="AM58" i="7" s="1"/>
  <c r="AH59" i="7" s="1"/>
  <c r="AW95" i="7"/>
  <c r="AV95" i="7" s="1"/>
  <c r="Q94" i="7"/>
  <c r="P94" i="7" s="1"/>
  <c r="B32" i="2"/>
  <c r="S16" i="6"/>
  <c r="I62" i="7"/>
  <c r="BB62" i="7" s="1"/>
  <c r="AS58" i="7"/>
  <c r="AU58" i="7" s="1"/>
  <c r="AP59" i="7" s="1"/>
  <c r="AO96" i="7"/>
  <c r="AN96" i="7" s="1"/>
  <c r="AG95" i="7"/>
  <c r="AF95" i="7"/>
  <c r="Y95" i="7"/>
  <c r="X95" i="7" s="1"/>
  <c r="H62" i="6" l="1"/>
  <c r="R61" i="6"/>
  <c r="AO97" i="7"/>
  <c r="AN97" i="7" s="1"/>
  <c r="Y96" i="7"/>
  <c r="X96" i="7" s="1"/>
  <c r="Q95" i="7"/>
  <c r="P95" i="7" s="1"/>
  <c r="AI59" i="7"/>
  <c r="AW96" i="7"/>
  <c r="AV96" i="7" s="1"/>
  <c r="H62" i="7"/>
  <c r="AD14" i="7"/>
  <c r="AE14" i="7" s="1"/>
  <c r="Z15" i="7" s="1"/>
  <c r="V14" i="7"/>
  <c r="W14" i="7" s="1"/>
  <c r="R15" i="7" s="1"/>
  <c r="N14" i="7"/>
  <c r="O14" i="7" s="1"/>
  <c r="J15" i="7" s="1"/>
  <c r="F14" i="7"/>
  <c r="AG96" i="7"/>
  <c r="AF96" i="7" s="1"/>
  <c r="AQ59" i="7"/>
  <c r="R62" i="6" l="1"/>
  <c r="H63" i="6"/>
  <c r="AG97" i="7"/>
  <c r="AF97" i="7"/>
  <c r="Y97" i="7"/>
  <c r="X97" i="7" s="1"/>
  <c r="I63" i="7"/>
  <c r="BB63" i="7" s="1"/>
  <c r="AJ59" i="7"/>
  <c r="AK59" i="7" s="1"/>
  <c r="AM59" i="7" s="1"/>
  <c r="AH60" i="7" s="1"/>
  <c r="AR59" i="7"/>
  <c r="AS59" i="7" s="1"/>
  <c r="AU59" i="7" s="1"/>
  <c r="AP60" i="7" s="1"/>
  <c r="AW97" i="7"/>
  <c r="AV97" i="7" s="1"/>
  <c r="Q96" i="7"/>
  <c r="P96" i="7" s="1"/>
  <c r="AY14" i="7"/>
  <c r="M16" i="6" s="1"/>
  <c r="N16" i="6" s="1"/>
  <c r="O16" i="6" s="1"/>
  <c r="G14" i="7"/>
  <c r="K15" i="7"/>
  <c r="L15" i="7" s="1"/>
  <c r="S15" i="7"/>
  <c r="AO98" i="7"/>
  <c r="AN98" i="7" s="1"/>
  <c r="AA15" i="7"/>
  <c r="AB15" i="7" s="1"/>
  <c r="R63" i="6" l="1"/>
  <c r="H64" i="6"/>
  <c r="AI60" i="7"/>
  <c r="AJ60" i="7" s="1"/>
  <c r="AK60" i="7" s="1"/>
  <c r="AM60" i="7" s="1"/>
  <c r="AH61" i="7" s="1"/>
  <c r="AQ60" i="7"/>
  <c r="Y98" i="7"/>
  <c r="X98" i="7" s="1"/>
  <c r="AO99" i="7"/>
  <c r="AN99" i="7" s="1"/>
  <c r="Q97" i="7"/>
  <c r="P97" i="7" s="1"/>
  <c r="T15" i="7"/>
  <c r="U15" i="7" s="1"/>
  <c r="M15" i="7"/>
  <c r="AW98" i="7"/>
  <c r="AV98" i="7" s="1"/>
  <c r="AC15" i="7"/>
  <c r="H63" i="7"/>
  <c r="B15" i="7"/>
  <c r="AZ14" i="7"/>
  <c r="P16" i="6" s="1"/>
  <c r="AG98" i="7"/>
  <c r="AF98" i="7" s="1"/>
  <c r="B31" i="2"/>
  <c r="R64" i="6" l="1"/>
  <c r="H65" i="6"/>
  <c r="Y99" i="7"/>
  <c r="X99" i="7" s="1"/>
  <c r="AG99" i="7"/>
  <c r="AF99" i="7" s="1"/>
  <c r="AI61" i="7"/>
  <c r="AO100" i="7"/>
  <c r="AN100" i="7" s="1"/>
  <c r="B33" i="2"/>
  <c r="T16" i="6"/>
  <c r="C15" i="7"/>
  <c r="BA15" i="7" s="1"/>
  <c r="AR60" i="7"/>
  <c r="AS60" i="7" s="1"/>
  <c r="AU60" i="7" s="1"/>
  <c r="AP61" i="7" s="1"/>
  <c r="AW99" i="7"/>
  <c r="AV99" i="7" s="1"/>
  <c r="Q98" i="7"/>
  <c r="P98" i="7" s="1"/>
  <c r="I64" i="7"/>
  <c r="BB64" i="7" s="1"/>
  <c r="H64" i="7" l="1"/>
  <c r="I65" i="7" s="1"/>
  <c r="BB65" i="7" s="1"/>
  <c r="H66" i="6"/>
  <c r="R65" i="6"/>
  <c r="AW100" i="7"/>
  <c r="AV100" i="7" s="1"/>
  <c r="Q99" i="7"/>
  <c r="P99" i="7" s="1"/>
  <c r="AO101" i="7"/>
  <c r="AN101" i="7" s="1"/>
  <c r="AJ61" i="7"/>
  <c r="AK61" i="7" s="1"/>
  <c r="AM61" i="7" s="1"/>
  <c r="AH62" i="7" s="1"/>
  <c r="AG100" i="7"/>
  <c r="AF100" i="7" s="1"/>
  <c r="AQ61" i="7"/>
  <c r="Y100" i="7"/>
  <c r="X100" i="7" s="1"/>
  <c r="D15" i="7"/>
  <c r="H65" i="7" l="1"/>
  <c r="I66" i="7" s="1"/>
  <c r="BB66" i="7" s="1"/>
  <c r="H67" i="6"/>
  <c r="R66" i="6"/>
  <c r="AG101" i="7"/>
  <c r="AF101" i="7" s="1"/>
  <c r="AI62" i="7"/>
  <c r="AJ62" i="7" s="1"/>
  <c r="AK62" i="7" s="1"/>
  <c r="AM62" i="7" s="1"/>
  <c r="AH63" i="7" s="1"/>
  <c r="AR61" i="7"/>
  <c r="AS61" i="7" s="1"/>
  <c r="AU61" i="7" s="1"/>
  <c r="AP62" i="7" s="1"/>
  <c r="AO102" i="7"/>
  <c r="AN102" i="7" s="1"/>
  <c r="AX15" i="7"/>
  <c r="E17" i="6" s="1"/>
  <c r="F17" i="6" s="1"/>
  <c r="E15" i="7"/>
  <c r="Q100" i="7"/>
  <c r="P100" i="7" s="1"/>
  <c r="Y101" i="7"/>
  <c r="X101" i="7" s="1"/>
  <c r="AW101" i="7"/>
  <c r="AV101" i="7" s="1"/>
  <c r="H66" i="7" l="1"/>
  <c r="R67" i="6"/>
  <c r="H68" i="6"/>
  <c r="AW102" i="7"/>
  <c r="AV102" i="7" s="1"/>
  <c r="Y102" i="7"/>
  <c r="X102" i="7" s="1"/>
  <c r="AI63" i="7"/>
  <c r="AJ63" i="7" s="1"/>
  <c r="Q101" i="7"/>
  <c r="P101" i="7" s="1"/>
  <c r="AQ62" i="7"/>
  <c r="AG102" i="7"/>
  <c r="AF102" i="7" s="1"/>
  <c r="I17" i="6"/>
  <c r="J17" i="6" s="1"/>
  <c r="Q17" i="6"/>
  <c r="AO103" i="7"/>
  <c r="AN103" i="7"/>
  <c r="I67" i="7"/>
  <c r="BB67" i="7" s="1"/>
  <c r="H67" i="7" l="1"/>
  <c r="H69" i="6"/>
  <c r="R68" i="6"/>
  <c r="AK63" i="7"/>
  <c r="AM63" i="7" s="1"/>
  <c r="AH64" i="7" s="1"/>
  <c r="AI64" i="7" s="1"/>
  <c r="AG103" i="7"/>
  <c r="AF103" i="7" s="1"/>
  <c r="AW103" i="7"/>
  <c r="AV103" i="7" s="1"/>
  <c r="I68" i="7"/>
  <c r="BB68" i="7" s="1"/>
  <c r="S17" i="6"/>
  <c r="AR62" i="7"/>
  <c r="AS62" i="7" s="1"/>
  <c r="AU62" i="7" s="1"/>
  <c r="AP63" i="7" s="1"/>
  <c r="Y103" i="7"/>
  <c r="X103" i="7" s="1"/>
  <c r="K17" i="6"/>
  <c r="Q102" i="7"/>
  <c r="P102" i="7" s="1"/>
  <c r="AO104" i="7"/>
  <c r="AN104" i="7" s="1"/>
  <c r="H68" i="7" l="1"/>
  <c r="R69" i="6"/>
  <c r="H70" i="6"/>
  <c r="AQ63" i="7"/>
  <c r="AR63" i="7" s="1"/>
  <c r="AS63" i="7" s="1"/>
  <c r="AU63" i="7" s="1"/>
  <c r="AP64" i="7" s="1"/>
  <c r="Q103" i="7"/>
  <c r="P103" i="7" s="1"/>
  <c r="AW104" i="7"/>
  <c r="AV104" i="7" s="1"/>
  <c r="AG104" i="7"/>
  <c r="AF104" i="7" s="1"/>
  <c r="Y104" i="7"/>
  <c r="X104" i="7" s="1"/>
  <c r="L17" i="6"/>
  <c r="AO105" i="7"/>
  <c r="AN105" i="7" s="1"/>
  <c r="AJ64" i="7"/>
  <c r="AK64" i="7" s="1"/>
  <c r="AM64" i="7" s="1"/>
  <c r="AH65" i="7" s="1"/>
  <c r="I69" i="7"/>
  <c r="BB69" i="7" s="1"/>
  <c r="H69" i="7" l="1"/>
  <c r="I70" i="7" s="1"/>
  <c r="BB70" i="7" s="1"/>
  <c r="R70" i="6"/>
  <c r="H71" i="6"/>
  <c r="AI65" i="7"/>
  <c r="AJ65" i="7" s="1"/>
  <c r="AO106" i="7"/>
  <c r="AN106" i="7" s="1"/>
  <c r="AG105" i="7"/>
  <c r="AF105" i="7" s="1"/>
  <c r="AQ64" i="7"/>
  <c r="Y105" i="7"/>
  <c r="X105" i="7" s="1"/>
  <c r="AD15" i="7"/>
  <c r="AE15" i="7" s="1"/>
  <c r="Z16" i="7" s="1"/>
  <c r="N15" i="7"/>
  <c r="O15" i="7" s="1"/>
  <c r="J16" i="7" s="1"/>
  <c r="F15" i="7"/>
  <c r="V15" i="7"/>
  <c r="W15" i="7" s="1"/>
  <c r="R16" i="7" s="1"/>
  <c r="Q104" i="7"/>
  <c r="P104" i="7" s="1"/>
  <c r="AW105" i="7"/>
  <c r="AV105" i="7" s="1"/>
  <c r="R71" i="6" l="1"/>
  <c r="H72" i="6"/>
  <c r="AG106" i="7"/>
  <c r="AF106" i="7" s="1"/>
  <c r="Y106" i="7"/>
  <c r="X106" i="7" s="1"/>
  <c r="AO107" i="7"/>
  <c r="AN107" i="7" s="1"/>
  <c r="Q105" i="7"/>
  <c r="P105" i="7" s="1"/>
  <c r="AA16" i="7"/>
  <c r="AB16" i="7" s="1"/>
  <c r="AR64" i="7"/>
  <c r="AS64" i="7" s="1"/>
  <c r="AU64" i="7" s="1"/>
  <c r="AP65" i="7" s="1"/>
  <c r="H70" i="7"/>
  <c r="AW106" i="7"/>
  <c r="AV106" i="7" s="1"/>
  <c r="S16" i="7"/>
  <c r="AY15" i="7"/>
  <c r="M17" i="6" s="1"/>
  <c r="N17" i="6" s="1"/>
  <c r="O17" i="6" s="1"/>
  <c r="G15" i="7"/>
  <c r="AK65" i="7"/>
  <c r="AM65" i="7" s="1"/>
  <c r="AH66" i="7" s="1"/>
  <c r="K16" i="7"/>
  <c r="H73" i="6" l="1"/>
  <c r="R72" i="6"/>
  <c r="AW107" i="7"/>
  <c r="AV107" i="7" s="1"/>
  <c r="Q106" i="7"/>
  <c r="P106" i="7" s="1"/>
  <c r="AQ65" i="7"/>
  <c r="AG107" i="7"/>
  <c r="AF107" i="7" s="1"/>
  <c r="I71" i="7"/>
  <c r="BB71" i="7" s="1"/>
  <c r="AI66" i="7"/>
  <c r="AJ66" i="7" s="1"/>
  <c r="AK66" i="7" s="1"/>
  <c r="AM66" i="7" s="1"/>
  <c r="AH67" i="7" s="1"/>
  <c r="AC16" i="7"/>
  <c r="L16" i="7"/>
  <c r="M16" i="7" s="1"/>
  <c r="AZ15" i="7"/>
  <c r="P17" i="6" s="1"/>
  <c r="T17" i="6" s="1"/>
  <c r="B16" i="7"/>
  <c r="AO108" i="7"/>
  <c r="AN108" i="7" s="1"/>
  <c r="Y107" i="7"/>
  <c r="X107" i="7" s="1"/>
  <c r="T16" i="7"/>
  <c r="U16" i="7" s="1"/>
  <c r="H71" i="7" l="1"/>
  <c r="R73" i="6"/>
  <c r="H74" i="6"/>
  <c r="AI67" i="7"/>
  <c r="Q107" i="7"/>
  <c r="P107" i="7" s="1"/>
  <c r="AO109" i="7"/>
  <c r="AN109" i="7" s="1"/>
  <c r="AR65" i="7"/>
  <c r="AS65" i="7" s="1"/>
  <c r="AU65" i="7" s="1"/>
  <c r="AP66" i="7" s="1"/>
  <c r="Y108" i="7"/>
  <c r="X108" i="7" s="1"/>
  <c r="AG108" i="7"/>
  <c r="AF108" i="7" s="1"/>
  <c r="C16" i="7"/>
  <c r="BA16" i="7" s="1"/>
  <c r="AW108" i="7"/>
  <c r="AV108" i="7" s="1"/>
  <c r="I72" i="7"/>
  <c r="BB72" i="7" s="1"/>
  <c r="H72" i="7" l="1"/>
  <c r="H75" i="6"/>
  <c r="R74" i="6"/>
  <c r="D16" i="7"/>
  <c r="AX16" i="7" s="1"/>
  <c r="E18" i="6" s="1"/>
  <c r="F18" i="6" s="1"/>
  <c r="Q18" i="6" s="1"/>
  <c r="AQ66" i="7"/>
  <c r="Y109" i="7"/>
  <c r="X109" i="7" s="1"/>
  <c r="AO110" i="7"/>
  <c r="AN110" i="7" s="1"/>
  <c r="Q108" i="7"/>
  <c r="P108" i="7" s="1"/>
  <c r="AW109" i="7"/>
  <c r="AV109" i="7" s="1"/>
  <c r="AG109" i="7"/>
  <c r="AF109" i="7" s="1"/>
  <c r="AJ67" i="7"/>
  <c r="AK67" i="7" s="1"/>
  <c r="AM67" i="7" s="1"/>
  <c r="AH68" i="7" s="1"/>
  <c r="I73" i="7"/>
  <c r="BB73" i="7" s="1"/>
  <c r="R75" i="6" l="1"/>
  <c r="H76" i="6"/>
  <c r="E16" i="7"/>
  <c r="I18" i="6"/>
  <c r="J18" i="6" s="1"/>
  <c r="S18" i="6" s="1"/>
  <c r="AG110" i="7"/>
  <c r="AF110" i="7" s="1"/>
  <c r="AW110" i="7"/>
  <c r="AV110" i="7" s="1"/>
  <c r="Q109" i="7"/>
  <c r="P109" i="7" s="1"/>
  <c r="AO111" i="7"/>
  <c r="AN111" i="7" s="1"/>
  <c r="AI68" i="7"/>
  <c r="AJ68" i="7" s="1"/>
  <c r="H73" i="7"/>
  <c r="Y110" i="7"/>
  <c r="X110" i="7" s="1"/>
  <c r="AR66" i="7"/>
  <c r="AS66" i="7" s="1"/>
  <c r="AU66" i="7" s="1"/>
  <c r="AP67" i="7" s="1"/>
  <c r="K18" i="6" l="1"/>
  <c r="L18" i="6" s="1"/>
  <c r="H77" i="6"/>
  <c r="R76" i="6"/>
  <c r="Y111" i="7"/>
  <c r="X111" i="7" s="1"/>
  <c r="AW111" i="7"/>
  <c r="AV111" i="7" s="1"/>
  <c r="AQ67" i="7"/>
  <c r="AK68" i="7"/>
  <c r="AM68" i="7" s="1"/>
  <c r="AH69" i="7" s="1"/>
  <c r="I74" i="7"/>
  <c r="BB74" i="7" s="1"/>
  <c r="AO112" i="7"/>
  <c r="AN112" i="7" s="1"/>
  <c r="Q110" i="7"/>
  <c r="P110" i="7"/>
  <c r="AG111" i="7"/>
  <c r="AF111" i="7" s="1"/>
  <c r="H78" i="6" l="1"/>
  <c r="R77" i="6"/>
  <c r="AO113" i="7"/>
  <c r="AN113" i="7" s="1"/>
  <c r="Y112" i="7"/>
  <c r="X112" i="7" s="1"/>
  <c r="AG112" i="7"/>
  <c r="AF112" i="7" s="1"/>
  <c r="AI69" i="7"/>
  <c r="AJ69" i="7" s="1"/>
  <c r="Q111" i="7"/>
  <c r="P111" i="7" s="1"/>
  <c r="H74" i="7"/>
  <c r="AD16" i="7"/>
  <c r="AE16" i="7" s="1"/>
  <c r="Z17" i="7" s="1"/>
  <c r="F16" i="7"/>
  <c r="N16" i="7"/>
  <c r="O16" i="7" s="1"/>
  <c r="J17" i="7" s="1"/>
  <c r="V16" i="7"/>
  <c r="W16" i="7" s="1"/>
  <c r="R17" i="7" s="1"/>
  <c r="AR67" i="7"/>
  <c r="AS67" i="7" s="1"/>
  <c r="AU67" i="7" s="1"/>
  <c r="AP68" i="7" s="1"/>
  <c r="AW112" i="7"/>
  <c r="AV112" i="7" s="1"/>
  <c r="H79" i="6" l="1"/>
  <c r="R78" i="6"/>
  <c r="Q112" i="7"/>
  <c r="P112" i="7" s="1"/>
  <c r="AQ68" i="7"/>
  <c r="AR68" i="7" s="1"/>
  <c r="AS68" i="7" s="1"/>
  <c r="AU68" i="7" s="1"/>
  <c r="AP69" i="7" s="1"/>
  <c r="Y113" i="7"/>
  <c r="X113" i="7" s="1"/>
  <c r="AO114" i="7"/>
  <c r="AN114" i="7" s="1"/>
  <c r="AA17" i="7"/>
  <c r="AB17" i="7" s="1"/>
  <c r="AW113" i="7"/>
  <c r="AV113" i="7" s="1"/>
  <c r="AY16" i="7"/>
  <c r="M18" i="6" s="1"/>
  <c r="N18" i="6" s="1"/>
  <c r="O18" i="6" s="1"/>
  <c r="G16" i="7"/>
  <c r="AK69" i="7"/>
  <c r="AM69" i="7" s="1"/>
  <c r="AH70" i="7" s="1"/>
  <c r="AG113" i="7"/>
  <c r="AF113" i="7" s="1"/>
  <c r="I75" i="7"/>
  <c r="BB75" i="7" s="1"/>
  <c r="S17" i="7"/>
  <c r="T17" i="7" s="1"/>
  <c r="K17" i="7"/>
  <c r="L17" i="7" s="1"/>
  <c r="M17" i="7" s="1"/>
  <c r="R79" i="6" l="1"/>
  <c r="H80" i="6"/>
  <c r="AG114" i="7"/>
  <c r="AF114" i="7" s="1"/>
  <c r="AW114" i="7"/>
  <c r="AV114" i="7" s="1"/>
  <c r="AO115" i="7"/>
  <c r="AN115" i="7" s="1"/>
  <c r="AQ69" i="7"/>
  <c r="U17" i="7"/>
  <c r="AC17" i="7"/>
  <c r="Y114" i="7"/>
  <c r="X114" i="7" s="1"/>
  <c r="B17" i="7"/>
  <c r="AZ16" i="7"/>
  <c r="P18" i="6" s="1"/>
  <c r="T18" i="6" s="1"/>
  <c r="H75" i="7"/>
  <c r="Q113" i="7"/>
  <c r="P113" i="7" s="1"/>
  <c r="AI70" i="7"/>
  <c r="H81" i="6" l="1"/>
  <c r="R80" i="6"/>
  <c r="Y115" i="7"/>
  <c r="X115" i="7" s="1"/>
  <c r="AO116" i="7"/>
  <c r="AN116" i="7" s="1"/>
  <c r="AG115" i="7"/>
  <c r="AF115" i="7" s="1"/>
  <c r="Q114" i="7"/>
  <c r="P114" i="7" s="1"/>
  <c r="AJ70" i="7"/>
  <c r="AK70" i="7" s="1"/>
  <c r="AM70" i="7" s="1"/>
  <c r="AH71" i="7" s="1"/>
  <c r="AR69" i="7"/>
  <c r="AS69" i="7" s="1"/>
  <c r="AU69" i="7" s="1"/>
  <c r="AP70" i="7" s="1"/>
  <c r="I76" i="7"/>
  <c r="BB76" i="7" s="1"/>
  <c r="AW115" i="7"/>
  <c r="AV115" i="7" s="1"/>
  <c r="C17" i="7"/>
  <c r="BA17" i="7" s="1"/>
  <c r="H82" i="6" l="1"/>
  <c r="R81" i="6"/>
  <c r="AW116" i="7"/>
  <c r="AV116" i="7" s="1"/>
  <c r="AQ70" i="7"/>
  <c r="AG116" i="7"/>
  <c r="AF116" i="7" s="1"/>
  <c r="Y116" i="7"/>
  <c r="X116" i="7" s="1"/>
  <c r="AI71" i="7"/>
  <c r="Q115" i="7"/>
  <c r="P115" i="7"/>
  <c r="D17" i="7"/>
  <c r="AX17" i="7" s="1"/>
  <c r="E19" i="6" s="1"/>
  <c r="F19" i="6" s="1"/>
  <c r="AO117" i="7"/>
  <c r="AN117" i="7" s="1"/>
  <c r="H76" i="7"/>
  <c r="R82" i="6" l="1"/>
  <c r="H83" i="6"/>
  <c r="I19" i="6"/>
  <c r="J19" i="6" s="1"/>
  <c r="Q19" i="6"/>
  <c r="Y117" i="7"/>
  <c r="X117" i="7" s="1"/>
  <c r="AW117" i="7"/>
  <c r="AV117" i="7" s="1"/>
  <c r="AO118" i="7"/>
  <c r="AN118" i="7" s="1"/>
  <c r="Q116" i="7"/>
  <c r="P116" i="7" s="1"/>
  <c r="AJ71" i="7"/>
  <c r="AK71" i="7" s="1"/>
  <c r="AM71" i="7" s="1"/>
  <c r="AH72" i="7" s="1"/>
  <c r="AG117" i="7"/>
  <c r="AF117" i="7" s="1"/>
  <c r="I77" i="7"/>
  <c r="BB77" i="7" s="1"/>
  <c r="AR70" i="7"/>
  <c r="AS70" i="7" s="1"/>
  <c r="AU70" i="7" s="1"/>
  <c r="AP71" i="7" s="1"/>
  <c r="E17" i="7"/>
  <c r="H84" i="6" l="1"/>
  <c r="R83" i="6"/>
  <c r="AQ71" i="7"/>
  <c r="AI72" i="7"/>
  <c r="AJ72" i="7" s="1"/>
  <c r="AK72" i="7" s="1"/>
  <c r="AM72" i="7" s="1"/>
  <c r="AH73" i="7" s="1"/>
  <c r="Q117" i="7"/>
  <c r="P117" i="7" s="1"/>
  <c r="AO119" i="7"/>
  <c r="AN119" i="7" s="1"/>
  <c r="AW118" i="7"/>
  <c r="AV118" i="7" s="1"/>
  <c r="Y118" i="7"/>
  <c r="X118" i="7" s="1"/>
  <c r="S19" i="6"/>
  <c r="H77" i="7"/>
  <c r="K19" i="6"/>
  <c r="AG118" i="7"/>
  <c r="AF118" i="7" s="1"/>
  <c r="R84" i="6" l="1"/>
  <c r="H85" i="6"/>
  <c r="AG119" i="7"/>
  <c r="AF119" i="7" s="1"/>
  <c r="AW119" i="7"/>
  <c r="AV119" i="7" s="1"/>
  <c r="Q118" i="7"/>
  <c r="P118" i="7" s="1"/>
  <c r="AO120" i="7"/>
  <c r="AN120" i="7" s="1"/>
  <c r="AI73" i="7"/>
  <c r="Y119" i="7"/>
  <c r="X119" i="7" s="1"/>
  <c r="L19" i="6"/>
  <c r="I78" i="7"/>
  <c r="BB78" i="7" s="1"/>
  <c r="AR71" i="7"/>
  <c r="AS71" i="7" s="1"/>
  <c r="AU71" i="7" s="1"/>
  <c r="AP72" i="7" s="1"/>
  <c r="H78" i="7" l="1"/>
  <c r="H86" i="6"/>
  <c r="R85" i="6"/>
  <c r="Q119" i="7"/>
  <c r="P119" i="7" s="1"/>
  <c r="Y120" i="7"/>
  <c r="X120" i="7" s="1"/>
  <c r="AQ72" i="7"/>
  <c r="AO121" i="7"/>
  <c r="AN121" i="7" s="1"/>
  <c r="AW120" i="7"/>
  <c r="AV120" i="7" s="1"/>
  <c r="AD17" i="7"/>
  <c r="AE17" i="7" s="1"/>
  <c r="Z18" i="7" s="1"/>
  <c r="N17" i="7"/>
  <c r="O17" i="7" s="1"/>
  <c r="J18" i="7" s="1"/>
  <c r="V17" i="7"/>
  <c r="W17" i="7" s="1"/>
  <c r="R18" i="7" s="1"/>
  <c r="F17" i="7"/>
  <c r="AJ73" i="7"/>
  <c r="AK73" i="7" s="1"/>
  <c r="AM73" i="7" s="1"/>
  <c r="AH74" i="7" s="1"/>
  <c r="I79" i="7"/>
  <c r="BB79" i="7" s="1"/>
  <c r="AG120" i="7"/>
  <c r="AF120" i="7" s="1"/>
  <c r="H79" i="7" l="1"/>
  <c r="R86" i="6"/>
  <c r="H87" i="6"/>
  <c r="AI74" i="7"/>
  <c r="AJ74" i="7" s="1"/>
  <c r="AK74" i="7" s="1"/>
  <c r="AM74" i="7" s="1"/>
  <c r="AH75" i="7" s="1"/>
  <c r="AW121" i="7"/>
  <c r="AV121" i="7" s="1"/>
  <c r="Q120" i="7"/>
  <c r="P120" i="7" s="1"/>
  <c r="K18" i="7"/>
  <c r="I80" i="7"/>
  <c r="BB80" i="7" s="1"/>
  <c r="AA18" i="7"/>
  <c r="AB18" i="7" s="1"/>
  <c r="AG121" i="7"/>
  <c r="AF121" i="7" s="1"/>
  <c r="AR72" i="7"/>
  <c r="AS72" i="7" s="1"/>
  <c r="AU72" i="7" s="1"/>
  <c r="AP73" i="7" s="1"/>
  <c r="AO122" i="7"/>
  <c r="AN122" i="7" s="1"/>
  <c r="Y121" i="7"/>
  <c r="X121" i="7" s="1"/>
  <c r="S18" i="7"/>
  <c r="AY17" i="7"/>
  <c r="M19" i="6" s="1"/>
  <c r="N19" i="6" s="1"/>
  <c r="O19" i="6" s="1"/>
  <c r="G17" i="7"/>
  <c r="H88" i="6" l="1"/>
  <c r="R87" i="6"/>
  <c r="Y122" i="7"/>
  <c r="X122" i="7" s="1"/>
  <c r="Q121" i="7"/>
  <c r="P121" i="7" s="1"/>
  <c r="AW122" i="7"/>
  <c r="AV122" i="7" s="1"/>
  <c r="AI75" i="7"/>
  <c r="AJ75" i="7" s="1"/>
  <c r="AK75" i="7" s="1"/>
  <c r="AM75" i="7" s="1"/>
  <c r="AH76" i="7" s="1"/>
  <c r="T18" i="7"/>
  <c r="U18" i="7" s="1"/>
  <c r="B18" i="7"/>
  <c r="AZ17" i="7"/>
  <c r="P19" i="6" s="1"/>
  <c r="T19" i="6" s="1"/>
  <c r="AC18" i="7"/>
  <c r="L18" i="7"/>
  <c r="M18" i="7" s="1"/>
  <c r="AQ73" i="7"/>
  <c r="AG122" i="7"/>
  <c r="AF122" i="7" s="1"/>
  <c r="H80" i="7"/>
  <c r="AO123" i="7"/>
  <c r="AN123" i="7" s="1"/>
  <c r="R88" i="6" l="1"/>
  <c r="H89" i="6"/>
  <c r="AG123" i="7"/>
  <c r="AF123" i="7" s="1"/>
  <c r="AI76" i="7"/>
  <c r="AJ76" i="7" s="1"/>
  <c r="AK76" i="7" s="1"/>
  <c r="AM76" i="7" s="1"/>
  <c r="AH77" i="7" s="1"/>
  <c r="Q122" i="7"/>
  <c r="P122" i="7" s="1"/>
  <c r="AW123" i="7"/>
  <c r="AV123" i="7" s="1"/>
  <c r="C18" i="7"/>
  <c r="BA18" i="7" s="1"/>
  <c r="I81" i="7"/>
  <c r="BB81" i="7" s="1"/>
  <c r="AR73" i="7"/>
  <c r="AS73" i="7" s="1"/>
  <c r="AU73" i="7" s="1"/>
  <c r="AP74" i="7" s="1"/>
  <c r="AO124" i="7"/>
  <c r="AN124" i="7"/>
  <c r="Y123" i="7"/>
  <c r="X123" i="7" s="1"/>
  <c r="R89" i="6" l="1"/>
  <c r="H90" i="6"/>
  <c r="Q123" i="7"/>
  <c r="P123" i="7" s="1"/>
  <c r="AQ74" i="7"/>
  <c r="AW124" i="7"/>
  <c r="AV124" i="7" s="1"/>
  <c r="AI77" i="7"/>
  <c r="AG124" i="7"/>
  <c r="AF124" i="7" s="1"/>
  <c r="D18" i="7"/>
  <c r="AX18" i="7" s="1"/>
  <c r="E20" i="6" s="1"/>
  <c r="F20" i="6" s="1"/>
  <c r="AO125" i="7"/>
  <c r="AN125" i="7" s="1"/>
  <c r="Y124" i="7"/>
  <c r="X124" i="7" s="1"/>
  <c r="H81" i="7"/>
  <c r="R90" i="6" l="1"/>
  <c r="H91" i="6"/>
  <c r="Y125" i="7"/>
  <c r="X125" i="7" s="1"/>
  <c r="AW125" i="7"/>
  <c r="AV125" i="7" s="1"/>
  <c r="AG125" i="7"/>
  <c r="AF125" i="7" s="1"/>
  <c r="Q124" i="7"/>
  <c r="P124" i="7" s="1"/>
  <c r="AJ77" i="7"/>
  <c r="AK77" i="7" s="1"/>
  <c r="AM77" i="7" s="1"/>
  <c r="AH78" i="7" s="1"/>
  <c r="E18" i="7"/>
  <c r="AR74" i="7"/>
  <c r="AS74" i="7" s="1"/>
  <c r="AU74" i="7" s="1"/>
  <c r="AP75" i="7" s="1"/>
  <c r="I20" i="6"/>
  <c r="J20" i="6" s="1"/>
  <c r="Q20" i="6"/>
  <c r="I82" i="7"/>
  <c r="BB82" i="7" s="1"/>
  <c r="AO126" i="7"/>
  <c r="AN126" i="7" s="1"/>
  <c r="H82" i="7" l="1"/>
  <c r="R91" i="6"/>
  <c r="H92" i="6"/>
  <c r="AQ75" i="7"/>
  <c r="AR75" i="7" s="1"/>
  <c r="AS75" i="7" s="1"/>
  <c r="AU75" i="7" s="1"/>
  <c r="AP76" i="7" s="1"/>
  <c r="AW126" i="7"/>
  <c r="AV126" i="7" s="1"/>
  <c r="AO127" i="7"/>
  <c r="AN127" i="7" s="1"/>
  <c r="AI78" i="7"/>
  <c r="AJ78" i="7" s="1"/>
  <c r="AK78" i="7" s="1"/>
  <c r="AM78" i="7" s="1"/>
  <c r="AH79" i="7" s="1"/>
  <c r="Q125" i="7"/>
  <c r="P125" i="7" s="1"/>
  <c r="AG126" i="7"/>
  <c r="AF126" i="7" s="1"/>
  <c r="Y126" i="7"/>
  <c r="X126" i="7" s="1"/>
  <c r="S20" i="6"/>
  <c r="I83" i="7"/>
  <c r="BB83" i="7" s="1"/>
  <c r="K20" i="6"/>
  <c r="H83" i="7" l="1"/>
  <c r="R92" i="6"/>
  <c r="H93" i="6"/>
  <c r="AI79" i="7"/>
  <c r="AO128" i="7"/>
  <c r="AN128" i="7" s="1"/>
  <c r="AQ76" i="7"/>
  <c r="AR76" i="7" s="1"/>
  <c r="Y127" i="7"/>
  <c r="X127" i="7" s="1"/>
  <c r="Q126" i="7"/>
  <c r="P126" i="7" s="1"/>
  <c r="I84" i="7"/>
  <c r="BB84" i="7" s="1"/>
  <c r="AG127" i="7"/>
  <c r="AF127" i="7" s="1"/>
  <c r="L20" i="6"/>
  <c r="AW127" i="7"/>
  <c r="AV127" i="7" s="1"/>
  <c r="R93" i="6" l="1"/>
  <c r="H94" i="6"/>
  <c r="AJ79" i="7"/>
  <c r="AK79" i="7" s="1"/>
  <c r="AM79" i="7" s="1"/>
  <c r="AH80" i="7" s="1"/>
  <c r="AI80" i="7" s="1"/>
  <c r="Y128" i="7"/>
  <c r="X128" i="7" s="1"/>
  <c r="Q127" i="7"/>
  <c r="P127" i="7" s="1"/>
  <c r="AG128" i="7"/>
  <c r="AF128" i="7"/>
  <c r="H84" i="7"/>
  <c r="AW128" i="7"/>
  <c r="AV128" i="7" s="1"/>
  <c r="AS76" i="7"/>
  <c r="AU76" i="7" s="1"/>
  <c r="AP77" i="7" s="1"/>
  <c r="AD18" i="7"/>
  <c r="AE18" i="7" s="1"/>
  <c r="Z19" i="7" s="1"/>
  <c r="N18" i="7"/>
  <c r="O18" i="7" s="1"/>
  <c r="J19" i="7" s="1"/>
  <c r="V18" i="7"/>
  <c r="W18" i="7" s="1"/>
  <c r="R19" i="7" s="1"/>
  <c r="F18" i="7"/>
  <c r="AO129" i="7"/>
  <c r="AN129" i="7" s="1"/>
  <c r="H95" i="6" l="1"/>
  <c r="R94" i="6"/>
  <c r="AO130" i="7"/>
  <c r="AN130" i="7"/>
  <c r="Y129" i="7"/>
  <c r="X129" i="7" s="1"/>
  <c r="AY18" i="7"/>
  <c r="M20" i="6" s="1"/>
  <c r="N20" i="6" s="1"/>
  <c r="O20" i="6" s="1"/>
  <c r="G18" i="7"/>
  <c r="S19" i="7"/>
  <c r="T19" i="7" s="1"/>
  <c r="AQ77" i="7"/>
  <c r="AR77" i="7" s="1"/>
  <c r="K19" i="7"/>
  <c r="AW129" i="7"/>
  <c r="AV129" i="7" s="1"/>
  <c r="I85" i="7"/>
  <c r="BB85" i="7" s="1"/>
  <c r="H85" i="7"/>
  <c r="Q128" i="7"/>
  <c r="P128" i="7" s="1"/>
  <c r="AJ80" i="7"/>
  <c r="AK80" i="7" s="1"/>
  <c r="AM80" i="7" s="1"/>
  <c r="AH81" i="7" s="1"/>
  <c r="AA19" i="7"/>
  <c r="AG129" i="7"/>
  <c r="AF129" i="7" s="1"/>
  <c r="H96" i="6" l="1"/>
  <c r="R95" i="6"/>
  <c r="AI81" i="7"/>
  <c r="AJ81" i="7" s="1"/>
  <c r="AK81" i="7" s="1"/>
  <c r="AM81" i="7" s="1"/>
  <c r="AH82" i="7" s="1"/>
  <c r="AG130" i="7"/>
  <c r="AF130" i="7" s="1"/>
  <c r="L19" i="7"/>
  <c r="M19" i="7" s="1"/>
  <c r="AS77" i="7"/>
  <c r="AU77" i="7" s="1"/>
  <c r="AP78" i="7" s="1"/>
  <c r="AB19" i="7"/>
  <c r="AC19" i="7" s="1"/>
  <c r="U19" i="7"/>
  <c r="B19" i="7"/>
  <c r="AZ18" i="7"/>
  <c r="P20" i="6" s="1"/>
  <c r="T20" i="6" s="1"/>
  <c r="Q129" i="7"/>
  <c r="P129" i="7" s="1"/>
  <c r="Y130" i="7"/>
  <c r="X130" i="7" s="1"/>
  <c r="I86" i="7"/>
  <c r="BB86" i="7" s="1"/>
  <c r="AW130" i="7"/>
  <c r="AV130" i="7" s="1"/>
  <c r="AO131" i="7"/>
  <c r="AN131" i="7" s="1"/>
  <c r="H97" i="6" l="1"/>
  <c r="R96" i="6"/>
  <c r="Q130" i="7"/>
  <c r="P130" i="7" s="1"/>
  <c r="AG131" i="7"/>
  <c r="AF131" i="7" s="1"/>
  <c r="AO132" i="7"/>
  <c r="AN132" i="7" s="1"/>
  <c r="AI82" i="7"/>
  <c r="AW131" i="7"/>
  <c r="AV131" i="7" s="1"/>
  <c r="Y131" i="7"/>
  <c r="X131" i="7" s="1"/>
  <c r="AQ78" i="7"/>
  <c r="AR78" i="7" s="1"/>
  <c r="AS78" i="7" s="1"/>
  <c r="AU78" i="7" s="1"/>
  <c r="AP79" i="7" s="1"/>
  <c r="C19" i="7"/>
  <c r="BA19" i="7" s="1"/>
  <c r="H86" i="7"/>
  <c r="H98" i="6" l="1"/>
  <c r="R97" i="6"/>
  <c r="AQ79" i="7"/>
  <c r="Y132" i="7"/>
  <c r="X132" i="7" s="1"/>
  <c r="AO133" i="7"/>
  <c r="AN133" i="7" s="1"/>
  <c r="Q131" i="7"/>
  <c r="P131" i="7" s="1"/>
  <c r="AW132" i="7"/>
  <c r="AV132" i="7" s="1"/>
  <c r="AJ82" i="7"/>
  <c r="AK82" i="7" s="1"/>
  <c r="AM82" i="7" s="1"/>
  <c r="AH83" i="7" s="1"/>
  <c r="I87" i="7"/>
  <c r="BB87" i="7" s="1"/>
  <c r="AG132" i="7"/>
  <c r="AF132" i="7" s="1"/>
  <c r="D19" i="7"/>
  <c r="AX19" i="7" s="1"/>
  <c r="E21" i="6" s="1"/>
  <c r="F21" i="6" s="1"/>
  <c r="H87" i="7" l="1"/>
  <c r="R98" i="6"/>
  <c r="H99" i="6"/>
  <c r="AI83" i="7"/>
  <c r="AJ83" i="7" s="1"/>
  <c r="AK83" i="7" s="1"/>
  <c r="AM83" i="7" s="1"/>
  <c r="AH84" i="7" s="1"/>
  <c r="AW133" i="7"/>
  <c r="AV133" i="7" s="1"/>
  <c r="Q132" i="7"/>
  <c r="P132" i="7" s="1"/>
  <c r="AO134" i="7"/>
  <c r="AN134" i="7" s="1"/>
  <c r="E19" i="7"/>
  <c r="I88" i="7"/>
  <c r="BB88" i="7" s="1"/>
  <c r="Q21" i="6"/>
  <c r="I21" i="6"/>
  <c r="J21" i="6" s="1"/>
  <c r="Y133" i="7"/>
  <c r="X133" i="7" s="1"/>
  <c r="AG133" i="7"/>
  <c r="AF133" i="7" s="1"/>
  <c r="AR79" i="7"/>
  <c r="AS79" i="7" s="1"/>
  <c r="AU79" i="7" s="1"/>
  <c r="AP80" i="7" s="1"/>
  <c r="H88" i="7" l="1"/>
  <c r="R99" i="6"/>
  <c r="H100" i="6"/>
  <c r="AO135" i="7"/>
  <c r="AN135" i="7" s="1"/>
  <c r="AQ80" i="7"/>
  <c r="AI84" i="7"/>
  <c r="S21" i="6"/>
  <c r="K21" i="6"/>
  <c r="Q133" i="7"/>
  <c r="P133" i="7" s="1"/>
  <c r="I89" i="7"/>
  <c r="BB89" i="7" s="1"/>
  <c r="AW134" i="7"/>
  <c r="AV134" i="7"/>
  <c r="AG134" i="7"/>
  <c r="AF134" i="7" s="1"/>
  <c r="Y134" i="7"/>
  <c r="X134" i="7" s="1"/>
  <c r="R100" i="6" l="1"/>
  <c r="H101" i="6"/>
  <c r="AG135" i="7"/>
  <c r="AF135" i="7" s="1"/>
  <c r="H89" i="7"/>
  <c r="Y135" i="7"/>
  <c r="X135" i="7"/>
  <c r="AJ84" i="7"/>
  <c r="AK84" i="7" s="1"/>
  <c r="AM84" i="7" s="1"/>
  <c r="AH85" i="7" s="1"/>
  <c r="AW135" i="7"/>
  <c r="AV135" i="7" s="1"/>
  <c r="AR80" i="7"/>
  <c r="AS80" i="7" s="1"/>
  <c r="AU80" i="7" s="1"/>
  <c r="AP81" i="7" s="1"/>
  <c r="Q134" i="7"/>
  <c r="P134" i="7" s="1"/>
  <c r="L21" i="6"/>
  <c r="AO136" i="7"/>
  <c r="AN136" i="7" s="1"/>
  <c r="H102" i="6" l="1"/>
  <c r="R101" i="6"/>
  <c r="AQ81" i="7"/>
  <c r="AR81" i="7" s="1"/>
  <c r="AO137" i="7"/>
  <c r="AN137" i="7" s="1"/>
  <c r="Q135" i="7"/>
  <c r="P135" i="7" s="1"/>
  <c r="AW136" i="7"/>
  <c r="AV136" i="7" s="1"/>
  <c r="AG136" i="7"/>
  <c r="AF136" i="7" s="1"/>
  <c r="AI85" i="7"/>
  <c r="AJ85" i="7" s="1"/>
  <c r="AD19" i="7"/>
  <c r="AE19" i="7" s="1"/>
  <c r="Z20" i="7" s="1"/>
  <c r="N19" i="7"/>
  <c r="O19" i="7" s="1"/>
  <c r="J20" i="7" s="1"/>
  <c r="F19" i="7"/>
  <c r="V19" i="7"/>
  <c r="W19" i="7" s="1"/>
  <c r="R20" i="7" s="1"/>
  <c r="Y136" i="7"/>
  <c r="X136" i="7" s="1"/>
  <c r="I90" i="7"/>
  <c r="BB90" i="7" s="1"/>
  <c r="R102" i="6" l="1"/>
  <c r="H103" i="6"/>
  <c r="AG137" i="7"/>
  <c r="AF137" i="7" s="1"/>
  <c r="Q136" i="7"/>
  <c r="P136" i="7" s="1"/>
  <c r="AO138" i="7"/>
  <c r="AN138" i="7" s="1"/>
  <c r="AA20" i="7"/>
  <c r="AK85" i="7"/>
  <c r="AM85" i="7" s="1"/>
  <c r="AH86" i="7" s="1"/>
  <c r="H90" i="7"/>
  <c r="Y137" i="7"/>
  <c r="X137" i="7" s="1"/>
  <c r="AW137" i="7"/>
  <c r="AV137" i="7" s="1"/>
  <c r="S20" i="7"/>
  <c r="T20" i="7" s="1"/>
  <c r="U20" i="7" s="1"/>
  <c r="AS81" i="7"/>
  <c r="AU81" i="7" s="1"/>
  <c r="AP82" i="7" s="1"/>
  <c r="AY19" i="7"/>
  <c r="M21" i="6" s="1"/>
  <c r="N21" i="6" s="1"/>
  <c r="O21" i="6" s="1"/>
  <c r="G19" i="7"/>
  <c r="K20" i="7"/>
  <c r="R103" i="6" l="1"/>
  <c r="H104" i="6"/>
  <c r="AW138" i="7"/>
  <c r="AV138" i="7" s="1"/>
  <c r="Y138" i="7"/>
  <c r="X138" i="7" s="1"/>
  <c r="AO139" i="7"/>
  <c r="AN139" i="7" s="1"/>
  <c r="Q137" i="7"/>
  <c r="P137" i="7" s="1"/>
  <c r="I91" i="7"/>
  <c r="BB91" i="7" s="1"/>
  <c r="AI86" i="7"/>
  <c r="AJ86" i="7" s="1"/>
  <c r="AK86" i="7" s="1"/>
  <c r="AM86" i="7" s="1"/>
  <c r="AH87" i="7" s="1"/>
  <c r="B20" i="7"/>
  <c r="AZ19" i="7"/>
  <c r="P21" i="6" s="1"/>
  <c r="T21" i="6" s="1"/>
  <c r="L20" i="7"/>
  <c r="M20" i="7" s="1"/>
  <c r="AB20" i="7"/>
  <c r="AC20" i="7" s="1"/>
  <c r="AQ82" i="7"/>
  <c r="AR82" i="7" s="1"/>
  <c r="AS82" i="7" s="1"/>
  <c r="AU82" i="7" s="1"/>
  <c r="AP83" i="7" s="1"/>
  <c r="AG138" i="7"/>
  <c r="AF138" i="7" s="1"/>
  <c r="H105" i="6" l="1"/>
  <c r="R104" i="6"/>
  <c r="AI87" i="7"/>
  <c r="AJ87" i="7" s="1"/>
  <c r="AQ83" i="7"/>
  <c r="AR83" i="7" s="1"/>
  <c r="AS83" i="7" s="1"/>
  <c r="AU83" i="7" s="1"/>
  <c r="AP84" i="7" s="1"/>
  <c r="AG139" i="7"/>
  <c r="AF139" i="7" s="1"/>
  <c r="Q138" i="7"/>
  <c r="P138" i="7" s="1"/>
  <c r="AO140" i="7"/>
  <c r="AN140" i="7" s="1"/>
  <c r="Y139" i="7"/>
  <c r="X139" i="7" s="1"/>
  <c r="C20" i="7"/>
  <c r="BA20" i="7" s="1"/>
  <c r="H91" i="7"/>
  <c r="AW139" i="7"/>
  <c r="AV139" i="7" s="1"/>
  <c r="R105" i="6" l="1"/>
  <c r="H106" i="6"/>
  <c r="D20" i="7"/>
  <c r="AX20" i="7" s="1"/>
  <c r="E22" i="6" s="1"/>
  <c r="F22" i="6" s="1"/>
  <c r="I22" i="6" s="1"/>
  <c r="J22" i="6" s="1"/>
  <c r="AK87" i="7"/>
  <c r="AM87" i="7" s="1"/>
  <c r="AH88" i="7" s="1"/>
  <c r="AI88" i="7" s="1"/>
  <c r="AJ88" i="7" s="1"/>
  <c r="AW140" i="7"/>
  <c r="AV140" i="7"/>
  <c r="AO141" i="7"/>
  <c r="AN141" i="7"/>
  <c r="Q139" i="7"/>
  <c r="P139" i="7" s="1"/>
  <c r="AQ84" i="7"/>
  <c r="AR84" i="7" s="1"/>
  <c r="Y140" i="7"/>
  <c r="X140" i="7" s="1"/>
  <c r="AG140" i="7"/>
  <c r="AF140" i="7" s="1"/>
  <c r="I92" i="7"/>
  <c r="BB92" i="7" s="1"/>
  <c r="H92" i="7" l="1"/>
  <c r="H107" i="6"/>
  <c r="R106" i="6"/>
  <c r="Q22" i="6"/>
  <c r="E20" i="7"/>
  <c r="AG141" i="7"/>
  <c r="AF141" i="7" s="1"/>
  <c r="Q140" i="7"/>
  <c r="P140" i="7" s="1"/>
  <c r="AS84" i="7"/>
  <c r="AU84" i="7" s="1"/>
  <c r="AP85" i="7" s="1"/>
  <c r="AK88" i="7"/>
  <c r="AM88" i="7" s="1"/>
  <c r="AH89" i="7" s="1"/>
  <c r="Y141" i="7"/>
  <c r="X141" i="7" s="1"/>
  <c r="AO142" i="7"/>
  <c r="AN142" i="7" s="1"/>
  <c r="I93" i="7"/>
  <c r="BB93" i="7" s="1"/>
  <c r="S22" i="6"/>
  <c r="AW141" i="7"/>
  <c r="AV141" i="7" s="1"/>
  <c r="K22" i="6"/>
  <c r="H93" i="7" l="1"/>
  <c r="I94" i="7" s="1"/>
  <c r="BB94" i="7" s="1"/>
  <c r="R107" i="6"/>
  <c r="H108" i="6"/>
  <c r="Y142" i="7"/>
  <c r="X142" i="7" s="1"/>
  <c r="AG142" i="7"/>
  <c r="AF142" i="7" s="1"/>
  <c r="AO143" i="7"/>
  <c r="AN143" i="7" s="1"/>
  <c r="AI89" i="7"/>
  <c r="AJ89" i="7" s="1"/>
  <c r="AQ85" i="7"/>
  <c r="AR85" i="7" s="1"/>
  <c r="L22" i="6"/>
  <c r="AW142" i="7"/>
  <c r="AV142" i="7" s="1"/>
  <c r="Q141" i="7"/>
  <c r="P141" i="7" s="1"/>
  <c r="H94" i="7" l="1"/>
  <c r="H109" i="6"/>
  <c r="R108" i="6"/>
  <c r="AO144" i="7"/>
  <c r="AN144" i="7" s="1"/>
  <c r="AK89" i="7"/>
  <c r="AM89" i="7" s="1"/>
  <c r="AH90" i="7" s="1"/>
  <c r="AS85" i="7"/>
  <c r="AU85" i="7" s="1"/>
  <c r="AP86" i="7" s="1"/>
  <c r="Q142" i="7"/>
  <c r="P142" i="7" s="1"/>
  <c r="AD20" i="7"/>
  <c r="AE20" i="7" s="1"/>
  <c r="Z21" i="7" s="1"/>
  <c r="F20" i="7"/>
  <c r="V20" i="7"/>
  <c r="W20" i="7" s="1"/>
  <c r="R21" i="7" s="1"/>
  <c r="N20" i="7"/>
  <c r="O20" i="7" s="1"/>
  <c r="J21" i="7" s="1"/>
  <c r="I95" i="7"/>
  <c r="BB95" i="7" s="1"/>
  <c r="AG143" i="7"/>
  <c r="AF143" i="7" s="1"/>
  <c r="AW143" i="7"/>
  <c r="AV143" i="7" s="1"/>
  <c r="Y143" i="7"/>
  <c r="X143" i="7" s="1"/>
  <c r="H110" i="6" l="1"/>
  <c r="R109" i="6"/>
  <c r="Y144" i="7"/>
  <c r="X144" i="7"/>
  <c r="S21" i="7"/>
  <c r="K21" i="7"/>
  <c r="AA21" i="7"/>
  <c r="Q143" i="7"/>
  <c r="P143" i="7" s="1"/>
  <c r="AW144" i="7"/>
  <c r="AV144" i="7"/>
  <c r="AI90" i="7"/>
  <c r="AJ90" i="7" s="1"/>
  <c r="AK90" i="7" s="1"/>
  <c r="AM90" i="7" s="1"/>
  <c r="AH91" i="7" s="1"/>
  <c r="H95" i="7"/>
  <c r="AY20" i="7"/>
  <c r="M22" i="6" s="1"/>
  <c r="N22" i="6" s="1"/>
  <c r="O22" i="6" s="1"/>
  <c r="G20" i="7"/>
  <c r="AQ86" i="7"/>
  <c r="AR86" i="7" s="1"/>
  <c r="AS86" i="7" s="1"/>
  <c r="AU86" i="7" s="1"/>
  <c r="AP87" i="7" s="1"/>
  <c r="AO145" i="7"/>
  <c r="AN145" i="7" s="1"/>
  <c r="AG144" i="7"/>
  <c r="AF144" i="7" s="1"/>
  <c r="H111" i="6" l="1"/>
  <c r="R110" i="6"/>
  <c r="AQ87" i="7"/>
  <c r="Q144" i="7"/>
  <c r="P144" i="7" s="1"/>
  <c r="AI91" i="7"/>
  <c r="AJ91" i="7" s="1"/>
  <c r="AK91" i="7" s="1"/>
  <c r="AM91" i="7" s="1"/>
  <c r="AH92" i="7" s="1"/>
  <c r="AG145" i="7"/>
  <c r="AF145" i="7" s="1"/>
  <c r="AW145" i="7"/>
  <c r="AV145" i="7" s="1"/>
  <c r="T21" i="7"/>
  <c r="U21" i="7" s="1"/>
  <c r="AO146" i="7"/>
  <c r="AN146" i="7" s="1"/>
  <c r="AB21" i="7"/>
  <c r="AC21" i="7" s="1"/>
  <c r="L21" i="7"/>
  <c r="M21" i="7" s="1"/>
  <c r="B21" i="7"/>
  <c r="AZ20" i="7"/>
  <c r="P22" i="6" s="1"/>
  <c r="T22" i="6" s="1"/>
  <c r="I96" i="7"/>
  <c r="BB96" i="7" s="1"/>
  <c r="Y145" i="7"/>
  <c r="X145" i="7" s="1"/>
  <c r="H112" i="6" l="1"/>
  <c r="R111" i="6"/>
  <c r="AI92" i="7"/>
  <c r="AW146" i="7"/>
  <c r="AV146" i="7" s="1"/>
  <c r="Y146" i="7"/>
  <c r="X146" i="7" s="1"/>
  <c r="H96" i="7"/>
  <c r="AG146" i="7"/>
  <c r="AF146" i="7" s="1"/>
  <c r="C21" i="7"/>
  <c r="BA21" i="7" s="1"/>
  <c r="AO147" i="7"/>
  <c r="AN147" i="7" s="1"/>
  <c r="AR87" i="7"/>
  <c r="AS87" i="7" s="1"/>
  <c r="AU87" i="7" s="1"/>
  <c r="AP88" i="7" s="1"/>
  <c r="Q145" i="7"/>
  <c r="P145" i="7" s="1"/>
  <c r="H113" i="6" l="1"/>
  <c r="R112" i="6"/>
  <c r="AO148" i="7"/>
  <c r="AN148" i="7" s="1"/>
  <c r="I97" i="7"/>
  <c r="BB97" i="7" s="1"/>
  <c r="H97" i="7"/>
  <c r="AJ92" i="7"/>
  <c r="AK92" i="7" s="1"/>
  <c r="AM92" i="7" s="1"/>
  <c r="AH93" i="7" s="1"/>
  <c r="AG147" i="7"/>
  <c r="AF147" i="7" s="1"/>
  <c r="Q146" i="7"/>
  <c r="P146" i="7" s="1"/>
  <c r="AQ88" i="7"/>
  <c r="AW147" i="7"/>
  <c r="AV147" i="7" s="1"/>
  <c r="Y147" i="7"/>
  <c r="X147" i="7" s="1"/>
  <c r="D21" i="7"/>
  <c r="H114" i="6" l="1"/>
  <c r="R113" i="6"/>
  <c r="AI93" i="7"/>
  <c r="Y148" i="7"/>
  <c r="X148" i="7" s="1"/>
  <c r="AG148" i="7"/>
  <c r="AF148" i="7" s="1"/>
  <c r="AW148" i="7"/>
  <c r="AV148" i="7" s="1"/>
  <c r="Q147" i="7"/>
  <c r="P147" i="7" s="1"/>
  <c r="AR88" i="7"/>
  <c r="AS88" i="7" s="1"/>
  <c r="AU88" i="7" s="1"/>
  <c r="AP89" i="7" s="1"/>
  <c r="I98" i="7"/>
  <c r="BB98" i="7" s="1"/>
  <c r="AX21" i="7"/>
  <c r="E23" i="6" s="1"/>
  <c r="F23" i="6" s="1"/>
  <c r="E21" i="7"/>
  <c r="AO149" i="7"/>
  <c r="AN149" i="7" s="1"/>
  <c r="H98" i="7" l="1"/>
  <c r="H115" i="6"/>
  <c r="R114" i="6"/>
  <c r="AQ89" i="7"/>
  <c r="AR89" i="7" s="1"/>
  <c r="AS89" i="7" s="1"/>
  <c r="AU89" i="7" s="1"/>
  <c r="AP90" i="7" s="1"/>
  <c r="Y149" i="7"/>
  <c r="X149" i="7" s="1"/>
  <c r="Q148" i="7"/>
  <c r="P148" i="7"/>
  <c r="AG149" i="7"/>
  <c r="AF149" i="7" s="1"/>
  <c r="I99" i="7"/>
  <c r="BB99" i="7" s="1"/>
  <c r="AW149" i="7"/>
  <c r="AV149" i="7" s="1"/>
  <c r="Q23" i="6"/>
  <c r="I23" i="6"/>
  <c r="J23" i="6" s="1"/>
  <c r="AJ93" i="7"/>
  <c r="AK93" i="7" s="1"/>
  <c r="AM93" i="7" s="1"/>
  <c r="AH94" i="7" s="1"/>
  <c r="AO150" i="7"/>
  <c r="AN150" i="7" s="1"/>
  <c r="H116" i="6" l="1"/>
  <c r="R115" i="6"/>
  <c r="K23" i="6"/>
  <c r="L23" i="6" s="1"/>
  <c r="AW150" i="7"/>
  <c r="AV150" i="7" s="1"/>
  <c r="AQ90" i="7"/>
  <c r="AO151" i="7"/>
  <c r="AN151" i="7" s="1"/>
  <c r="H99" i="7"/>
  <c r="Q149" i="7"/>
  <c r="P149" i="7" s="1"/>
  <c r="AG150" i="7"/>
  <c r="AF150" i="7" s="1"/>
  <c r="AI94" i="7"/>
  <c r="Y150" i="7"/>
  <c r="X150" i="7" s="1"/>
  <c r="S23" i="6"/>
  <c r="R116" i="6" l="1"/>
  <c r="H117" i="6"/>
  <c r="Q150" i="7"/>
  <c r="P150" i="7"/>
  <c r="AG151" i="7"/>
  <c r="AF151" i="7"/>
  <c r="AW151" i="7"/>
  <c r="AV151" i="7" s="1"/>
  <c r="AD21" i="7"/>
  <c r="AE21" i="7" s="1"/>
  <c r="Z22" i="7" s="1"/>
  <c r="V21" i="7"/>
  <c r="W21" i="7" s="1"/>
  <c r="R22" i="7" s="1"/>
  <c r="N21" i="7"/>
  <c r="O21" i="7" s="1"/>
  <c r="J22" i="7" s="1"/>
  <c r="F21" i="7"/>
  <c r="Y151" i="7"/>
  <c r="X151" i="7" s="1"/>
  <c r="AJ94" i="7"/>
  <c r="AK94" i="7" s="1"/>
  <c r="AM94" i="7" s="1"/>
  <c r="AH95" i="7" s="1"/>
  <c r="I100" i="7"/>
  <c r="BB100" i="7" s="1"/>
  <c r="H100" i="7"/>
  <c r="AO152" i="7"/>
  <c r="AN152" i="7" s="1"/>
  <c r="AR90" i="7"/>
  <c r="AS90" i="7" s="1"/>
  <c r="AU90" i="7" s="1"/>
  <c r="AP91" i="7" s="1"/>
  <c r="H118" i="6" l="1"/>
  <c r="R117" i="6"/>
  <c r="Y152" i="7"/>
  <c r="X152" i="7" s="1"/>
  <c r="AI95" i="7"/>
  <c r="AQ91" i="7"/>
  <c r="AR91" i="7" s="1"/>
  <c r="AS91" i="7" s="1"/>
  <c r="AU91" i="7" s="1"/>
  <c r="AP92" i="7" s="1"/>
  <c r="K22" i="7"/>
  <c r="AY21" i="7"/>
  <c r="M23" i="6" s="1"/>
  <c r="N23" i="6" s="1"/>
  <c r="O23" i="6" s="1"/>
  <c r="G21" i="7"/>
  <c r="S22" i="7"/>
  <c r="T22" i="7" s="1"/>
  <c r="U22" i="7" s="1"/>
  <c r="AA22" i="7"/>
  <c r="AW152" i="7"/>
  <c r="AV152" i="7" s="1"/>
  <c r="AG152" i="7"/>
  <c r="AF152" i="7" s="1"/>
  <c r="AO153" i="7"/>
  <c r="AN153" i="7" s="1"/>
  <c r="I101" i="7"/>
  <c r="BB101" i="7" s="1"/>
  <c r="Q151" i="7"/>
  <c r="P151" i="7" s="1"/>
  <c r="H101" i="7" l="1"/>
  <c r="R118" i="6"/>
  <c r="H119" i="6"/>
  <c r="Q152" i="7"/>
  <c r="P152" i="7" s="1"/>
  <c r="AQ92" i="7"/>
  <c r="AO154" i="7"/>
  <c r="AN154" i="7" s="1"/>
  <c r="L22" i="7"/>
  <c r="M22" i="7" s="1"/>
  <c r="AW153" i="7"/>
  <c r="AV153" i="7" s="1"/>
  <c r="I102" i="7"/>
  <c r="BB102" i="7" s="1"/>
  <c r="B22" i="7"/>
  <c r="AZ21" i="7"/>
  <c r="P23" i="6" s="1"/>
  <c r="T23" i="6" s="1"/>
  <c r="AG153" i="7"/>
  <c r="AF153" i="7" s="1"/>
  <c r="AB22" i="7"/>
  <c r="AC22" i="7" s="1"/>
  <c r="AJ95" i="7"/>
  <c r="AK95" i="7" s="1"/>
  <c r="AM95" i="7" s="1"/>
  <c r="AH96" i="7" s="1"/>
  <c r="Y153" i="7"/>
  <c r="X153" i="7"/>
  <c r="R119" i="6" l="1"/>
  <c r="H120" i="6"/>
  <c r="AW154" i="7"/>
  <c r="AV154" i="7" s="1"/>
  <c r="AI96" i="7"/>
  <c r="AJ96" i="7" s="1"/>
  <c r="AK96" i="7" s="1"/>
  <c r="AM96" i="7" s="1"/>
  <c r="AH97" i="7" s="1"/>
  <c r="Q153" i="7"/>
  <c r="P153" i="7" s="1"/>
  <c r="AO155" i="7"/>
  <c r="AN155" i="7" s="1"/>
  <c r="AR92" i="7"/>
  <c r="AS92" i="7" s="1"/>
  <c r="AU92" i="7" s="1"/>
  <c r="AP93" i="7" s="1"/>
  <c r="AG154" i="7"/>
  <c r="AF154" i="7" s="1"/>
  <c r="Y154" i="7"/>
  <c r="X154" i="7" s="1"/>
  <c r="C22" i="7"/>
  <c r="BA22" i="7" s="1"/>
  <c r="H102" i="7"/>
  <c r="R120" i="6" l="1"/>
  <c r="H121" i="6"/>
  <c r="D22" i="7"/>
  <c r="AX22" i="7" s="1"/>
  <c r="E24" i="6" s="1"/>
  <c r="F24" i="6" s="1"/>
  <c r="Q24" i="6" s="1"/>
  <c r="AO156" i="7"/>
  <c r="AN156" i="7" s="1"/>
  <c r="AG155" i="7"/>
  <c r="AF155" i="7" s="1"/>
  <c r="AQ93" i="7"/>
  <c r="AR93" i="7" s="1"/>
  <c r="AI97" i="7"/>
  <c r="Q154" i="7"/>
  <c r="P154" i="7" s="1"/>
  <c r="I103" i="7"/>
  <c r="BB103" i="7" s="1"/>
  <c r="Y155" i="7"/>
  <c r="X155" i="7" s="1"/>
  <c r="AW155" i="7"/>
  <c r="AV155" i="7" s="1"/>
  <c r="R121" i="6" l="1"/>
  <c r="H122" i="6"/>
  <c r="E22" i="7"/>
  <c r="I24" i="6"/>
  <c r="J24" i="6" s="1"/>
  <c r="S24" i="6" s="1"/>
  <c r="Y156" i="7"/>
  <c r="X156" i="7" s="1"/>
  <c r="Q155" i="7"/>
  <c r="P155" i="7" s="1"/>
  <c r="AG156" i="7"/>
  <c r="AF156" i="7" s="1"/>
  <c r="H103" i="7"/>
  <c r="AJ97" i="7"/>
  <c r="AK97" i="7" s="1"/>
  <c r="AM97" i="7" s="1"/>
  <c r="AH98" i="7" s="1"/>
  <c r="AS93" i="7"/>
  <c r="AU93" i="7" s="1"/>
  <c r="AP94" i="7" s="1"/>
  <c r="AO157" i="7"/>
  <c r="AN157" i="7" s="1"/>
  <c r="AW156" i="7"/>
  <c r="AV156" i="7" s="1"/>
  <c r="R122" i="6" l="1"/>
  <c r="H123" i="6"/>
  <c r="K24" i="6"/>
  <c r="AO158" i="7"/>
  <c r="AN158" i="7" s="1"/>
  <c r="AI98" i="7"/>
  <c r="AJ98" i="7" s="1"/>
  <c r="AG157" i="7"/>
  <c r="AF157" i="7" s="1"/>
  <c r="AW157" i="7"/>
  <c r="AV157" i="7" s="1"/>
  <c r="AQ94" i="7"/>
  <c r="AR94" i="7" s="1"/>
  <c r="AS94" i="7" s="1"/>
  <c r="AU94" i="7" s="1"/>
  <c r="AP95" i="7" s="1"/>
  <c r="Y157" i="7"/>
  <c r="X157" i="7" s="1"/>
  <c r="L24" i="6"/>
  <c r="I104" i="7"/>
  <c r="BB104" i="7" s="1"/>
  <c r="Q156" i="7"/>
  <c r="P156" i="7" s="1"/>
  <c r="H104" i="7" l="1"/>
  <c r="I105" i="7" s="1"/>
  <c r="BB105" i="7" s="1"/>
  <c r="R123" i="6"/>
  <c r="H124" i="6"/>
  <c r="Y158" i="7"/>
  <c r="X158" i="7"/>
  <c r="AQ95" i="7"/>
  <c r="AW158" i="7"/>
  <c r="AV158" i="7" s="1"/>
  <c r="Q157" i="7"/>
  <c r="P157" i="7" s="1"/>
  <c r="AK98" i="7"/>
  <c r="AM98" i="7" s="1"/>
  <c r="AH99" i="7" s="1"/>
  <c r="AO159" i="7"/>
  <c r="AN159" i="7" s="1"/>
  <c r="AG158" i="7"/>
  <c r="AF158" i="7" s="1"/>
  <c r="AD22" i="7"/>
  <c r="AE22" i="7" s="1"/>
  <c r="Z23" i="7" s="1"/>
  <c r="V22" i="7"/>
  <c r="W22" i="7" s="1"/>
  <c r="R23" i="7" s="1"/>
  <c r="F22" i="7"/>
  <c r="N22" i="7"/>
  <c r="O22" i="7" s="1"/>
  <c r="J23" i="7" s="1"/>
  <c r="H105" i="7" l="1"/>
  <c r="I106" i="7" s="1"/>
  <c r="BB106" i="7" s="1"/>
  <c r="H125" i="6"/>
  <c r="R124" i="6"/>
  <c r="K23" i="7"/>
  <c r="L23" i="7" s="1"/>
  <c r="AO160" i="7"/>
  <c r="AN160" i="7" s="1"/>
  <c r="AY22" i="7"/>
  <c r="M24" i="6" s="1"/>
  <c r="N24" i="6" s="1"/>
  <c r="O24" i="6" s="1"/>
  <c r="G22" i="7"/>
  <c r="Q158" i="7"/>
  <c r="P158" i="7" s="1"/>
  <c r="AW159" i="7"/>
  <c r="AV159" i="7" s="1"/>
  <c r="AA23" i="7"/>
  <c r="AB23" i="7" s="1"/>
  <c r="AC23" i="7" s="1"/>
  <c r="AG159" i="7"/>
  <c r="AF159" i="7" s="1"/>
  <c r="AI99" i="7"/>
  <c r="AJ99" i="7" s="1"/>
  <c r="AK99" i="7" s="1"/>
  <c r="AM99" i="7" s="1"/>
  <c r="AH100" i="7" s="1"/>
  <c r="S23" i="7"/>
  <c r="AR95" i="7"/>
  <c r="AS95" i="7" s="1"/>
  <c r="AU95" i="7" s="1"/>
  <c r="AP96" i="7" s="1"/>
  <c r="Y159" i="7"/>
  <c r="X159" i="7" s="1"/>
  <c r="R125" i="6" l="1"/>
  <c r="H126" i="6"/>
  <c r="AI100" i="7"/>
  <c r="AG160" i="7"/>
  <c r="AF160" i="7" s="1"/>
  <c r="AQ96" i="7"/>
  <c r="AR96" i="7" s="1"/>
  <c r="AS96" i="7" s="1"/>
  <c r="AU96" i="7" s="1"/>
  <c r="AP97" i="7" s="1"/>
  <c r="AW160" i="7"/>
  <c r="AV160" i="7" s="1"/>
  <c r="Y160" i="7"/>
  <c r="X160" i="7" s="1"/>
  <c r="Q159" i="7"/>
  <c r="P159" i="7" s="1"/>
  <c r="T23" i="7"/>
  <c r="U23" i="7" s="1"/>
  <c r="AO161" i="7"/>
  <c r="AN161" i="7" s="1"/>
  <c r="H106" i="7"/>
  <c r="M23" i="7"/>
  <c r="B23" i="7"/>
  <c r="AZ22" i="7"/>
  <c r="P24" i="6" s="1"/>
  <c r="T24" i="6" s="1"/>
  <c r="H127" i="6" l="1"/>
  <c r="R126" i="6"/>
  <c r="Q160" i="7"/>
  <c r="P160" i="7" s="1"/>
  <c r="Y161" i="7"/>
  <c r="X161" i="7" s="1"/>
  <c r="AQ97" i="7"/>
  <c r="AR97" i="7" s="1"/>
  <c r="C23" i="7"/>
  <c r="BA23" i="7" s="1"/>
  <c r="AG161" i="7"/>
  <c r="AF161" i="7" s="1"/>
  <c r="AW161" i="7"/>
  <c r="AV161" i="7" s="1"/>
  <c r="AO162" i="7"/>
  <c r="AN162" i="7" s="1"/>
  <c r="AJ100" i="7"/>
  <c r="AK100" i="7" s="1"/>
  <c r="AM100" i="7" s="1"/>
  <c r="AH101" i="7" s="1"/>
  <c r="I107" i="7"/>
  <c r="BB107" i="7" s="1"/>
  <c r="H107" i="7" l="1"/>
  <c r="R127" i="6"/>
  <c r="H128" i="6"/>
  <c r="AS97" i="7"/>
  <c r="AU97" i="7" s="1"/>
  <c r="AP98" i="7" s="1"/>
  <c r="AQ98" i="7" s="1"/>
  <c r="AR98" i="7" s="1"/>
  <c r="AS98" i="7" s="1"/>
  <c r="AU98" i="7" s="1"/>
  <c r="AP99" i="7" s="1"/>
  <c r="AG162" i="7"/>
  <c r="AF162" i="7" s="1"/>
  <c r="AO163" i="7"/>
  <c r="AN163" i="7" s="1"/>
  <c r="Q161" i="7"/>
  <c r="P161" i="7" s="1"/>
  <c r="D23" i="7"/>
  <c r="AX23" i="7" s="1"/>
  <c r="E25" i="6" s="1"/>
  <c r="F25" i="6" s="1"/>
  <c r="AI101" i="7"/>
  <c r="AJ101" i="7" s="1"/>
  <c r="I108" i="7"/>
  <c r="BB108" i="7" s="1"/>
  <c r="AW162" i="7"/>
  <c r="AV162" i="7" s="1"/>
  <c r="Y162" i="7"/>
  <c r="X162" i="7" s="1"/>
  <c r="H108" i="7" l="1"/>
  <c r="H129" i="6"/>
  <c r="R128" i="6"/>
  <c r="Q162" i="7"/>
  <c r="P162" i="7" s="1"/>
  <c r="AK101" i="7"/>
  <c r="AM101" i="7" s="1"/>
  <c r="AH102" i="7" s="1"/>
  <c r="AW163" i="7"/>
  <c r="AV163" i="7" s="1"/>
  <c r="E23" i="7"/>
  <c r="Y163" i="7"/>
  <c r="X163" i="7" s="1"/>
  <c r="AO164" i="7"/>
  <c r="AN164" i="7" s="1"/>
  <c r="AG163" i="7"/>
  <c r="AF163" i="7" s="1"/>
  <c r="Q25" i="6"/>
  <c r="I25" i="6"/>
  <c r="J25" i="6" s="1"/>
  <c r="AQ99" i="7"/>
  <c r="AR99" i="7" s="1"/>
  <c r="AS99" i="7" s="1"/>
  <c r="AU99" i="7" s="1"/>
  <c r="AP100" i="7" s="1"/>
  <c r="I109" i="7"/>
  <c r="BB109" i="7" s="1"/>
  <c r="H130" i="6" l="1"/>
  <c r="R129" i="6"/>
  <c r="K25" i="6"/>
  <c r="L25" i="6" s="1"/>
  <c r="AQ100" i="7"/>
  <c r="Y164" i="7"/>
  <c r="X164" i="7" s="1"/>
  <c r="AG164" i="7"/>
  <c r="AF164" i="7" s="1"/>
  <c r="AW164" i="7"/>
  <c r="AV164" i="7" s="1"/>
  <c r="AO165" i="7"/>
  <c r="AN165" i="7" s="1"/>
  <c r="AI102" i="7"/>
  <c r="AJ102" i="7" s="1"/>
  <c r="AK102" i="7" s="1"/>
  <c r="AM102" i="7" s="1"/>
  <c r="AH103" i="7" s="1"/>
  <c r="H109" i="7"/>
  <c r="Q163" i="7"/>
  <c r="P163" i="7" s="1"/>
  <c r="S25" i="6"/>
  <c r="R130" i="6" l="1"/>
  <c r="H131" i="6"/>
  <c r="Q164" i="7"/>
  <c r="P164" i="7" s="1"/>
  <c r="AO166" i="7"/>
  <c r="AN166" i="7" s="1"/>
  <c r="AI103" i="7"/>
  <c r="AD23" i="7"/>
  <c r="AE23" i="7" s="1"/>
  <c r="Z24" i="7" s="1"/>
  <c r="F23" i="7"/>
  <c r="N23" i="7"/>
  <c r="O23" i="7" s="1"/>
  <c r="J24" i="7" s="1"/>
  <c r="V23" i="7"/>
  <c r="W23" i="7" s="1"/>
  <c r="R24" i="7" s="1"/>
  <c r="AG165" i="7"/>
  <c r="AF165" i="7" s="1"/>
  <c r="AW165" i="7"/>
  <c r="AV165" i="7"/>
  <c r="Y165" i="7"/>
  <c r="X165" i="7" s="1"/>
  <c r="I110" i="7"/>
  <c r="BB110" i="7" s="1"/>
  <c r="AR100" i="7"/>
  <c r="AS100" i="7" s="1"/>
  <c r="AU100" i="7" s="1"/>
  <c r="AP101" i="7" s="1"/>
  <c r="H110" i="7" l="1"/>
  <c r="R131" i="6"/>
  <c r="H132" i="6"/>
  <c r="AJ103" i="7"/>
  <c r="AK103" i="7" s="1"/>
  <c r="AM103" i="7" s="1"/>
  <c r="AH104" i="7" s="1"/>
  <c r="AI104" i="7" s="1"/>
  <c r="AJ104" i="7" s="1"/>
  <c r="Y166" i="7"/>
  <c r="X166" i="7" s="1"/>
  <c r="AG166" i="7"/>
  <c r="AF166" i="7" s="1"/>
  <c r="AO167" i="7"/>
  <c r="AN167" i="7"/>
  <c r="AQ101" i="7"/>
  <c r="S24" i="7"/>
  <c r="T24" i="7" s="1"/>
  <c r="K24" i="7"/>
  <c r="L24" i="7" s="1"/>
  <c r="AY23" i="7"/>
  <c r="M25" i="6" s="1"/>
  <c r="N25" i="6" s="1"/>
  <c r="O25" i="6" s="1"/>
  <c r="G23" i="7"/>
  <c r="I111" i="7"/>
  <c r="BB111" i="7" s="1"/>
  <c r="AA24" i="7"/>
  <c r="AW166" i="7"/>
  <c r="AV166" i="7" s="1"/>
  <c r="Q165" i="7"/>
  <c r="P165" i="7"/>
  <c r="H111" i="7" l="1"/>
  <c r="R132" i="6"/>
  <c r="H133" i="6"/>
  <c r="AR101" i="7"/>
  <c r="AS101" i="7" s="1"/>
  <c r="AU101" i="7" s="1"/>
  <c r="AP102" i="7" s="1"/>
  <c r="AQ102" i="7" s="1"/>
  <c r="AR102" i="7" s="1"/>
  <c r="AS102" i="7" s="1"/>
  <c r="AU102" i="7" s="1"/>
  <c r="AP103" i="7" s="1"/>
  <c r="M24" i="7"/>
  <c r="U24" i="7"/>
  <c r="AW167" i="7"/>
  <c r="AV167" i="7" s="1"/>
  <c r="AK104" i="7"/>
  <c r="AM104" i="7" s="1"/>
  <c r="AH105" i="7" s="1"/>
  <c r="AB24" i="7"/>
  <c r="AC24" i="7" s="1"/>
  <c r="AG167" i="7"/>
  <c r="AF167" i="7" s="1"/>
  <c r="AZ23" i="7"/>
  <c r="P25" i="6" s="1"/>
  <c r="T25" i="6" s="1"/>
  <c r="B24" i="7"/>
  <c r="Y167" i="7"/>
  <c r="X167" i="7" s="1"/>
  <c r="Q166" i="7"/>
  <c r="P166" i="7" s="1"/>
  <c r="AO168" i="7"/>
  <c r="AN168" i="7" s="1"/>
  <c r="I112" i="7" l="1"/>
  <c r="BB112" i="7" s="1"/>
  <c r="H134" i="6"/>
  <c r="R133" i="6"/>
  <c r="AO169" i="7"/>
  <c r="AN169" i="7" s="1"/>
  <c r="AG168" i="7"/>
  <c r="AF168" i="7" s="1"/>
  <c r="AQ103" i="7"/>
  <c r="AR103" i="7" s="1"/>
  <c r="AI105" i="7"/>
  <c r="AW168" i="7"/>
  <c r="AV168" i="7" s="1"/>
  <c r="Y168" i="7"/>
  <c r="X168" i="7" s="1"/>
  <c r="Q167" i="7"/>
  <c r="P167" i="7"/>
  <c r="C24" i="7"/>
  <c r="BA24" i="7" s="1"/>
  <c r="H112" i="7" l="1"/>
  <c r="I113" i="7" s="1"/>
  <c r="BB113" i="7" s="1"/>
  <c r="H135" i="6"/>
  <c r="R134" i="6"/>
  <c r="AS103" i="7"/>
  <c r="AU103" i="7" s="1"/>
  <c r="AP104" i="7" s="1"/>
  <c r="AQ104" i="7" s="1"/>
  <c r="AR104" i="7" s="1"/>
  <c r="AS104" i="7" s="1"/>
  <c r="AU104" i="7" s="1"/>
  <c r="AP105" i="7" s="1"/>
  <c r="Y169" i="7"/>
  <c r="X169" i="7" s="1"/>
  <c r="AG169" i="7"/>
  <c r="AF169" i="7" s="1"/>
  <c r="AW169" i="7"/>
  <c r="AV169" i="7" s="1"/>
  <c r="AJ105" i="7"/>
  <c r="AK105" i="7" s="1"/>
  <c r="AM105" i="7" s="1"/>
  <c r="AH106" i="7" s="1"/>
  <c r="Q168" i="7"/>
  <c r="P168" i="7" s="1"/>
  <c r="D24" i="7"/>
  <c r="AX24" i="7" s="1"/>
  <c r="E26" i="6" s="1"/>
  <c r="F26" i="6" s="1"/>
  <c r="AO170" i="7"/>
  <c r="AN170" i="7" s="1"/>
  <c r="H113" i="7" l="1"/>
  <c r="I114" i="7" s="1"/>
  <c r="BB114" i="7"/>
  <c r="H114" i="7"/>
  <c r="I115" i="7" s="1"/>
  <c r="BB115" i="7" s="1"/>
  <c r="H136" i="6"/>
  <c r="R135" i="6"/>
  <c r="E24" i="7"/>
  <c r="Q169" i="7"/>
  <c r="P169" i="7" s="1"/>
  <c r="AQ105" i="7"/>
  <c r="AR105" i="7" s="1"/>
  <c r="AI106" i="7"/>
  <c r="AW170" i="7"/>
  <c r="AV170" i="7" s="1"/>
  <c r="Y170" i="7"/>
  <c r="X170" i="7" s="1"/>
  <c r="AO171" i="7"/>
  <c r="AN171" i="7" s="1"/>
  <c r="I26" i="6"/>
  <c r="J26" i="6" s="1"/>
  <c r="Q26" i="6"/>
  <c r="AG170" i="7"/>
  <c r="AF170" i="7" s="1"/>
  <c r="R136" i="6" l="1"/>
  <c r="H137" i="6"/>
  <c r="K26" i="6"/>
  <c r="L26" i="6" s="1"/>
  <c r="AS105" i="7"/>
  <c r="AU105" i="7" s="1"/>
  <c r="AP106" i="7" s="1"/>
  <c r="AQ106" i="7" s="1"/>
  <c r="AW171" i="7"/>
  <c r="AV171" i="7" s="1"/>
  <c r="AO172" i="7"/>
  <c r="AN172" i="7" s="1"/>
  <c r="Y171" i="7"/>
  <c r="X171" i="7" s="1"/>
  <c r="AJ106" i="7"/>
  <c r="AK106" i="7" s="1"/>
  <c r="AM106" i="7" s="1"/>
  <c r="AH107" i="7" s="1"/>
  <c r="H115" i="7"/>
  <c r="Q170" i="7"/>
  <c r="P170" i="7" s="1"/>
  <c r="AG171" i="7"/>
  <c r="AF171" i="7" s="1"/>
  <c r="S26" i="6"/>
  <c r="R137" i="6" l="1"/>
  <c r="H138" i="6"/>
  <c r="AI107" i="7"/>
  <c r="AJ107" i="7" s="1"/>
  <c r="Y172" i="7"/>
  <c r="X172" i="7" s="1"/>
  <c r="AO173" i="7"/>
  <c r="AN173" i="7" s="1"/>
  <c r="I116" i="7"/>
  <c r="BB116" i="7" s="1"/>
  <c r="Q171" i="7"/>
  <c r="P171" i="7" s="1"/>
  <c r="AR106" i="7"/>
  <c r="AS106" i="7" s="1"/>
  <c r="AU106" i="7" s="1"/>
  <c r="AP107" i="7" s="1"/>
  <c r="AG172" i="7"/>
  <c r="AF172" i="7" s="1"/>
  <c r="AD24" i="7"/>
  <c r="AE24" i="7" s="1"/>
  <c r="Z25" i="7" s="1"/>
  <c r="V24" i="7"/>
  <c r="W24" i="7" s="1"/>
  <c r="R25" i="7" s="1"/>
  <c r="F24" i="7"/>
  <c r="N24" i="7"/>
  <c r="O24" i="7" s="1"/>
  <c r="J25" i="7" s="1"/>
  <c r="AW172" i="7"/>
  <c r="AV172" i="7" s="1"/>
  <c r="H116" i="7" l="1"/>
  <c r="R138" i="6"/>
  <c r="H139" i="6"/>
  <c r="AK107" i="7"/>
  <c r="AM107" i="7" s="1"/>
  <c r="AH108" i="7" s="1"/>
  <c r="AI108" i="7" s="1"/>
  <c r="AJ108" i="7" s="1"/>
  <c r="AG173" i="7"/>
  <c r="AF173" i="7" s="1"/>
  <c r="Y173" i="7"/>
  <c r="X173" i="7"/>
  <c r="AQ107" i="7"/>
  <c r="AR107" i="7" s="1"/>
  <c r="AS107" i="7" s="1"/>
  <c r="AU107" i="7" s="1"/>
  <c r="AP108" i="7" s="1"/>
  <c r="Q172" i="7"/>
  <c r="P172" i="7"/>
  <c r="AW173" i="7"/>
  <c r="AV173" i="7"/>
  <c r="I117" i="7"/>
  <c r="BB117" i="7" s="1"/>
  <c r="AO174" i="7"/>
  <c r="AN174" i="7" s="1"/>
  <c r="K25" i="7"/>
  <c r="AY24" i="7"/>
  <c r="M26" i="6" s="1"/>
  <c r="N26" i="6" s="1"/>
  <c r="O26" i="6" s="1"/>
  <c r="G24" i="7"/>
  <c r="S25" i="7"/>
  <c r="T25" i="7" s="1"/>
  <c r="AA25" i="7"/>
  <c r="AB25" i="7" s="1"/>
  <c r="H140" i="6" l="1"/>
  <c r="R139" i="6"/>
  <c r="AC25" i="7"/>
  <c r="AO175" i="7"/>
  <c r="AN175" i="7" s="1"/>
  <c r="AW174" i="7"/>
  <c r="AV174" i="7" s="1"/>
  <c r="AQ108" i="7"/>
  <c r="H117" i="7"/>
  <c r="AK108" i="7"/>
  <c r="AM108" i="7" s="1"/>
  <c r="AH109" i="7" s="1"/>
  <c r="U25" i="7"/>
  <c r="AZ24" i="7"/>
  <c r="P26" i="6" s="1"/>
  <c r="T26" i="6" s="1"/>
  <c r="B25" i="7"/>
  <c r="L25" i="7"/>
  <c r="M25" i="7" s="1"/>
  <c r="AG174" i="7"/>
  <c r="AF174" i="7" s="1"/>
  <c r="Q173" i="7"/>
  <c r="P173" i="7" s="1"/>
  <c r="Y174" i="7"/>
  <c r="X174" i="7" s="1"/>
  <c r="H141" i="6" l="1"/>
  <c r="R140" i="6"/>
  <c r="AI109" i="7"/>
  <c r="AJ109" i="7" s="1"/>
  <c r="C25" i="7"/>
  <c r="BA25" i="7" s="1"/>
  <c r="AO176" i="7"/>
  <c r="AN176" i="7" s="1"/>
  <c r="I118" i="7"/>
  <c r="BB118" i="7" s="1"/>
  <c r="AR108" i="7"/>
  <c r="AS108" i="7" s="1"/>
  <c r="AU108" i="7" s="1"/>
  <c r="AP109" i="7" s="1"/>
  <c r="Y175" i="7"/>
  <c r="X175" i="7" s="1"/>
  <c r="AW175" i="7"/>
  <c r="AV175" i="7" s="1"/>
  <c r="Q174" i="7"/>
  <c r="P174" i="7" s="1"/>
  <c r="AG175" i="7"/>
  <c r="AF175" i="7" s="1"/>
  <c r="H118" i="7" l="1"/>
  <c r="I119" i="7" s="1"/>
  <c r="BB119" i="7" s="1"/>
  <c r="H142" i="6"/>
  <c r="R141" i="6"/>
  <c r="AK109" i="7"/>
  <c r="AM109" i="7" s="1"/>
  <c r="AH110" i="7" s="1"/>
  <c r="AI110" i="7" s="1"/>
  <c r="Y176" i="7"/>
  <c r="X176" i="7" s="1"/>
  <c r="Q175" i="7"/>
  <c r="P175" i="7" s="1"/>
  <c r="AQ109" i="7"/>
  <c r="AR109" i="7" s="1"/>
  <c r="AO177" i="7"/>
  <c r="AN177" i="7" s="1"/>
  <c r="AG176" i="7"/>
  <c r="AF176" i="7" s="1"/>
  <c r="D25" i="7"/>
  <c r="AX25" i="7" s="1"/>
  <c r="E27" i="6" s="1"/>
  <c r="F27" i="6" s="1"/>
  <c r="AW176" i="7"/>
  <c r="AV176" i="7"/>
  <c r="H143" i="6" l="1"/>
  <c r="R142" i="6"/>
  <c r="AG177" i="7"/>
  <c r="AF177" i="7" s="1"/>
  <c r="AS109" i="7"/>
  <c r="AU109" i="7" s="1"/>
  <c r="AP110" i="7" s="1"/>
  <c r="Q27" i="6"/>
  <c r="I27" i="6"/>
  <c r="J27" i="6" s="1"/>
  <c r="AW177" i="7"/>
  <c r="AV177" i="7" s="1"/>
  <c r="E25" i="7"/>
  <c r="Y177" i="7"/>
  <c r="X177" i="7" s="1"/>
  <c r="AO178" i="7"/>
  <c r="AN178" i="7" s="1"/>
  <c r="AJ110" i="7"/>
  <c r="AK110" i="7" s="1"/>
  <c r="AM110" i="7" s="1"/>
  <c r="AH111" i="7" s="1"/>
  <c r="Q176" i="7"/>
  <c r="P176" i="7" s="1"/>
  <c r="H119" i="7"/>
  <c r="H144" i="6" l="1"/>
  <c r="R143" i="6"/>
  <c r="AI111" i="7"/>
  <c r="Q177" i="7"/>
  <c r="P177" i="7"/>
  <c r="Y178" i="7"/>
  <c r="X178" i="7" s="1"/>
  <c r="S27" i="6"/>
  <c r="AO179" i="7"/>
  <c r="AN179" i="7" s="1"/>
  <c r="AW178" i="7"/>
  <c r="AV178" i="7" s="1"/>
  <c r="K27" i="6"/>
  <c r="I120" i="7"/>
  <c r="BB120" i="7" s="1"/>
  <c r="AG178" i="7"/>
  <c r="AF178" i="7" s="1"/>
  <c r="AQ110" i="7"/>
  <c r="AR110" i="7" s="1"/>
  <c r="AS110" i="7" s="1"/>
  <c r="AU110" i="7" s="1"/>
  <c r="AP111" i="7" s="1"/>
  <c r="H120" i="7" l="1"/>
  <c r="H145" i="6"/>
  <c r="R144" i="6"/>
  <c r="AG179" i="7"/>
  <c r="AF179" i="7" s="1"/>
  <c r="AQ111" i="7"/>
  <c r="AR111" i="7" s="1"/>
  <c r="AW179" i="7"/>
  <c r="AV179" i="7" s="1"/>
  <c r="Y179" i="7"/>
  <c r="X179" i="7" s="1"/>
  <c r="L27" i="6"/>
  <c r="Q178" i="7"/>
  <c r="P178" i="7" s="1"/>
  <c r="I121" i="7"/>
  <c r="BB121" i="7" s="1"/>
  <c r="AJ111" i="7"/>
  <c r="AK111" i="7" s="1"/>
  <c r="AM111" i="7" s="1"/>
  <c r="AH112" i="7" s="1"/>
  <c r="AO180" i="7"/>
  <c r="AN180" i="7" s="1"/>
  <c r="H121" i="7" l="1"/>
  <c r="I122" i="7" s="1"/>
  <c r="BB122" i="7" s="1"/>
  <c r="H146" i="6"/>
  <c r="R145" i="6"/>
  <c r="Y180" i="7"/>
  <c r="X180" i="7" s="1"/>
  <c r="Q179" i="7"/>
  <c r="P179" i="7" s="1"/>
  <c r="AO181" i="7"/>
  <c r="AN181" i="7" s="1"/>
  <c r="AS111" i="7"/>
  <c r="AU111" i="7" s="1"/>
  <c r="AP112" i="7" s="1"/>
  <c r="AW180" i="7"/>
  <c r="AV180" i="7" s="1"/>
  <c r="AG180" i="7"/>
  <c r="AF180" i="7" s="1"/>
  <c r="AD25" i="7"/>
  <c r="AE25" i="7" s="1"/>
  <c r="Z26" i="7" s="1"/>
  <c r="F25" i="7"/>
  <c r="V25" i="7"/>
  <c r="W25" i="7" s="1"/>
  <c r="R26" i="7" s="1"/>
  <c r="N25" i="7"/>
  <c r="O25" i="7" s="1"/>
  <c r="J26" i="7" s="1"/>
  <c r="AI112" i="7"/>
  <c r="H122" i="7" l="1"/>
  <c r="I123" i="7" s="1"/>
  <c r="BB123" i="7" s="1"/>
  <c r="H147" i="6"/>
  <c r="R146" i="6"/>
  <c r="AW181" i="7"/>
  <c r="AV181" i="7" s="1"/>
  <c r="AG181" i="7"/>
  <c r="AF181" i="7" s="1"/>
  <c r="Q180" i="7"/>
  <c r="P180" i="7" s="1"/>
  <c r="AA26" i="7"/>
  <c r="AB26" i="7" s="1"/>
  <c r="Y181" i="7"/>
  <c r="X181" i="7" s="1"/>
  <c r="AQ112" i="7"/>
  <c r="AR112" i="7" s="1"/>
  <c r="AS112" i="7" s="1"/>
  <c r="AU112" i="7" s="1"/>
  <c r="AP113" i="7" s="1"/>
  <c r="AJ112" i="7"/>
  <c r="AK112" i="7" s="1"/>
  <c r="AM112" i="7" s="1"/>
  <c r="AH113" i="7" s="1"/>
  <c r="S26" i="7"/>
  <c r="AO182" i="7"/>
  <c r="AN182" i="7" s="1"/>
  <c r="K26" i="7"/>
  <c r="AY25" i="7"/>
  <c r="M27" i="6" s="1"/>
  <c r="N27" i="6" s="1"/>
  <c r="O27" i="6" s="1"/>
  <c r="G25" i="7"/>
  <c r="R147" i="6" l="1"/>
  <c r="H148" i="6"/>
  <c r="AC26" i="7"/>
  <c r="Q181" i="7"/>
  <c r="P181" i="7" s="1"/>
  <c r="AQ113" i="7"/>
  <c r="AO183" i="7"/>
  <c r="AN183" i="7" s="1"/>
  <c r="B26" i="7"/>
  <c r="AZ25" i="7"/>
  <c r="P27" i="6" s="1"/>
  <c r="T27" i="6" s="1"/>
  <c r="Y182" i="7"/>
  <c r="X182" i="7" s="1"/>
  <c r="L26" i="7"/>
  <c r="M26" i="7" s="1"/>
  <c r="T26" i="7"/>
  <c r="U26" i="7" s="1"/>
  <c r="AW182" i="7"/>
  <c r="AV182" i="7" s="1"/>
  <c r="H123" i="7"/>
  <c r="AG182" i="7"/>
  <c r="AF182" i="7" s="1"/>
  <c r="AI113" i="7"/>
  <c r="AJ113" i="7" s="1"/>
  <c r="R148" i="6" l="1"/>
  <c r="H149" i="6"/>
  <c r="Q182" i="7"/>
  <c r="P182" i="7" s="1"/>
  <c r="AK113" i="7"/>
  <c r="AM113" i="7" s="1"/>
  <c r="AH114" i="7" s="1"/>
  <c r="I124" i="7"/>
  <c r="BB124" i="7" s="1"/>
  <c r="C26" i="7"/>
  <c r="BA26" i="7" s="1"/>
  <c r="AG183" i="7"/>
  <c r="AF183" i="7" s="1"/>
  <c r="AR113" i="7"/>
  <c r="AS113" i="7" s="1"/>
  <c r="AU113" i="7" s="1"/>
  <c r="AP114" i="7" s="1"/>
  <c r="Y183" i="7"/>
  <c r="X183" i="7" s="1"/>
  <c r="AO184" i="7"/>
  <c r="AN184" i="7" s="1"/>
  <c r="AW183" i="7"/>
  <c r="AV183" i="7" s="1"/>
  <c r="R149" i="6" l="1"/>
  <c r="H150" i="6"/>
  <c r="D26" i="7"/>
  <c r="AX26" i="7" s="1"/>
  <c r="E28" i="6" s="1"/>
  <c r="F28" i="6" s="1"/>
  <c r="Q28" i="6" s="1"/>
  <c r="Y184" i="7"/>
  <c r="X184" i="7" s="1"/>
  <c r="AQ114" i="7"/>
  <c r="Q183" i="7"/>
  <c r="P183" i="7"/>
  <c r="AG184" i="7"/>
  <c r="AF184" i="7" s="1"/>
  <c r="H124" i="7"/>
  <c r="AW184" i="7"/>
  <c r="AV184" i="7" s="1"/>
  <c r="AI114" i="7"/>
  <c r="AJ114" i="7" s="1"/>
  <c r="AK114" i="7" s="1"/>
  <c r="AM114" i="7" s="1"/>
  <c r="AH115" i="7" s="1"/>
  <c r="AO185" i="7"/>
  <c r="AN185" i="7"/>
  <c r="R150" i="6" l="1"/>
  <c r="H151" i="6"/>
  <c r="E26" i="7"/>
  <c r="I28" i="6"/>
  <c r="J28" i="6" s="1"/>
  <c r="S28" i="6" s="1"/>
  <c r="AI115" i="7"/>
  <c r="AJ115" i="7" s="1"/>
  <c r="AK115" i="7" s="1"/>
  <c r="AM115" i="7" s="1"/>
  <c r="AH116" i="7" s="1"/>
  <c r="AG185" i="7"/>
  <c r="AF185" i="7" s="1"/>
  <c r="AO186" i="7"/>
  <c r="AN186" i="7" s="1"/>
  <c r="Q184" i="7"/>
  <c r="P184" i="7" s="1"/>
  <c r="Y185" i="7"/>
  <c r="X185" i="7" s="1"/>
  <c r="I125" i="7"/>
  <c r="BB125" i="7" s="1"/>
  <c r="AR114" i="7"/>
  <c r="AS114" i="7" s="1"/>
  <c r="AU114" i="7" s="1"/>
  <c r="AP115" i="7" s="1"/>
  <c r="AW185" i="7"/>
  <c r="AV185" i="7" s="1"/>
  <c r="H125" i="7" l="1"/>
  <c r="R151" i="6"/>
  <c r="H152" i="6"/>
  <c r="K28" i="6"/>
  <c r="L28" i="6" s="1"/>
  <c r="Y186" i="7"/>
  <c r="X186" i="7" s="1"/>
  <c r="AQ115" i="7"/>
  <c r="AI116" i="7"/>
  <c r="AJ116" i="7" s="1"/>
  <c r="AK116" i="7" s="1"/>
  <c r="AM116" i="7" s="1"/>
  <c r="AH117" i="7" s="1"/>
  <c r="AW186" i="7"/>
  <c r="AV186" i="7" s="1"/>
  <c r="Q185" i="7"/>
  <c r="P185" i="7" s="1"/>
  <c r="AO187" i="7"/>
  <c r="AN187" i="7" s="1"/>
  <c r="AG186" i="7"/>
  <c r="AF186" i="7" s="1"/>
  <c r="I126" i="7"/>
  <c r="BB126" i="7" s="1"/>
  <c r="H126" i="7" l="1"/>
  <c r="I127" i="7" s="1"/>
  <c r="BB127" i="7" s="1"/>
  <c r="R152" i="6"/>
  <c r="H153" i="6"/>
  <c r="Q186" i="7"/>
  <c r="P186" i="7" s="1"/>
  <c r="AI117" i="7"/>
  <c r="AJ117" i="7" s="1"/>
  <c r="AW187" i="7"/>
  <c r="AV187" i="7" s="1"/>
  <c r="AO188" i="7"/>
  <c r="AN188" i="7" s="1"/>
  <c r="AD26" i="7"/>
  <c r="AE26" i="7" s="1"/>
  <c r="Z27" i="7" s="1"/>
  <c r="V26" i="7"/>
  <c r="W26" i="7" s="1"/>
  <c r="R27" i="7" s="1"/>
  <c r="F26" i="7"/>
  <c r="N26" i="7"/>
  <c r="O26" i="7" s="1"/>
  <c r="J27" i="7" s="1"/>
  <c r="AR115" i="7"/>
  <c r="AS115" i="7" s="1"/>
  <c r="AU115" i="7" s="1"/>
  <c r="AP116" i="7" s="1"/>
  <c r="Y187" i="7"/>
  <c r="X187" i="7"/>
  <c r="AG187" i="7"/>
  <c r="AF187" i="7" s="1"/>
  <c r="H154" i="6" l="1"/>
  <c r="R153" i="6"/>
  <c r="AW188" i="7"/>
  <c r="AV188" i="7" s="1"/>
  <c r="AG188" i="7"/>
  <c r="AF188" i="7" s="1"/>
  <c r="Q187" i="7"/>
  <c r="P187" i="7" s="1"/>
  <c r="S27" i="7"/>
  <c r="AY26" i="7"/>
  <c r="M28" i="6" s="1"/>
  <c r="N28" i="6" s="1"/>
  <c r="O28" i="6" s="1"/>
  <c r="G26" i="7"/>
  <c r="Y188" i="7"/>
  <c r="X188" i="7" s="1"/>
  <c r="AK117" i="7"/>
  <c r="AM117" i="7" s="1"/>
  <c r="AH118" i="7" s="1"/>
  <c r="AA27" i="7"/>
  <c r="AB27" i="7" s="1"/>
  <c r="AC27" i="7" s="1"/>
  <c r="AO189" i="7"/>
  <c r="AN189" i="7"/>
  <c r="H127" i="7"/>
  <c r="AQ116" i="7"/>
  <c r="K27" i="7"/>
  <c r="L27" i="7" s="1"/>
  <c r="R154" i="6" l="1"/>
  <c r="H155" i="6"/>
  <c r="AG189" i="7"/>
  <c r="AF189" i="7"/>
  <c r="Y189" i="7"/>
  <c r="X189" i="7" s="1"/>
  <c r="Q188" i="7"/>
  <c r="P188" i="7" s="1"/>
  <c r="AR116" i="7"/>
  <c r="AS116" i="7" s="1"/>
  <c r="AU116" i="7" s="1"/>
  <c r="AP117" i="7" s="1"/>
  <c r="AI118" i="7"/>
  <c r="AJ118" i="7" s="1"/>
  <c r="AK118" i="7" s="1"/>
  <c r="AM118" i="7" s="1"/>
  <c r="AH119" i="7" s="1"/>
  <c r="M27" i="7"/>
  <c r="I128" i="7"/>
  <c r="BB128" i="7" s="1"/>
  <c r="AW189" i="7"/>
  <c r="AV189" i="7" s="1"/>
  <c r="B27" i="7"/>
  <c r="AZ26" i="7"/>
  <c r="P28" i="6" s="1"/>
  <c r="T28" i="6" s="1"/>
  <c r="T27" i="7"/>
  <c r="U27" i="7" s="1"/>
  <c r="AO190" i="7"/>
  <c r="AN190" i="7" s="1"/>
  <c r="H128" i="7" l="1"/>
  <c r="R155" i="6"/>
  <c r="H156" i="6"/>
  <c r="AQ117" i="7"/>
  <c r="AR117" i="7" s="1"/>
  <c r="AS117" i="7" s="1"/>
  <c r="AU117" i="7" s="1"/>
  <c r="AP118" i="7" s="1"/>
  <c r="AI119" i="7"/>
  <c r="AJ119" i="7" s="1"/>
  <c r="Q189" i="7"/>
  <c r="P189" i="7" s="1"/>
  <c r="AO191" i="7"/>
  <c r="AN191" i="7"/>
  <c r="I129" i="7"/>
  <c r="BB129" i="7" s="1"/>
  <c r="Y190" i="7"/>
  <c r="X190" i="7" s="1"/>
  <c r="C27" i="7"/>
  <c r="BA27" i="7" s="1"/>
  <c r="AW190" i="7"/>
  <c r="AV190" i="7" s="1"/>
  <c r="AG190" i="7"/>
  <c r="AF190" i="7" s="1"/>
  <c r="H129" i="7" l="1"/>
  <c r="R156" i="6"/>
  <c r="H157" i="6"/>
  <c r="Y191" i="7"/>
  <c r="X191" i="7" s="1"/>
  <c r="AG191" i="7"/>
  <c r="AF191" i="7" s="1"/>
  <c r="AW191" i="7"/>
  <c r="AV191" i="7" s="1"/>
  <c r="AQ118" i="7"/>
  <c r="AO192" i="7"/>
  <c r="AN192" i="7" s="1"/>
  <c r="AK119" i="7"/>
  <c r="AM119" i="7" s="1"/>
  <c r="AH120" i="7" s="1"/>
  <c r="Q190" i="7"/>
  <c r="P190" i="7" s="1"/>
  <c r="I130" i="7"/>
  <c r="BB130" i="7" s="1"/>
  <c r="D27" i="7"/>
  <c r="AX27" i="7" s="1"/>
  <c r="E29" i="6" s="1"/>
  <c r="F29" i="6" s="1"/>
  <c r="H130" i="7" l="1"/>
  <c r="R157" i="6"/>
  <c r="H158" i="6"/>
  <c r="AR118" i="7"/>
  <c r="AS118" i="7" s="1"/>
  <c r="AU118" i="7" s="1"/>
  <c r="AP119" i="7" s="1"/>
  <c r="Q191" i="7"/>
  <c r="P191" i="7" s="1"/>
  <c r="I29" i="6"/>
  <c r="J29" i="6" s="1"/>
  <c r="Q29" i="6"/>
  <c r="AI120" i="7"/>
  <c r="AJ120" i="7" s="1"/>
  <c r="AK120" i="7" s="1"/>
  <c r="AM120" i="7" s="1"/>
  <c r="AH121" i="7" s="1"/>
  <c r="AO193" i="7"/>
  <c r="AN193" i="7" s="1"/>
  <c r="AW192" i="7"/>
  <c r="AV192" i="7" s="1"/>
  <c r="E27" i="7"/>
  <c r="Y192" i="7"/>
  <c r="X192" i="7" s="1"/>
  <c r="AG192" i="7"/>
  <c r="AF192" i="7" s="1"/>
  <c r="I131" i="7"/>
  <c r="BB131" i="7" s="1"/>
  <c r="H131" i="7" l="1"/>
  <c r="I132" i="7" s="1"/>
  <c r="BB132" i="7" s="1"/>
  <c r="H159" i="6"/>
  <c r="R158" i="6"/>
  <c r="K29" i="6"/>
  <c r="L29" i="6" s="1"/>
  <c r="Y193" i="7"/>
  <c r="X193" i="7" s="1"/>
  <c r="AW193" i="7"/>
  <c r="AV193" i="7" s="1"/>
  <c r="AI121" i="7"/>
  <c r="AQ119" i="7"/>
  <c r="AR119" i="7" s="1"/>
  <c r="Q192" i="7"/>
  <c r="P192" i="7" s="1"/>
  <c r="AO194" i="7"/>
  <c r="AN194" i="7" s="1"/>
  <c r="S29" i="6"/>
  <c r="AG193" i="7"/>
  <c r="AF193" i="7" s="1"/>
  <c r="H132" i="7" l="1"/>
  <c r="H160" i="6"/>
  <c r="R159" i="6"/>
  <c r="AO195" i="7"/>
  <c r="AN195" i="7" s="1"/>
  <c r="Q193" i="7"/>
  <c r="P193" i="7" s="1"/>
  <c r="Y194" i="7"/>
  <c r="X194" i="7" s="1"/>
  <c r="I133" i="7"/>
  <c r="BB133" i="7" s="1"/>
  <c r="AS119" i="7"/>
  <c r="AU119" i="7" s="1"/>
  <c r="AP120" i="7" s="1"/>
  <c r="AG194" i="7"/>
  <c r="AF194" i="7" s="1"/>
  <c r="AJ121" i="7"/>
  <c r="AK121" i="7" s="1"/>
  <c r="AM121" i="7" s="1"/>
  <c r="AH122" i="7" s="1"/>
  <c r="AW194" i="7"/>
  <c r="AV194" i="7" s="1"/>
  <c r="AD27" i="7"/>
  <c r="AE27" i="7" s="1"/>
  <c r="Z28" i="7" s="1"/>
  <c r="V27" i="7"/>
  <c r="W27" i="7" s="1"/>
  <c r="R28" i="7" s="1"/>
  <c r="F27" i="7"/>
  <c r="N27" i="7"/>
  <c r="O27" i="7" s="1"/>
  <c r="J28" i="7" s="1"/>
  <c r="H133" i="7" l="1"/>
  <c r="R160" i="6"/>
  <c r="H161" i="6"/>
  <c r="AI122" i="7"/>
  <c r="AW195" i="7"/>
  <c r="AV195" i="7" s="1"/>
  <c r="AG195" i="7"/>
  <c r="AF195" i="7"/>
  <c r="Y195" i="7"/>
  <c r="X195" i="7" s="1"/>
  <c r="AO196" i="7"/>
  <c r="AN196" i="7" s="1"/>
  <c r="AQ120" i="7"/>
  <c r="S28" i="7"/>
  <c r="AY27" i="7"/>
  <c r="M29" i="6" s="1"/>
  <c r="N29" i="6" s="1"/>
  <c r="O29" i="6" s="1"/>
  <c r="G27" i="7"/>
  <c r="Q194" i="7"/>
  <c r="P194" i="7"/>
  <c r="I134" i="7"/>
  <c r="BB134" i="7" s="1"/>
  <c r="K28" i="7"/>
  <c r="L28" i="7" s="1"/>
  <c r="AA28" i="7"/>
  <c r="AB28" i="7" s="1"/>
  <c r="H162" i="6" l="1"/>
  <c r="R161" i="6"/>
  <c r="M28" i="7"/>
  <c r="Y196" i="7"/>
  <c r="X196" i="7" s="1"/>
  <c r="AO197" i="7"/>
  <c r="AN197" i="7" s="1"/>
  <c r="AC28" i="7"/>
  <c r="Q195" i="7"/>
  <c r="P195" i="7" s="1"/>
  <c r="AR120" i="7"/>
  <c r="AS120" i="7" s="1"/>
  <c r="AU120" i="7" s="1"/>
  <c r="AP121" i="7" s="1"/>
  <c r="H134" i="7"/>
  <c r="AG196" i="7"/>
  <c r="AF196" i="7" s="1"/>
  <c r="B28" i="7"/>
  <c r="AZ27" i="7"/>
  <c r="P29" i="6" s="1"/>
  <c r="T29" i="6" s="1"/>
  <c r="AW196" i="7"/>
  <c r="AV196" i="7" s="1"/>
  <c r="T28" i="7"/>
  <c r="U28" i="7" s="1"/>
  <c r="AJ122" i="7"/>
  <c r="AK122" i="7" s="1"/>
  <c r="AM122" i="7" s="1"/>
  <c r="AH123" i="7" s="1"/>
  <c r="H163" i="6" l="1"/>
  <c r="R162" i="6"/>
  <c r="AI123" i="7"/>
  <c r="AJ123" i="7" s="1"/>
  <c r="AK123" i="7" s="1"/>
  <c r="AM123" i="7" s="1"/>
  <c r="AH124" i="7" s="1"/>
  <c r="AW197" i="7"/>
  <c r="AV197" i="7" s="1"/>
  <c r="AQ121" i="7"/>
  <c r="I135" i="7"/>
  <c r="BB135" i="7" s="1"/>
  <c r="Q196" i="7"/>
  <c r="P196" i="7" s="1"/>
  <c r="C28" i="7"/>
  <c r="BA28" i="7" s="1"/>
  <c r="AO198" i="7"/>
  <c r="AN198" i="7"/>
  <c r="Y197" i="7"/>
  <c r="X197" i="7"/>
  <c r="AG197" i="7"/>
  <c r="AF197" i="7" s="1"/>
  <c r="H135" i="7" l="1"/>
  <c r="I136" i="7" s="1"/>
  <c r="BB136" i="7" s="1"/>
  <c r="R163" i="6"/>
  <c r="H164" i="6"/>
  <c r="Q197" i="7"/>
  <c r="P197" i="7" s="1"/>
  <c r="AI124" i="7"/>
  <c r="Y198" i="7"/>
  <c r="X198" i="7"/>
  <c r="AO199" i="7"/>
  <c r="AN199" i="7" s="1"/>
  <c r="AG198" i="7"/>
  <c r="AF198" i="7" s="1"/>
  <c r="AR121" i="7"/>
  <c r="AS121" i="7" s="1"/>
  <c r="AU121" i="7" s="1"/>
  <c r="AP122" i="7" s="1"/>
  <c r="AW198" i="7"/>
  <c r="AV198" i="7"/>
  <c r="D28" i="7"/>
  <c r="AX28" i="7" s="1"/>
  <c r="E30" i="6" s="1"/>
  <c r="F30" i="6" s="1"/>
  <c r="H136" i="7" l="1"/>
  <c r="R164" i="6"/>
  <c r="H165" i="6"/>
  <c r="AQ122" i="7"/>
  <c r="AR122" i="7" s="1"/>
  <c r="AS122" i="7" s="1"/>
  <c r="AU122" i="7" s="1"/>
  <c r="AP123" i="7" s="1"/>
  <c r="AO200" i="7"/>
  <c r="AN200" i="7" s="1"/>
  <c r="Q198" i="7"/>
  <c r="P198" i="7" s="1"/>
  <c r="AG199" i="7"/>
  <c r="AF199" i="7" s="1"/>
  <c r="I137" i="7"/>
  <c r="BB137" i="7" s="1"/>
  <c r="AW199" i="7"/>
  <c r="AV199" i="7" s="1"/>
  <c r="Q30" i="6"/>
  <c r="I30" i="6"/>
  <c r="J30" i="6" s="1"/>
  <c r="AJ124" i="7"/>
  <c r="AK124" i="7" s="1"/>
  <c r="AM124" i="7" s="1"/>
  <c r="AH125" i="7" s="1"/>
  <c r="E28" i="7"/>
  <c r="Y199" i="7"/>
  <c r="X199" i="7"/>
  <c r="H137" i="7" l="1"/>
  <c r="H166" i="6"/>
  <c r="R165" i="6"/>
  <c r="AO201" i="7"/>
  <c r="AN201" i="7" s="1"/>
  <c r="AW200" i="7"/>
  <c r="AV200" i="7" s="1"/>
  <c r="Q199" i="7"/>
  <c r="P199" i="7" s="1"/>
  <c r="AQ123" i="7"/>
  <c r="AR123" i="7" s="1"/>
  <c r="AS123" i="7" s="1"/>
  <c r="AU123" i="7" s="1"/>
  <c r="AP124" i="7" s="1"/>
  <c r="I138" i="7"/>
  <c r="BB138" i="7" s="1"/>
  <c r="Y200" i="7"/>
  <c r="X200" i="7" s="1"/>
  <c r="S30" i="6"/>
  <c r="AG200" i="7"/>
  <c r="AF200" i="7" s="1"/>
  <c r="AI125" i="7"/>
  <c r="AJ125" i="7" s="1"/>
  <c r="K30" i="6"/>
  <c r="H138" i="7" l="1"/>
  <c r="H167" i="6"/>
  <c r="R166" i="6"/>
  <c r="AK125" i="7"/>
  <c r="AM125" i="7" s="1"/>
  <c r="AH126" i="7" s="1"/>
  <c r="AI126" i="7" s="1"/>
  <c r="AQ124" i="7"/>
  <c r="AR124" i="7" s="1"/>
  <c r="AS124" i="7" s="1"/>
  <c r="AU124" i="7" s="1"/>
  <c r="AP125" i="7" s="1"/>
  <c r="AG201" i="7"/>
  <c r="AF201" i="7" s="1"/>
  <c r="Y201" i="7"/>
  <c r="X201" i="7" s="1"/>
  <c r="Q200" i="7"/>
  <c r="P200" i="7" s="1"/>
  <c r="L30" i="6"/>
  <c r="I139" i="7"/>
  <c r="BB139" i="7" s="1"/>
  <c r="AO202" i="7"/>
  <c r="AN202" i="7" s="1"/>
  <c r="AW201" i="7"/>
  <c r="AV201" i="7" s="1"/>
  <c r="H139" i="7" l="1"/>
  <c r="I140" i="7" s="1"/>
  <c r="BB140" i="7" s="1"/>
  <c r="H168" i="6"/>
  <c r="R167" i="6"/>
  <c r="AW202" i="7"/>
  <c r="AV202" i="7" s="1"/>
  <c r="AG202" i="7"/>
  <c r="AF202" i="7" s="1"/>
  <c r="AO203" i="7"/>
  <c r="AN203" i="7" s="1"/>
  <c r="AQ125" i="7"/>
  <c r="AR125" i="7" s="1"/>
  <c r="AS125" i="7" s="1"/>
  <c r="AU125" i="7" s="1"/>
  <c r="AP126" i="7" s="1"/>
  <c r="Q201" i="7"/>
  <c r="P201" i="7" s="1"/>
  <c r="AD28" i="7"/>
  <c r="AE28" i="7" s="1"/>
  <c r="Z29" i="7" s="1"/>
  <c r="F28" i="7"/>
  <c r="N28" i="7"/>
  <c r="O28" i="7" s="1"/>
  <c r="J29" i="7" s="1"/>
  <c r="V28" i="7"/>
  <c r="W28" i="7" s="1"/>
  <c r="R29" i="7" s="1"/>
  <c r="AJ126" i="7"/>
  <c r="AK126" i="7" s="1"/>
  <c r="AM126" i="7" s="1"/>
  <c r="AH127" i="7" s="1"/>
  <c r="Y202" i="7"/>
  <c r="X202" i="7" s="1"/>
  <c r="H140" i="7" l="1"/>
  <c r="I141" i="7" s="1"/>
  <c r="BB141" i="7" s="1"/>
  <c r="H169" i="6"/>
  <c r="R168" i="6"/>
  <c r="AG203" i="7"/>
  <c r="AF203" i="7"/>
  <c r="AQ126" i="7"/>
  <c r="AW203" i="7"/>
  <c r="AV203" i="7" s="1"/>
  <c r="Q202" i="7"/>
  <c r="P202" i="7" s="1"/>
  <c r="AA29" i="7"/>
  <c r="S29" i="7"/>
  <c r="Y203" i="7"/>
  <c r="X203" i="7"/>
  <c r="AO204" i="7"/>
  <c r="AN204" i="7"/>
  <c r="K29" i="7"/>
  <c r="AI127" i="7"/>
  <c r="AJ127" i="7" s="1"/>
  <c r="AY28" i="7"/>
  <c r="M30" i="6" s="1"/>
  <c r="N30" i="6" s="1"/>
  <c r="O30" i="6" s="1"/>
  <c r="G28" i="7"/>
  <c r="H141" i="7" l="1"/>
  <c r="R169" i="6"/>
  <c r="H170" i="6"/>
  <c r="AW204" i="7"/>
  <c r="AV204" i="7" s="1"/>
  <c r="Q203" i="7"/>
  <c r="P203" i="7" s="1"/>
  <c r="B29" i="7"/>
  <c r="AZ28" i="7"/>
  <c r="P30" i="6" s="1"/>
  <c r="T30" i="6" s="1"/>
  <c r="AK127" i="7"/>
  <c r="AM127" i="7" s="1"/>
  <c r="AH128" i="7" s="1"/>
  <c r="L29" i="7"/>
  <c r="M29" i="7" s="1"/>
  <c r="T29" i="7"/>
  <c r="U29" i="7" s="1"/>
  <c r="AB29" i="7"/>
  <c r="AC29" i="7" s="1"/>
  <c r="AO205" i="7"/>
  <c r="AN205" i="7" s="1"/>
  <c r="I142" i="7"/>
  <c r="BB142" i="7" s="1"/>
  <c r="AR126" i="7"/>
  <c r="AS126" i="7" s="1"/>
  <c r="AU126" i="7" s="1"/>
  <c r="AP127" i="7" s="1"/>
  <c r="Y204" i="7"/>
  <c r="X204" i="7" s="1"/>
  <c r="AG204" i="7"/>
  <c r="AF204" i="7" s="1"/>
  <c r="R170" i="6" l="1"/>
  <c r="H171" i="6"/>
  <c r="AO206" i="7"/>
  <c r="AN206" i="7" s="1"/>
  <c r="AG205" i="7"/>
  <c r="AF205" i="7" s="1"/>
  <c r="Q204" i="7"/>
  <c r="P204" i="7" s="1"/>
  <c r="AI128" i="7"/>
  <c r="AJ128" i="7" s="1"/>
  <c r="Y205" i="7"/>
  <c r="X205" i="7" s="1"/>
  <c r="C29" i="7"/>
  <c r="BA29" i="7" s="1"/>
  <c r="AQ127" i="7"/>
  <c r="AR127" i="7" s="1"/>
  <c r="AS127" i="7" s="1"/>
  <c r="AU127" i="7" s="1"/>
  <c r="AP128" i="7" s="1"/>
  <c r="H142" i="7"/>
  <c r="AW205" i="7"/>
  <c r="AV205" i="7" s="1"/>
  <c r="H172" i="6" l="1"/>
  <c r="R171" i="6"/>
  <c r="D29" i="7"/>
  <c r="AX29" i="7" s="1"/>
  <c r="E31" i="6" s="1"/>
  <c r="F31" i="6" s="1"/>
  <c r="I31" i="6" s="1"/>
  <c r="J31" i="6" s="1"/>
  <c r="AK128" i="7"/>
  <c r="AM128" i="7" s="1"/>
  <c r="AH129" i="7" s="1"/>
  <c r="AI129" i="7" s="1"/>
  <c r="AQ128" i="7"/>
  <c r="AR128" i="7" s="1"/>
  <c r="AO207" i="7"/>
  <c r="AN207" i="7" s="1"/>
  <c r="I143" i="7"/>
  <c r="BB143" i="7" s="1"/>
  <c r="Y206" i="7"/>
  <c r="X206" i="7" s="1"/>
  <c r="AW206" i="7"/>
  <c r="AV206" i="7" s="1"/>
  <c r="Q205" i="7"/>
  <c r="P205" i="7"/>
  <c r="AG206" i="7"/>
  <c r="AF206" i="7"/>
  <c r="H173" i="6" l="1"/>
  <c r="R172" i="6"/>
  <c r="Q31" i="6"/>
  <c r="E29" i="7"/>
  <c r="AS128" i="7"/>
  <c r="AU128" i="7" s="1"/>
  <c r="AP129" i="7" s="1"/>
  <c r="AQ129" i="7" s="1"/>
  <c r="AW207" i="7"/>
  <c r="AV207" i="7" s="1"/>
  <c r="Y207" i="7"/>
  <c r="X207" i="7" s="1"/>
  <c r="AO208" i="7"/>
  <c r="AN208" i="7" s="1"/>
  <c r="Q206" i="7"/>
  <c r="P206" i="7" s="1"/>
  <c r="AJ129" i="7"/>
  <c r="AK129" i="7" s="1"/>
  <c r="AM129" i="7" s="1"/>
  <c r="AH130" i="7" s="1"/>
  <c r="AG207" i="7"/>
  <c r="AF207" i="7" s="1"/>
  <c r="S31" i="6"/>
  <c r="K31" i="6"/>
  <c r="H143" i="7"/>
  <c r="H174" i="6" l="1"/>
  <c r="R173" i="6"/>
  <c r="AO209" i="7"/>
  <c r="AN209" i="7" s="1"/>
  <c r="AG208" i="7"/>
  <c r="AF208" i="7" s="1"/>
  <c r="AI130" i="7"/>
  <c r="Q207" i="7"/>
  <c r="P207" i="7" s="1"/>
  <c r="Y208" i="7"/>
  <c r="X208" i="7" s="1"/>
  <c r="AW208" i="7"/>
  <c r="AV208" i="7" s="1"/>
  <c r="AR129" i="7"/>
  <c r="AS129" i="7" s="1"/>
  <c r="AU129" i="7" s="1"/>
  <c r="AP130" i="7" s="1"/>
  <c r="L31" i="6"/>
  <c r="I144" i="7"/>
  <c r="BB144" i="7" s="1"/>
  <c r="H144" i="7" l="1"/>
  <c r="H175" i="6"/>
  <c r="R174" i="6"/>
  <c r="Y209" i="7"/>
  <c r="X209" i="7" s="1"/>
  <c r="AW209" i="7"/>
  <c r="AV209" i="7" s="1"/>
  <c r="Q208" i="7"/>
  <c r="P208" i="7" s="1"/>
  <c r="AG209" i="7"/>
  <c r="AF209" i="7" s="1"/>
  <c r="AQ130" i="7"/>
  <c r="AR130" i="7" s="1"/>
  <c r="AS130" i="7" s="1"/>
  <c r="AU130" i="7" s="1"/>
  <c r="AP131" i="7" s="1"/>
  <c r="AJ130" i="7"/>
  <c r="AK130" i="7" s="1"/>
  <c r="AM130" i="7" s="1"/>
  <c r="AH131" i="7" s="1"/>
  <c r="I145" i="7"/>
  <c r="BB145" i="7" s="1"/>
  <c r="AD29" i="7"/>
  <c r="AE29" i="7" s="1"/>
  <c r="Z30" i="7" s="1"/>
  <c r="N29" i="7"/>
  <c r="O29" i="7" s="1"/>
  <c r="J30" i="7" s="1"/>
  <c r="V29" i="7"/>
  <c r="W29" i="7" s="1"/>
  <c r="R30" i="7" s="1"/>
  <c r="F29" i="7"/>
  <c r="AO210" i="7"/>
  <c r="AN210" i="7" s="1"/>
  <c r="R175" i="6" l="1"/>
  <c r="H176" i="6"/>
  <c r="AI131" i="7"/>
  <c r="AJ131" i="7" s="1"/>
  <c r="AK131" i="7" s="1"/>
  <c r="AM131" i="7" s="1"/>
  <c r="AH132" i="7" s="1"/>
  <c r="AQ131" i="7"/>
  <c r="Q209" i="7"/>
  <c r="P209" i="7" s="1"/>
  <c r="AW210" i="7"/>
  <c r="AV210" i="7" s="1"/>
  <c r="AO211" i="7"/>
  <c r="AN211" i="7" s="1"/>
  <c r="S30" i="7"/>
  <c r="T30" i="7" s="1"/>
  <c r="U30" i="7" s="1"/>
  <c r="K30" i="7"/>
  <c r="Y210" i="7"/>
  <c r="X210" i="7"/>
  <c r="AG210" i="7"/>
  <c r="AF210" i="7" s="1"/>
  <c r="AY29" i="7"/>
  <c r="M31" i="6" s="1"/>
  <c r="N31" i="6" s="1"/>
  <c r="O31" i="6" s="1"/>
  <c r="G29" i="7"/>
  <c r="AA30" i="7"/>
  <c r="AB30" i="7" s="1"/>
  <c r="H145" i="7"/>
  <c r="R176" i="6" l="1"/>
  <c r="H177" i="6"/>
  <c r="AG211" i="7"/>
  <c r="AF211" i="7"/>
  <c r="Q210" i="7"/>
  <c r="P210" i="7" s="1"/>
  <c r="AI132" i="7"/>
  <c r="AJ132" i="7" s="1"/>
  <c r="AK132" i="7" s="1"/>
  <c r="AM132" i="7" s="1"/>
  <c r="AH133" i="7" s="1"/>
  <c r="AO212" i="7"/>
  <c r="AN212" i="7" s="1"/>
  <c r="AC30" i="7"/>
  <c r="AZ29" i="7"/>
  <c r="P31" i="6" s="1"/>
  <c r="T31" i="6" s="1"/>
  <c r="B30" i="7"/>
  <c r="I146" i="7"/>
  <c r="BB146" i="7" s="1"/>
  <c r="H146" i="7"/>
  <c r="L30" i="7"/>
  <c r="M30" i="7" s="1"/>
  <c r="AW211" i="7"/>
  <c r="AV211" i="7" s="1"/>
  <c r="Y211" i="7"/>
  <c r="X211" i="7" s="1"/>
  <c r="AR131" i="7"/>
  <c r="AS131" i="7" s="1"/>
  <c r="AU131" i="7" s="1"/>
  <c r="AP132" i="7" s="1"/>
  <c r="R177" i="6" l="1"/>
  <c r="H178" i="6"/>
  <c r="AW212" i="7"/>
  <c r="AV212" i="7" s="1"/>
  <c r="AI133" i="7"/>
  <c r="AJ133" i="7" s="1"/>
  <c r="AO213" i="7"/>
  <c r="AN213" i="7" s="1"/>
  <c r="AQ132" i="7"/>
  <c r="Q211" i="7"/>
  <c r="P211" i="7"/>
  <c r="Y212" i="7"/>
  <c r="X212" i="7" s="1"/>
  <c r="AG212" i="7"/>
  <c r="AF212" i="7" s="1"/>
  <c r="I147" i="7"/>
  <c r="BB147" i="7" s="1"/>
  <c r="C30" i="7"/>
  <c r="BA30" i="7" s="1"/>
  <c r="H179" i="6" l="1"/>
  <c r="R178" i="6"/>
  <c r="AK133" i="7"/>
  <c r="AM133" i="7" s="1"/>
  <c r="AH134" i="7" s="1"/>
  <c r="AI134" i="7" s="1"/>
  <c r="Y213" i="7"/>
  <c r="X213" i="7" s="1"/>
  <c r="AO214" i="7"/>
  <c r="AN214" i="7" s="1"/>
  <c r="Q212" i="7"/>
  <c r="P212" i="7" s="1"/>
  <c r="AR132" i="7"/>
  <c r="AS132" i="7" s="1"/>
  <c r="AU132" i="7" s="1"/>
  <c r="AP133" i="7" s="1"/>
  <c r="D30" i="7"/>
  <c r="AX30" i="7" s="1"/>
  <c r="E32" i="6" s="1"/>
  <c r="F32" i="6" s="1"/>
  <c r="H147" i="7"/>
  <c r="AG213" i="7"/>
  <c r="AF213" i="7" s="1"/>
  <c r="AW213" i="7"/>
  <c r="AV213" i="7"/>
  <c r="R179" i="6" l="1"/>
  <c r="H180" i="6"/>
  <c r="AQ133" i="7"/>
  <c r="AG214" i="7"/>
  <c r="AF214" i="7" s="1"/>
  <c r="AO215" i="7"/>
  <c r="AN215" i="7" s="1"/>
  <c r="I148" i="7"/>
  <c r="BB148" i="7" s="1"/>
  <c r="Y214" i="7"/>
  <c r="X214" i="7" s="1"/>
  <c r="I32" i="6"/>
  <c r="J32" i="6" s="1"/>
  <c r="Q32" i="6"/>
  <c r="AJ134" i="7"/>
  <c r="AK134" i="7" s="1"/>
  <c r="AM134" i="7" s="1"/>
  <c r="AH135" i="7" s="1"/>
  <c r="AW214" i="7"/>
  <c r="AV214" i="7" s="1"/>
  <c r="Q213" i="7"/>
  <c r="P213" i="7" s="1"/>
  <c r="E30" i="7"/>
  <c r="R180" i="6" l="1"/>
  <c r="H181" i="6"/>
  <c r="Y215" i="7"/>
  <c r="X215" i="7" s="1"/>
  <c r="Q214" i="7"/>
  <c r="P214" i="7" s="1"/>
  <c r="AO216" i="7"/>
  <c r="AN216" i="7" s="1"/>
  <c r="K32" i="6"/>
  <c r="AI135" i="7"/>
  <c r="AG215" i="7"/>
  <c r="AF215" i="7" s="1"/>
  <c r="S32" i="6"/>
  <c r="AW215" i="7"/>
  <c r="AV215" i="7" s="1"/>
  <c r="AR133" i="7"/>
  <c r="AS133" i="7" s="1"/>
  <c r="AU133" i="7" s="1"/>
  <c r="AP134" i="7" s="1"/>
  <c r="H148" i="7"/>
  <c r="R181" i="6" l="1"/>
  <c r="H182" i="6"/>
  <c r="AJ135" i="7"/>
  <c r="AK135" i="7" s="1"/>
  <c r="AM135" i="7" s="1"/>
  <c r="AH136" i="7" s="1"/>
  <c r="Q215" i="7"/>
  <c r="P215" i="7" s="1"/>
  <c r="L32" i="6"/>
  <c r="AQ134" i="7"/>
  <c r="AR134" i="7" s="1"/>
  <c r="AS134" i="7" s="1"/>
  <c r="AU134" i="7" s="1"/>
  <c r="AP135" i="7" s="1"/>
  <c r="AO217" i="7"/>
  <c r="AN217" i="7" s="1"/>
  <c r="Y216" i="7"/>
  <c r="X216" i="7" s="1"/>
  <c r="AG216" i="7"/>
  <c r="AF216" i="7" s="1"/>
  <c r="I149" i="7"/>
  <c r="BB149" i="7" s="1"/>
  <c r="AW216" i="7"/>
  <c r="AV216" i="7" s="1"/>
  <c r="H149" i="7" l="1"/>
  <c r="I150" i="7" s="1"/>
  <c r="BB150" i="7" s="1"/>
  <c r="R182" i="6"/>
  <c r="H183" i="6"/>
  <c r="AW217" i="7"/>
  <c r="AV217" i="7" s="1"/>
  <c r="AO218" i="7"/>
  <c r="AN218" i="7" s="1"/>
  <c r="Q216" i="7"/>
  <c r="P216" i="7" s="1"/>
  <c r="AQ135" i="7"/>
  <c r="AI136" i="7"/>
  <c r="AJ136" i="7" s="1"/>
  <c r="Y217" i="7"/>
  <c r="X217" i="7" s="1"/>
  <c r="AG217" i="7"/>
  <c r="AF217" i="7" s="1"/>
  <c r="AD30" i="7"/>
  <c r="AE30" i="7" s="1"/>
  <c r="Z31" i="7" s="1"/>
  <c r="N30" i="7"/>
  <c r="O30" i="7" s="1"/>
  <c r="J31" i="7" s="1"/>
  <c r="F30" i="7"/>
  <c r="V30" i="7"/>
  <c r="W30" i="7" s="1"/>
  <c r="R31" i="7" s="1"/>
  <c r="H150" i="7" l="1"/>
  <c r="R183" i="6"/>
  <c r="H184" i="6"/>
  <c r="AG218" i="7"/>
  <c r="AF218" i="7" s="1"/>
  <c r="Q217" i="7"/>
  <c r="P217" i="7" s="1"/>
  <c r="AR135" i="7"/>
  <c r="AS135" i="7" s="1"/>
  <c r="AU135" i="7" s="1"/>
  <c r="AP136" i="7" s="1"/>
  <c r="S31" i="7"/>
  <c r="AK136" i="7"/>
  <c r="AM136" i="7" s="1"/>
  <c r="AH137" i="7" s="1"/>
  <c r="K31" i="7"/>
  <c r="L31" i="7" s="1"/>
  <c r="AO219" i="7"/>
  <c r="AN219" i="7" s="1"/>
  <c r="Y218" i="7"/>
  <c r="X218" i="7" s="1"/>
  <c r="AY30" i="7"/>
  <c r="M32" i="6" s="1"/>
  <c r="N32" i="6" s="1"/>
  <c r="O32" i="6" s="1"/>
  <c r="G30" i="7"/>
  <c r="AW218" i="7"/>
  <c r="AV218" i="7" s="1"/>
  <c r="I151" i="7"/>
  <c r="BB151" i="7" s="1"/>
  <c r="AA31" i="7"/>
  <c r="H185" i="6" l="1"/>
  <c r="R184" i="6"/>
  <c r="AO220" i="7"/>
  <c r="AN220" i="7" s="1"/>
  <c r="Q218" i="7"/>
  <c r="P218" i="7"/>
  <c r="AW219" i="7"/>
  <c r="AV219" i="7" s="1"/>
  <c r="Y219" i="7"/>
  <c r="X219" i="7" s="1"/>
  <c r="AQ136" i="7"/>
  <c r="AR136" i="7" s="1"/>
  <c r="AG219" i="7"/>
  <c r="AF219" i="7" s="1"/>
  <c r="T31" i="7"/>
  <c r="U31" i="7" s="1"/>
  <c r="M31" i="7"/>
  <c r="AI137" i="7"/>
  <c r="AB31" i="7"/>
  <c r="AC31" i="7" s="1"/>
  <c r="B31" i="7"/>
  <c r="AZ30" i="7"/>
  <c r="P32" i="6" s="1"/>
  <c r="T32" i="6" s="1"/>
  <c r="H151" i="7"/>
  <c r="R185" i="6" l="1"/>
  <c r="H186" i="6"/>
  <c r="AW220" i="7"/>
  <c r="AV220" i="7" s="1"/>
  <c r="AG220" i="7"/>
  <c r="AF220" i="7" s="1"/>
  <c r="AS136" i="7"/>
  <c r="AU136" i="7" s="1"/>
  <c r="AP137" i="7" s="1"/>
  <c r="Y220" i="7"/>
  <c r="X220" i="7" s="1"/>
  <c r="I152" i="7"/>
  <c r="BB152" i="7" s="1"/>
  <c r="Q219" i="7"/>
  <c r="P219" i="7" s="1"/>
  <c r="AJ137" i="7"/>
  <c r="AK137" i="7" s="1"/>
  <c r="AM137" i="7" s="1"/>
  <c r="AH138" i="7" s="1"/>
  <c r="C31" i="7"/>
  <c r="BA31" i="7" s="1"/>
  <c r="AO221" i="7"/>
  <c r="AN221" i="7" s="1"/>
  <c r="H187" i="6" l="1"/>
  <c r="R186" i="6"/>
  <c r="AI138" i="7"/>
  <c r="Q220" i="7"/>
  <c r="P220" i="7" s="1"/>
  <c r="AG221" i="7"/>
  <c r="AF221" i="7" s="1"/>
  <c r="AW221" i="7"/>
  <c r="AV221" i="7" s="1"/>
  <c r="Y221" i="7"/>
  <c r="X221" i="7" s="1"/>
  <c r="AO222" i="7"/>
  <c r="AN222" i="7" s="1"/>
  <c r="H152" i="7"/>
  <c r="AQ137" i="7"/>
  <c r="AR137" i="7" s="1"/>
  <c r="D31" i="7"/>
  <c r="R187" i="6" l="1"/>
  <c r="H188" i="6"/>
  <c r="AS137" i="7"/>
  <c r="AU137" i="7" s="1"/>
  <c r="AP138" i="7" s="1"/>
  <c r="AQ138" i="7" s="1"/>
  <c r="AO223" i="7"/>
  <c r="AN223" i="7" s="1"/>
  <c r="Q221" i="7"/>
  <c r="P221" i="7" s="1"/>
  <c r="I153" i="7"/>
  <c r="BB153" i="7" s="1"/>
  <c r="AW222" i="7"/>
  <c r="AV222" i="7" s="1"/>
  <c r="AX31" i="7"/>
  <c r="E33" i="6" s="1"/>
  <c r="F33" i="6" s="1"/>
  <c r="E31" i="7"/>
  <c r="Y222" i="7"/>
  <c r="X222" i="7" s="1"/>
  <c r="AG222" i="7"/>
  <c r="AF222" i="7" s="1"/>
  <c r="AJ138" i="7"/>
  <c r="AK138" i="7" s="1"/>
  <c r="AM138" i="7" s="1"/>
  <c r="AH139" i="7" s="1"/>
  <c r="H189" i="6" l="1"/>
  <c r="R188" i="6"/>
  <c r="Y223" i="7"/>
  <c r="X223" i="7" s="1"/>
  <c r="AI139" i="7"/>
  <c r="AJ139" i="7" s="1"/>
  <c r="AW223" i="7"/>
  <c r="AV223" i="7"/>
  <c r="I33" i="6"/>
  <c r="J33" i="6" s="1"/>
  <c r="Q33" i="6"/>
  <c r="Q222" i="7"/>
  <c r="P222" i="7" s="1"/>
  <c r="H153" i="7"/>
  <c r="AG223" i="7"/>
  <c r="AF223" i="7" s="1"/>
  <c r="AR138" i="7"/>
  <c r="AS138" i="7" s="1"/>
  <c r="AU138" i="7" s="1"/>
  <c r="AP139" i="7" s="1"/>
  <c r="AO224" i="7"/>
  <c r="AN224" i="7" s="1"/>
  <c r="R189" i="6" l="1"/>
  <c r="H190" i="6"/>
  <c r="Y224" i="7"/>
  <c r="X224" i="7" s="1"/>
  <c r="S33" i="6"/>
  <c r="Q223" i="7"/>
  <c r="P223" i="7" s="1"/>
  <c r="AO225" i="7"/>
  <c r="AN225" i="7" s="1"/>
  <c r="AQ139" i="7"/>
  <c r="AR139" i="7" s="1"/>
  <c r="AS139" i="7" s="1"/>
  <c r="AU139" i="7" s="1"/>
  <c r="AP140" i="7" s="1"/>
  <c r="AG224" i="7"/>
  <c r="AF224" i="7" s="1"/>
  <c r="AK139" i="7"/>
  <c r="AM139" i="7" s="1"/>
  <c r="AH140" i="7" s="1"/>
  <c r="K33" i="6"/>
  <c r="AW224" i="7"/>
  <c r="AV224" i="7" s="1"/>
  <c r="I154" i="7"/>
  <c r="BB154" i="7" s="1"/>
  <c r="H154" i="7" l="1"/>
  <c r="R190" i="6"/>
  <c r="H191" i="6"/>
  <c r="AQ140" i="7"/>
  <c r="AR140" i="7" s="1"/>
  <c r="AS140" i="7" s="1"/>
  <c r="AU140" i="7" s="1"/>
  <c r="AP141" i="7" s="1"/>
  <c r="AW225" i="7"/>
  <c r="AV225" i="7"/>
  <c r="AG225" i="7"/>
  <c r="AF225" i="7" s="1"/>
  <c r="AO226" i="7"/>
  <c r="AN226" i="7" s="1"/>
  <c r="Y225" i="7"/>
  <c r="X225" i="7" s="1"/>
  <c r="Q224" i="7"/>
  <c r="P224" i="7" s="1"/>
  <c r="AI140" i="7"/>
  <c r="AJ140" i="7" s="1"/>
  <c r="AK140" i="7" s="1"/>
  <c r="AM140" i="7" s="1"/>
  <c r="AH141" i="7" s="1"/>
  <c r="I155" i="7"/>
  <c r="BB155" i="7" s="1"/>
  <c r="L33" i="6"/>
  <c r="R191" i="6" l="1"/>
  <c r="H192" i="6"/>
  <c r="Y226" i="7"/>
  <c r="X226" i="7" s="1"/>
  <c r="AI141" i="7"/>
  <c r="AQ141" i="7"/>
  <c r="AR141" i="7" s="1"/>
  <c r="AS141" i="7" s="1"/>
  <c r="AU141" i="7" s="1"/>
  <c r="AP142" i="7" s="1"/>
  <c r="Q225" i="7"/>
  <c r="P225" i="7" s="1"/>
  <c r="AD31" i="7"/>
  <c r="AE31" i="7" s="1"/>
  <c r="Z32" i="7" s="1"/>
  <c r="V31" i="7"/>
  <c r="W31" i="7" s="1"/>
  <c r="R32" i="7" s="1"/>
  <c r="F31" i="7"/>
  <c r="N31" i="7"/>
  <c r="O31" i="7" s="1"/>
  <c r="J32" i="7" s="1"/>
  <c r="AW226" i="7"/>
  <c r="AV226" i="7"/>
  <c r="AO227" i="7"/>
  <c r="AN227" i="7"/>
  <c r="AG226" i="7"/>
  <c r="AF226" i="7" s="1"/>
  <c r="H155" i="7"/>
  <c r="H193" i="6" l="1"/>
  <c r="R192" i="6"/>
  <c r="AQ142" i="7"/>
  <c r="AR142" i="7" s="1"/>
  <c r="Y227" i="7"/>
  <c r="X227" i="7" s="1"/>
  <c r="AY31" i="7"/>
  <c r="M33" i="6" s="1"/>
  <c r="N33" i="6" s="1"/>
  <c r="O33" i="6" s="1"/>
  <c r="G31" i="7"/>
  <c r="AA32" i="7"/>
  <c r="K32" i="7"/>
  <c r="L32" i="7" s="1"/>
  <c r="M32" i="7" s="1"/>
  <c r="I156" i="7"/>
  <c r="BB156" i="7" s="1"/>
  <c r="AO228" i="7"/>
  <c r="AN228" i="7" s="1"/>
  <c r="AJ141" i="7"/>
  <c r="AK141" i="7" s="1"/>
  <c r="AM141" i="7" s="1"/>
  <c r="AH142" i="7" s="1"/>
  <c r="S32" i="7"/>
  <c r="Q226" i="7"/>
  <c r="P226" i="7" s="1"/>
  <c r="AG227" i="7"/>
  <c r="AF227" i="7" s="1"/>
  <c r="AW227" i="7"/>
  <c r="AV227" i="7" s="1"/>
  <c r="H156" i="7" l="1"/>
  <c r="H194" i="6"/>
  <c r="R193" i="6"/>
  <c r="AW228" i="7"/>
  <c r="AV228" i="7" s="1"/>
  <c r="AG228" i="7"/>
  <c r="AF228" i="7" s="1"/>
  <c r="Y228" i="7"/>
  <c r="X228" i="7" s="1"/>
  <c r="AI142" i="7"/>
  <c r="AJ142" i="7" s="1"/>
  <c r="AO229" i="7"/>
  <c r="AN229" i="7" s="1"/>
  <c r="Q227" i="7"/>
  <c r="P227" i="7" s="1"/>
  <c r="AB32" i="7"/>
  <c r="AC32" i="7" s="1"/>
  <c r="B32" i="7"/>
  <c r="AZ31" i="7"/>
  <c r="P33" i="6" s="1"/>
  <c r="T33" i="6" s="1"/>
  <c r="T32" i="7"/>
  <c r="U32" i="7" s="1"/>
  <c r="I157" i="7"/>
  <c r="BB157" i="7" s="1"/>
  <c r="AS142" i="7"/>
  <c r="AU142" i="7" s="1"/>
  <c r="AP143" i="7" s="1"/>
  <c r="R194" i="6" l="1"/>
  <c r="H195" i="6"/>
  <c r="AO230" i="7"/>
  <c r="AN230" i="7" s="1"/>
  <c r="Q228" i="7"/>
  <c r="P228" i="7" s="1"/>
  <c r="AK142" i="7"/>
  <c r="AM142" i="7" s="1"/>
  <c r="AH143" i="7" s="1"/>
  <c r="AQ143" i="7"/>
  <c r="AR143" i="7" s="1"/>
  <c r="AS143" i="7" s="1"/>
  <c r="AU143" i="7" s="1"/>
  <c r="AP144" i="7" s="1"/>
  <c r="Y229" i="7"/>
  <c r="X229" i="7"/>
  <c r="AW229" i="7"/>
  <c r="AV229" i="7" s="1"/>
  <c r="H157" i="7"/>
  <c r="AG229" i="7"/>
  <c r="AF229" i="7" s="1"/>
  <c r="C32" i="7"/>
  <c r="BA32" i="7" s="1"/>
  <c r="H196" i="6" l="1"/>
  <c r="R195" i="6"/>
  <c r="AG230" i="7"/>
  <c r="AF230" i="7" s="1"/>
  <c r="AW230" i="7"/>
  <c r="AV230" i="7" s="1"/>
  <c r="Q229" i="7"/>
  <c r="P229" i="7" s="1"/>
  <c r="AQ144" i="7"/>
  <c r="AR144" i="7" s="1"/>
  <c r="AO231" i="7"/>
  <c r="AN231" i="7" s="1"/>
  <c r="I158" i="7"/>
  <c r="BB158" i="7" s="1"/>
  <c r="Y230" i="7"/>
  <c r="X230" i="7" s="1"/>
  <c r="AI143" i="7"/>
  <c r="D32" i="7"/>
  <c r="AX32" i="7" s="1"/>
  <c r="E34" i="6" s="1"/>
  <c r="F34" i="6" s="1"/>
  <c r="H197" i="6" l="1"/>
  <c r="R196" i="6"/>
  <c r="AO232" i="7"/>
  <c r="AN232" i="7" s="1"/>
  <c r="Y231" i="7"/>
  <c r="X231" i="7" s="1"/>
  <c r="Q34" i="6"/>
  <c r="I34" i="6"/>
  <c r="J34" i="6" s="1"/>
  <c r="H158" i="7"/>
  <c r="AS144" i="7"/>
  <c r="AU144" i="7" s="1"/>
  <c r="AP145" i="7" s="1"/>
  <c r="Q230" i="7"/>
  <c r="P230" i="7" s="1"/>
  <c r="AJ143" i="7"/>
  <c r="AK143" i="7" s="1"/>
  <c r="AM143" i="7" s="1"/>
  <c r="AH144" i="7" s="1"/>
  <c r="AG231" i="7"/>
  <c r="AF231" i="7" s="1"/>
  <c r="E32" i="7"/>
  <c r="AW231" i="7"/>
  <c r="AV231" i="7" s="1"/>
  <c r="H198" i="6" l="1"/>
  <c r="R197" i="6"/>
  <c r="Y232" i="7"/>
  <c r="X232" i="7" s="1"/>
  <c r="AG232" i="7"/>
  <c r="AF232" i="7" s="1"/>
  <c r="AI144" i="7"/>
  <c r="AJ144" i="7" s="1"/>
  <c r="AO233" i="7"/>
  <c r="AN233" i="7" s="1"/>
  <c r="S34" i="6"/>
  <c r="AQ145" i="7"/>
  <c r="AR145" i="7" s="1"/>
  <c r="K34" i="6"/>
  <c r="Q231" i="7"/>
  <c r="P231" i="7" s="1"/>
  <c r="I159" i="7"/>
  <c r="BB159" i="7" s="1"/>
  <c r="AW232" i="7"/>
  <c r="AV232" i="7" s="1"/>
  <c r="R198" i="6" l="1"/>
  <c r="H199" i="6"/>
  <c r="AK144" i="7"/>
  <c r="AM144" i="7" s="1"/>
  <c r="AH145" i="7" s="1"/>
  <c r="AI145" i="7" s="1"/>
  <c r="AO234" i="7"/>
  <c r="AN234" i="7" s="1"/>
  <c r="L34" i="6"/>
  <c r="AS145" i="7"/>
  <c r="AU145" i="7" s="1"/>
  <c r="AP146" i="7" s="1"/>
  <c r="H159" i="7"/>
  <c r="AG233" i="7"/>
  <c r="AF233" i="7" s="1"/>
  <c r="Y233" i="7"/>
  <c r="X233" i="7" s="1"/>
  <c r="AW233" i="7"/>
  <c r="AV233" i="7" s="1"/>
  <c r="Q232" i="7"/>
  <c r="P232" i="7" s="1"/>
  <c r="R199" i="6" l="1"/>
  <c r="H200" i="6"/>
  <c r="Y234" i="7"/>
  <c r="X234" i="7" s="1"/>
  <c r="AG234" i="7"/>
  <c r="AF234" i="7" s="1"/>
  <c r="AQ146" i="7"/>
  <c r="I160" i="7"/>
  <c r="BB160" i="7" s="1"/>
  <c r="AD32" i="7"/>
  <c r="AE32" i="7" s="1"/>
  <c r="Z33" i="7" s="1"/>
  <c r="V32" i="7"/>
  <c r="W32" i="7" s="1"/>
  <c r="R33" i="7" s="1"/>
  <c r="F32" i="7"/>
  <c r="N32" i="7"/>
  <c r="O32" i="7" s="1"/>
  <c r="J33" i="7" s="1"/>
  <c r="AJ145" i="7"/>
  <c r="AK145" i="7" s="1"/>
  <c r="AM145" i="7" s="1"/>
  <c r="AH146" i="7" s="1"/>
  <c r="AO235" i="7"/>
  <c r="AN235" i="7" s="1"/>
  <c r="AW234" i="7"/>
  <c r="AV234" i="7" s="1"/>
  <c r="Q233" i="7"/>
  <c r="P233" i="7" s="1"/>
  <c r="H201" i="6" l="1"/>
  <c r="R200" i="6"/>
  <c r="AG235" i="7"/>
  <c r="AF235" i="7" s="1"/>
  <c r="Q234" i="7"/>
  <c r="P234" i="7" s="1"/>
  <c r="Y235" i="7"/>
  <c r="X235" i="7"/>
  <c r="AY32" i="7"/>
  <c r="M34" i="6" s="1"/>
  <c r="N34" i="6" s="1"/>
  <c r="O34" i="6" s="1"/>
  <c r="G32" i="7"/>
  <c r="S33" i="7"/>
  <c r="AR146" i="7"/>
  <c r="AS146" i="7" s="1"/>
  <c r="AU146" i="7" s="1"/>
  <c r="AP147" i="7" s="1"/>
  <c r="K33" i="7"/>
  <c r="AA33" i="7"/>
  <c r="H160" i="7"/>
  <c r="AI146" i="7"/>
  <c r="AW235" i="7"/>
  <c r="AV235" i="7" s="1"/>
  <c r="AO236" i="7"/>
  <c r="AN236" i="7" s="1"/>
  <c r="H202" i="6" l="1"/>
  <c r="R201" i="6"/>
  <c r="AJ146" i="7"/>
  <c r="AK146" i="7" s="1"/>
  <c r="AM146" i="7" s="1"/>
  <c r="AH147" i="7" s="1"/>
  <c r="AI147" i="7" s="1"/>
  <c r="AJ147" i="7" s="1"/>
  <c r="L33" i="7"/>
  <c r="M33" i="7" s="1"/>
  <c r="AO237" i="7"/>
  <c r="AN237" i="7" s="1"/>
  <c r="AQ147" i="7"/>
  <c r="AR147" i="7" s="1"/>
  <c r="AW236" i="7"/>
  <c r="AV236" i="7" s="1"/>
  <c r="B33" i="7"/>
  <c r="AZ32" i="7"/>
  <c r="P34" i="6" s="1"/>
  <c r="T34" i="6" s="1"/>
  <c r="Q235" i="7"/>
  <c r="P235" i="7"/>
  <c r="AB33" i="7"/>
  <c r="AC33" i="7" s="1"/>
  <c r="T33" i="7"/>
  <c r="U33" i="7" s="1"/>
  <c r="Y236" i="7"/>
  <c r="X236" i="7" s="1"/>
  <c r="I161" i="7"/>
  <c r="BB161" i="7" s="1"/>
  <c r="AG236" i="7"/>
  <c r="AF236" i="7" s="1"/>
  <c r="H161" i="7" l="1"/>
  <c r="R202" i="6"/>
  <c r="H203" i="6"/>
  <c r="Y237" i="7"/>
  <c r="X237" i="7" s="1"/>
  <c r="AO238" i="7"/>
  <c r="AN238" i="7"/>
  <c r="AG237" i="7"/>
  <c r="AF237" i="7" s="1"/>
  <c r="AW237" i="7"/>
  <c r="AV237" i="7" s="1"/>
  <c r="Q236" i="7"/>
  <c r="P236" i="7" s="1"/>
  <c r="C33" i="7"/>
  <c r="BA33" i="7" s="1"/>
  <c r="AS147" i="7"/>
  <c r="AU147" i="7" s="1"/>
  <c r="AP148" i="7" s="1"/>
  <c r="AK147" i="7"/>
  <c r="AM147" i="7" s="1"/>
  <c r="AH148" i="7" s="1"/>
  <c r="I162" i="7" l="1"/>
  <c r="BB162" i="7" s="1"/>
  <c r="R203" i="6"/>
  <c r="H204" i="6"/>
  <c r="D33" i="7"/>
  <c r="AX33" i="7" s="1"/>
  <c r="E35" i="6" s="1"/>
  <c r="F35" i="6" s="1"/>
  <c r="I35" i="6" s="1"/>
  <c r="J35" i="6" s="1"/>
  <c r="AW238" i="7"/>
  <c r="AV238" i="7" s="1"/>
  <c r="AG238" i="7"/>
  <c r="AF238" i="7" s="1"/>
  <c r="AI148" i="7"/>
  <c r="AJ148" i="7" s="1"/>
  <c r="AK148" i="7" s="1"/>
  <c r="AM148" i="7" s="1"/>
  <c r="AH149" i="7" s="1"/>
  <c r="AQ148" i="7"/>
  <c r="AR148" i="7" s="1"/>
  <c r="Y238" i="7"/>
  <c r="X238" i="7" s="1"/>
  <c r="Q237" i="7"/>
  <c r="P237" i="7" s="1"/>
  <c r="AO239" i="7"/>
  <c r="AN239" i="7"/>
  <c r="H162" i="7" l="1"/>
  <c r="H205" i="6"/>
  <c r="R204" i="6"/>
  <c r="E33" i="7"/>
  <c r="Q35" i="6"/>
  <c r="AG239" i="7"/>
  <c r="AF239" i="7" s="1"/>
  <c r="Y239" i="7"/>
  <c r="X239" i="7" s="1"/>
  <c r="AI149" i="7"/>
  <c r="AJ149" i="7" s="1"/>
  <c r="AK149" i="7" s="1"/>
  <c r="AM149" i="7" s="1"/>
  <c r="AH150" i="7" s="1"/>
  <c r="AS148" i="7"/>
  <c r="AU148" i="7" s="1"/>
  <c r="AP149" i="7" s="1"/>
  <c r="K35" i="6"/>
  <c r="S35" i="6"/>
  <c r="AW239" i="7"/>
  <c r="AV239" i="7" s="1"/>
  <c r="AO240" i="7"/>
  <c r="AN240" i="7" s="1"/>
  <c r="Q238" i="7"/>
  <c r="P238" i="7" s="1"/>
  <c r="I163" i="7" l="1"/>
  <c r="BB163" i="7" s="1"/>
  <c r="R205" i="6"/>
  <c r="H206" i="6"/>
  <c r="AI150" i="7"/>
  <c r="L35" i="6"/>
  <c r="AQ149" i="7"/>
  <c r="AR149" i="7" s="1"/>
  <c r="AS149" i="7" s="1"/>
  <c r="AU149" i="7" s="1"/>
  <c r="AP150" i="7" s="1"/>
  <c r="Y240" i="7"/>
  <c r="X240" i="7" s="1"/>
  <c r="Q239" i="7"/>
  <c r="P239" i="7" s="1"/>
  <c r="AO241" i="7"/>
  <c r="AN241" i="7" s="1"/>
  <c r="AW240" i="7"/>
  <c r="AV240" i="7" s="1"/>
  <c r="AG240" i="7"/>
  <c r="AF240" i="7" s="1"/>
  <c r="H163" i="7" l="1"/>
  <c r="R206" i="6"/>
  <c r="H207" i="6"/>
  <c r="Q240" i="7"/>
  <c r="P240" i="7" s="1"/>
  <c r="AW241" i="7"/>
  <c r="AV241" i="7" s="1"/>
  <c r="AQ150" i="7"/>
  <c r="AG241" i="7"/>
  <c r="AF241" i="7" s="1"/>
  <c r="AD33" i="7"/>
  <c r="AE33" i="7" s="1"/>
  <c r="Z34" i="7" s="1"/>
  <c r="F33" i="7"/>
  <c r="N33" i="7"/>
  <c r="O33" i="7" s="1"/>
  <c r="J34" i="7" s="1"/>
  <c r="V33" i="7"/>
  <c r="W33" i="7" s="1"/>
  <c r="R34" i="7" s="1"/>
  <c r="AJ150" i="7"/>
  <c r="AK150" i="7" s="1"/>
  <c r="AM150" i="7" s="1"/>
  <c r="AH151" i="7" s="1"/>
  <c r="AO242" i="7"/>
  <c r="AN242" i="7" s="1"/>
  <c r="Y241" i="7"/>
  <c r="X241" i="7" s="1"/>
  <c r="I164" i="7" l="1"/>
  <c r="BB164" i="7" s="1"/>
  <c r="H208" i="6"/>
  <c r="R207" i="6"/>
  <c r="AO243" i="7"/>
  <c r="AN243" i="7" s="1"/>
  <c r="AG242" i="7"/>
  <c r="AF242" i="7" s="1"/>
  <c r="Y242" i="7"/>
  <c r="X242" i="7" s="1"/>
  <c r="AA34" i="7"/>
  <c r="AB34" i="7" s="1"/>
  <c r="AC34" i="7" s="1"/>
  <c r="AI151" i="7"/>
  <c r="AJ151" i="7" s="1"/>
  <c r="S34" i="7"/>
  <c r="T34" i="7" s="1"/>
  <c r="U34" i="7" s="1"/>
  <c r="K34" i="7"/>
  <c r="L34" i="7" s="1"/>
  <c r="M34" i="7" s="1"/>
  <c r="Q241" i="7"/>
  <c r="P241" i="7"/>
  <c r="AR150" i="7"/>
  <c r="AS150" i="7" s="1"/>
  <c r="AU150" i="7" s="1"/>
  <c r="AP151" i="7" s="1"/>
  <c r="AW242" i="7"/>
  <c r="AV242" i="7"/>
  <c r="AY33" i="7"/>
  <c r="M35" i="6" s="1"/>
  <c r="N35" i="6" s="1"/>
  <c r="O35" i="6" s="1"/>
  <c r="G33" i="7"/>
  <c r="H164" i="7" l="1"/>
  <c r="H209" i="6"/>
  <c r="R208" i="6"/>
  <c r="AQ151" i="7"/>
  <c r="AK151" i="7"/>
  <c r="AM151" i="7" s="1"/>
  <c r="AH152" i="7" s="1"/>
  <c r="Y243" i="7"/>
  <c r="X243" i="7"/>
  <c r="Q242" i="7"/>
  <c r="P242" i="7" s="1"/>
  <c r="B34" i="7"/>
  <c r="AZ33" i="7"/>
  <c r="P35" i="6" s="1"/>
  <c r="T35" i="6" s="1"/>
  <c r="AW243" i="7"/>
  <c r="AV243" i="7" s="1"/>
  <c r="AG243" i="7"/>
  <c r="AF243" i="7" s="1"/>
  <c r="AO244" i="7"/>
  <c r="AN244" i="7" s="1"/>
  <c r="I165" i="7" l="1"/>
  <c r="BB165" i="7" s="1"/>
  <c r="R209" i="6"/>
  <c r="H210" i="6"/>
  <c r="AG244" i="7"/>
  <c r="AF244" i="7" s="1"/>
  <c r="Q243" i="7"/>
  <c r="P243" i="7" s="1"/>
  <c r="AO245" i="7"/>
  <c r="AN245" i="7" s="1"/>
  <c r="AW244" i="7"/>
  <c r="AV244" i="7"/>
  <c r="C34" i="7"/>
  <c r="BA34" i="7" s="1"/>
  <c r="Y244" i="7"/>
  <c r="X244" i="7" s="1"/>
  <c r="AR151" i="7"/>
  <c r="AS151" i="7" s="1"/>
  <c r="AU151" i="7" s="1"/>
  <c r="AP152" i="7" s="1"/>
  <c r="AI152" i="7"/>
  <c r="H165" i="7" l="1"/>
  <c r="I166" i="7" s="1"/>
  <c r="H211" i="6"/>
  <c r="R210" i="6"/>
  <c r="Y245" i="7"/>
  <c r="X245" i="7" s="1"/>
  <c r="AO246" i="7"/>
  <c r="AN246" i="7" s="1"/>
  <c r="Q244" i="7"/>
  <c r="P244" i="7" s="1"/>
  <c r="AQ152" i="7"/>
  <c r="AR152" i="7" s="1"/>
  <c r="AW245" i="7"/>
  <c r="AV245" i="7" s="1"/>
  <c r="D34" i="7"/>
  <c r="AX34" i="7" s="1"/>
  <c r="E36" i="6" s="1"/>
  <c r="F36" i="6" s="1"/>
  <c r="AG245" i="7"/>
  <c r="AF245" i="7" s="1"/>
  <c r="AJ152" i="7"/>
  <c r="AK152" i="7" s="1"/>
  <c r="AM152" i="7" s="1"/>
  <c r="AH153" i="7" s="1"/>
  <c r="BB166" i="7" l="1"/>
  <c r="H166" i="7"/>
  <c r="H212" i="6"/>
  <c r="R211" i="6"/>
  <c r="AW246" i="7"/>
  <c r="AV246" i="7" s="1"/>
  <c r="AI153" i="7"/>
  <c r="AG246" i="7"/>
  <c r="AF246" i="7" s="1"/>
  <c r="AO247" i="7"/>
  <c r="AN247" i="7" s="1"/>
  <c r="I36" i="6"/>
  <c r="J36" i="6" s="1"/>
  <c r="Q36" i="6"/>
  <c r="AS152" i="7"/>
  <c r="AU152" i="7" s="1"/>
  <c r="AP153" i="7" s="1"/>
  <c r="Y246" i="7"/>
  <c r="X246" i="7"/>
  <c r="Q245" i="7"/>
  <c r="P245" i="7" s="1"/>
  <c r="E34" i="7"/>
  <c r="I167" i="7" l="1"/>
  <c r="BB167" i="7" s="1"/>
  <c r="R212" i="6"/>
  <c r="H213" i="6"/>
  <c r="Q246" i="7"/>
  <c r="P246" i="7" s="1"/>
  <c r="AQ153" i="7"/>
  <c r="AR153" i="7" s="1"/>
  <c r="AO248" i="7"/>
  <c r="AN248" i="7" s="1"/>
  <c r="AG247" i="7"/>
  <c r="AF247" i="7" s="1"/>
  <c r="Y247" i="7"/>
  <c r="X247" i="7" s="1"/>
  <c r="S36" i="6"/>
  <c r="AW247" i="7"/>
  <c r="AV247" i="7" s="1"/>
  <c r="K36" i="6"/>
  <c r="AJ153" i="7"/>
  <c r="AK153" i="7" s="1"/>
  <c r="AM153" i="7" s="1"/>
  <c r="AH154" i="7" s="1"/>
  <c r="H167" i="7" l="1"/>
  <c r="H214" i="6"/>
  <c r="R213" i="6"/>
  <c r="AG248" i="7"/>
  <c r="AF248" i="7" s="1"/>
  <c r="AI154" i="7"/>
  <c r="AJ154" i="7" s="1"/>
  <c r="Y248" i="7"/>
  <c r="X248" i="7" s="1"/>
  <c r="AO249" i="7"/>
  <c r="AN249" i="7" s="1"/>
  <c r="AS153" i="7"/>
  <c r="AU153" i="7" s="1"/>
  <c r="AP154" i="7" s="1"/>
  <c r="AW248" i="7"/>
  <c r="AV248" i="7" s="1"/>
  <c r="L36" i="6"/>
  <c r="Q247" i="7"/>
  <c r="P247" i="7" s="1"/>
  <c r="I168" i="7" l="1"/>
  <c r="BB168" i="7" s="1"/>
  <c r="H215" i="6"/>
  <c r="R214" i="6"/>
  <c r="AK154" i="7"/>
  <c r="AM154" i="7" s="1"/>
  <c r="AH155" i="7" s="1"/>
  <c r="AI155" i="7" s="1"/>
  <c r="AJ155" i="7" s="1"/>
  <c r="Q248" i="7"/>
  <c r="P248" i="7" s="1"/>
  <c r="AW249" i="7"/>
  <c r="AV249" i="7" s="1"/>
  <c r="AG249" i="7"/>
  <c r="AF249" i="7" s="1"/>
  <c r="AO250" i="7"/>
  <c r="AN250" i="7" s="1"/>
  <c r="Y249" i="7"/>
  <c r="X249" i="7" s="1"/>
  <c r="AQ154" i="7"/>
  <c r="AD34" i="7"/>
  <c r="AE34" i="7" s="1"/>
  <c r="Z35" i="7" s="1"/>
  <c r="V34" i="7"/>
  <c r="W34" i="7" s="1"/>
  <c r="R35" i="7" s="1"/>
  <c r="N34" i="7"/>
  <c r="O34" i="7" s="1"/>
  <c r="J35" i="7" s="1"/>
  <c r="F34" i="7"/>
  <c r="H168" i="7" l="1"/>
  <c r="R215" i="6"/>
  <c r="H216" i="6"/>
  <c r="AO251" i="7"/>
  <c r="AN251" i="7" s="1"/>
  <c r="Y250" i="7"/>
  <c r="X250" i="7" s="1"/>
  <c r="AG250" i="7"/>
  <c r="AF250" i="7" s="1"/>
  <c r="AW250" i="7"/>
  <c r="AV250" i="7" s="1"/>
  <c r="K35" i="7"/>
  <c r="S35" i="7"/>
  <c r="T35" i="7" s="1"/>
  <c r="U35" i="7" s="1"/>
  <c r="Q249" i="7"/>
  <c r="P249" i="7" s="1"/>
  <c r="AY34" i="7"/>
  <c r="M36" i="6" s="1"/>
  <c r="N36" i="6" s="1"/>
  <c r="O36" i="6" s="1"/>
  <c r="G34" i="7"/>
  <c r="AA35" i="7"/>
  <c r="AB35" i="7" s="1"/>
  <c r="AK155" i="7"/>
  <c r="AM155" i="7" s="1"/>
  <c r="AH156" i="7" s="1"/>
  <c r="AR154" i="7"/>
  <c r="AS154" i="7" s="1"/>
  <c r="AU154" i="7" s="1"/>
  <c r="AP155" i="7" s="1"/>
  <c r="I169" i="7" l="1"/>
  <c r="BB169" i="7" s="1"/>
  <c r="H217" i="6"/>
  <c r="R216" i="6"/>
  <c r="AQ155" i="7"/>
  <c r="Q250" i="7"/>
  <c r="P250" i="7" s="1"/>
  <c r="AW251" i="7"/>
  <c r="AV251" i="7" s="1"/>
  <c r="AO252" i="7"/>
  <c r="AN252" i="7" s="1"/>
  <c r="AC35" i="7"/>
  <c r="AI156" i="7"/>
  <c r="AJ156" i="7" s="1"/>
  <c r="L35" i="7"/>
  <c r="M35" i="7" s="1"/>
  <c r="Y251" i="7"/>
  <c r="X251" i="7" s="1"/>
  <c r="AG251" i="7"/>
  <c r="AF251" i="7" s="1"/>
  <c r="B35" i="7"/>
  <c r="AZ34" i="7"/>
  <c r="P36" i="6" s="1"/>
  <c r="T36" i="6" s="1"/>
  <c r="H169" i="7" l="1"/>
  <c r="H218" i="6"/>
  <c r="R217" i="6"/>
  <c r="Y252" i="7"/>
  <c r="X252" i="7" s="1"/>
  <c r="AK156" i="7"/>
  <c r="AM156" i="7" s="1"/>
  <c r="AH157" i="7" s="1"/>
  <c r="AO253" i="7"/>
  <c r="AN253" i="7" s="1"/>
  <c r="AW252" i="7"/>
  <c r="AV252" i="7" s="1"/>
  <c r="Q251" i="7"/>
  <c r="P251" i="7" s="1"/>
  <c r="AR155" i="7"/>
  <c r="AS155" i="7" s="1"/>
  <c r="AU155" i="7" s="1"/>
  <c r="AP156" i="7" s="1"/>
  <c r="C35" i="7"/>
  <c r="BA35" i="7" s="1"/>
  <c r="AG252" i="7"/>
  <c r="AF252" i="7" s="1"/>
  <c r="I170" i="7" l="1"/>
  <c r="BB170" i="7" s="1"/>
  <c r="R218" i="6"/>
  <c r="H219" i="6"/>
  <c r="AQ156" i="7"/>
  <c r="AO254" i="7"/>
  <c r="AN254" i="7" s="1"/>
  <c r="Y253" i="7"/>
  <c r="X253" i="7" s="1"/>
  <c r="Q252" i="7"/>
  <c r="P252" i="7" s="1"/>
  <c r="AG253" i="7"/>
  <c r="AF253" i="7"/>
  <c r="AW253" i="7"/>
  <c r="AV253" i="7" s="1"/>
  <c r="AI157" i="7"/>
  <c r="D35" i="7"/>
  <c r="AX35" i="7" s="1"/>
  <c r="E37" i="6" s="1"/>
  <c r="F37" i="6" s="1"/>
  <c r="H170" i="7" l="1"/>
  <c r="H220" i="6"/>
  <c r="R219" i="6"/>
  <c r="E35" i="7"/>
  <c r="AW254" i="7"/>
  <c r="AV254" i="7" s="1"/>
  <c r="Y254" i="7"/>
  <c r="X254" i="7" s="1"/>
  <c r="AO255" i="7"/>
  <c r="AN255" i="7" s="1"/>
  <c r="AG254" i="7"/>
  <c r="AF254" i="7" s="1"/>
  <c r="Q253" i="7"/>
  <c r="P253" i="7" s="1"/>
  <c r="AJ157" i="7"/>
  <c r="AK157" i="7" s="1"/>
  <c r="AM157" i="7" s="1"/>
  <c r="AH158" i="7" s="1"/>
  <c r="AR156" i="7"/>
  <c r="AS156" i="7" s="1"/>
  <c r="AU156" i="7" s="1"/>
  <c r="AP157" i="7" s="1"/>
  <c r="Q37" i="6"/>
  <c r="I37" i="6"/>
  <c r="J37" i="6" s="1"/>
  <c r="I171" i="7" l="1"/>
  <c r="BB171" i="7" s="1"/>
  <c r="R220" i="6"/>
  <c r="H221" i="6"/>
  <c r="AG255" i="7"/>
  <c r="AF255" i="7" s="1"/>
  <c r="AI158" i="7"/>
  <c r="AO256" i="7"/>
  <c r="AN256" i="7" s="1"/>
  <c r="S37" i="6"/>
  <c r="Y255" i="7"/>
  <c r="X255" i="7" s="1"/>
  <c r="Q254" i="7"/>
  <c r="P254" i="7" s="1"/>
  <c r="K37" i="6"/>
  <c r="AW255" i="7"/>
  <c r="AV255" i="7" s="1"/>
  <c r="AQ157" i="7"/>
  <c r="H171" i="7" l="1"/>
  <c r="H222" i="6"/>
  <c r="R221" i="6"/>
  <c r="AJ158" i="7"/>
  <c r="AK158" i="7" s="1"/>
  <c r="AM158" i="7" s="1"/>
  <c r="AH159" i="7" s="1"/>
  <c r="AI159" i="7" s="1"/>
  <c r="AJ159" i="7" s="1"/>
  <c r="AK159" i="7" s="1"/>
  <c r="AM159" i="7" s="1"/>
  <c r="AH160" i="7" s="1"/>
  <c r="Q255" i="7"/>
  <c r="P255" i="7" s="1"/>
  <c r="Y256" i="7"/>
  <c r="X256" i="7" s="1"/>
  <c r="AO257" i="7"/>
  <c r="AN257" i="7" s="1"/>
  <c r="AG256" i="7"/>
  <c r="AF256" i="7" s="1"/>
  <c r="AW256" i="7"/>
  <c r="AV256" i="7" s="1"/>
  <c r="AR157" i="7"/>
  <c r="AS157" i="7" s="1"/>
  <c r="AU157" i="7" s="1"/>
  <c r="AP158" i="7" s="1"/>
  <c r="L37" i="6"/>
  <c r="I172" i="7" l="1"/>
  <c r="BB172" i="7" s="1"/>
  <c r="H172" i="7"/>
  <c r="H223" i="6"/>
  <c r="R222" i="6"/>
  <c r="AG257" i="7"/>
  <c r="AF257" i="7" s="1"/>
  <c r="AI160" i="7"/>
  <c r="Y257" i="7"/>
  <c r="X257" i="7" s="1"/>
  <c r="AD35" i="7"/>
  <c r="AE35" i="7" s="1"/>
  <c r="Z36" i="7" s="1"/>
  <c r="F35" i="7"/>
  <c r="N35" i="7"/>
  <c r="O35" i="7" s="1"/>
  <c r="J36" i="7" s="1"/>
  <c r="V35" i="7"/>
  <c r="W35" i="7" s="1"/>
  <c r="R36" i="7" s="1"/>
  <c r="AO258" i="7"/>
  <c r="AN258" i="7" s="1"/>
  <c r="Q256" i="7"/>
  <c r="P256" i="7" s="1"/>
  <c r="AW257" i="7"/>
  <c r="AV257" i="7"/>
  <c r="AQ158" i="7"/>
  <c r="I173" i="7" l="1"/>
  <c r="BB173" i="7" s="1"/>
  <c r="R223" i="6"/>
  <c r="H224" i="6"/>
  <c r="AO259" i="7"/>
  <c r="AN259" i="7" s="1"/>
  <c r="S36" i="7"/>
  <c r="AY35" i="7"/>
  <c r="M37" i="6" s="1"/>
  <c r="N37" i="6" s="1"/>
  <c r="O37" i="6" s="1"/>
  <c r="G35" i="7"/>
  <c r="AA36" i="7"/>
  <c r="AB36" i="7" s="1"/>
  <c r="AC36" i="7" s="1"/>
  <c r="Y258" i="7"/>
  <c r="X258" i="7" s="1"/>
  <c r="AR158" i="7"/>
  <c r="AS158" i="7" s="1"/>
  <c r="AU158" i="7" s="1"/>
  <c r="AP159" i="7" s="1"/>
  <c r="Q257" i="7"/>
  <c r="P257" i="7" s="1"/>
  <c r="K36" i="7"/>
  <c r="AW258" i="7"/>
  <c r="AV258" i="7"/>
  <c r="AJ160" i="7"/>
  <c r="AK160" i="7" s="1"/>
  <c r="AM160" i="7" s="1"/>
  <c r="AH161" i="7" s="1"/>
  <c r="AG258" i="7"/>
  <c r="AF258" i="7" s="1"/>
  <c r="H173" i="7" l="1"/>
  <c r="I174" i="7" s="1"/>
  <c r="BB174" i="7" s="1"/>
  <c r="R224" i="6"/>
  <c r="H225" i="6"/>
  <c r="Y259" i="7"/>
  <c r="X259" i="7" s="1"/>
  <c r="AG259" i="7"/>
  <c r="AF259" i="7" s="1"/>
  <c r="Q258" i="7"/>
  <c r="P258" i="7" s="1"/>
  <c r="AI161" i="7"/>
  <c r="AO260" i="7"/>
  <c r="AN260" i="7" s="1"/>
  <c r="L36" i="7"/>
  <c r="M36" i="7" s="1"/>
  <c r="AW259" i="7"/>
  <c r="AV259" i="7" s="1"/>
  <c r="B36" i="7"/>
  <c r="AZ35" i="7"/>
  <c r="P37" i="6" s="1"/>
  <c r="T37" i="6" s="1"/>
  <c r="AQ159" i="7"/>
  <c r="AR159" i="7" s="1"/>
  <c r="AS159" i="7" s="1"/>
  <c r="AU159" i="7" s="1"/>
  <c r="AP160" i="7" s="1"/>
  <c r="T36" i="7"/>
  <c r="U36" i="7" s="1"/>
  <c r="H174" i="7" l="1"/>
  <c r="I175" i="7" s="1"/>
  <c r="BB175" i="7" s="1"/>
  <c r="H226" i="6"/>
  <c r="R225" i="6"/>
  <c r="AW260" i="7"/>
  <c r="AV260" i="7" s="1"/>
  <c r="AQ160" i="7"/>
  <c r="AR160" i="7" s="1"/>
  <c r="AS160" i="7" s="1"/>
  <c r="AU160" i="7" s="1"/>
  <c r="AP161" i="7" s="1"/>
  <c r="AO261" i="7"/>
  <c r="AN261" i="7" s="1"/>
  <c r="Q259" i="7"/>
  <c r="P259" i="7" s="1"/>
  <c r="AG260" i="7"/>
  <c r="AF260" i="7" s="1"/>
  <c r="Y260" i="7"/>
  <c r="X260" i="7" s="1"/>
  <c r="AJ161" i="7"/>
  <c r="AK161" i="7" s="1"/>
  <c r="AM161" i="7" s="1"/>
  <c r="AH162" i="7" s="1"/>
  <c r="C36" i="7"/>
  <c r="BA36" i="7" s="1"/>
  <c r="H175" i="7" l="1"/>
  <c r="R226" i="6"/>
  <c r="H227" i="6"/>
  <c r="Q260" i="7"/>
  <c r="P260" i="7" s="1"/>
  <c r="AG261" i="7"/>
  <c r="AF261" i="7" s="1"/>
  <c r="AQ161" i="7"/>
  <c r="AR161" i="7" s="1"/>
  <c r="AS161" i="7" s="1"/>
  <c r="AU161" i="7" s="1"/>
  <c r="AP162" i="7" s="1"/>
  <c r="AW261" i="7"/>
  <c r="AV261" i="7" s="1"/>
  <c r="Y261" i="7"/>
  <c r="X261" i="7" s="1"/>
  <c r="D36" i="7"/>
  <c r="AX36" i="7" s="1"/>
  <c r="E38" i="6" s="1"/>
  <c r="F38" i="6" s="1"/>
  <c r="AO262" i="7"/>
  <c r="AN262" i="7" s="1"/>
  <c r="AI162" i="7"/>
  <c r="AJ162" i="7" s="1"/>
  <c r="AK162" i="7" s="1"/>
  <c r="AM162" i="7" s="1"/>
  <c r="AH163" i="7" s="1"/>
  <c r="I176" i="7" l="1"/>
  <c r="BB176" i="7" s="1"/>
  <c r="R227" i="6"/>
  <c r="H228" i="6"/>
  <c r="E36" i="7"/>
  <c r="AQ162" i="7"/>
  <c r="AR162" i="7" s="1"/>
  <c r="AI163" i="7"/>
  <c r="AW262" i="7"/>
  <c r="AV262" i="7" s="1"/>
  <c r="AG262" i="7"/>
  <c r="AF262" i="7" s="1"/>
  <c r="Y262" i="7"/>
  <c r="X262" i="7" s="1"/>
  <c r="AO263" i="7"/>
  <c r="AN263" i="7" s="1"/>
  <c r="Q261" i="7"/>
  <c r="P261" i="7" s="1"/>
  <c r="I38" i="6"/>
  <c r="J38" i="6" s="1"/>
  <c r="Q38" i="6"/>
  <c r="H176" i="7" l="1"/>
  <c r="I177" i="7" s="1"/>
  <c r="BB177" i="7" s="1"/>
  <c r="H229" i="6"/>
  <c r="R228" i="6"/>
  <c r="AS162" i="7"/>
  <c r="AU162" i="7" s="1"/>
  <c r="AP163" i="7" s="1"/>
  <c r="AQ163" i="7" s="1"/>
  <c r="AR163" i="7" s="1"/>
  <c r="AS163" i="7" s="1"/>
  <c r="AU163" i="7" s="1"/>
  <c r="AP164" i="7" s="1"/>
  <c r="AG263" i="7"/>
  <c r="AF263" i="7" s="1"/>
  <c r="Y263" i="7"/>
  <c r="X263" i="7" s="1"/>
  <c r="AW263" i="7"/>
  <c r="AV263" i="7" s="1"/>
  <c r="Q262" i="7"/>
  <c r="P262" i="7" s="1"/>
  <c r="AO264" i="7"/>
  <c r="AN264" i="7" s="1"/>
  <c r="S38" i="6"/>
  <c r="AJ163" i="7"/>
  <c r="AK163" i="7" s="1"/>
  <c r="AM163" i="7" s="1"/>
  <c r="AH164" i="7" s="1"/>
  <c r="K38" i="6"/>
  <c r="H177" i="7" l="1"/>
  <c r="H230" i="6"/>
  <c r="R229" i="6"/>
  <c r="AO265" i="7"/>
  <c r="AN265" i="7" s="1"/>
  <c r="AI164" i="7"/>
  <c r="AQ164" i="7"/>
  <c r="AR164" i="7" s="1"/>
  <c r="AS164" i="7" s="1"/>
  <c r="AU164" i="7" s="1"/>
  <c r="AP165" i="7" s="1"/>
  <c r="Y264" i="7"/>
  <c r="X264" i="7" s="1"/>
  <c r="Q263" i="7"/>
  <c r="P263" i="7" s="1"/>
  <c r="AG264" i="7"/>
  <c r="AF264" i="7" s="1"/>
  <c r="L38" i="6"/>
  <c r="AW264" i="7"/>
  <c r="AV264" i="7" s="1"/>
  <c r="I178" i="7" l="1"/>
  <c r="BB178" i="7" s="1"/>
  <c r="H231" i="6"/>
  <c r="R230" i="6"/>
  <c r="AW265" i="7"/>
  <c r="AV265" i="7" s="1"/>
  <c r="AG265" i="7"/>
  <c r="AF265" i="7" s="1"/>
  <c r="Y265" i="7"/>
  <c r="X265" i="7" s="1"/>
  <c r="Q264" i="7"/>
  <c r="P264" i="7" s="1"/>
  <c r="AQ165" i="7"/>
  <c r="AD36" i="7"/>
  <c r="AE36" i="7" s="1"/>
  <c r="Z37" i="7" s="1"/>
  <c r="F36" i="7"/>
  <c r="N36" i="7"/>
  <c r="O36" i="7" s="1"/>
  <c r="J37" i="7" s="1"/>
  <c r="V36" i="7"/>
  <c r="W36" i="7" s="1"/>
  <c r="R37" i="7" s="1"/>
  <c r="AJ164" i="7"/>
  <c r="AK164" i="7" s="1"/>
  <c r="AM164" i="7" s="1"/>
  <c r="AH165" i="7" s="1"/>
  <c r="AO266" i="7"/>
  <c r="AN266" i="7"/>
  <c r="H178" i="7" l="1"/>
  <c r="R231" i="6"/>
  <c r="H232" i="6"/>
  <c r="Q265" i="7"/>
  <c r="P265" i="7" s="1"/>
  <c r="AG266" i="7"/>
  <c r="AF266" i="7" s="1"/>
  <c r="AY36" i="7"/>
  <c r="M38" i="6" s="1"/>
  <c r="N38" i="6" s="1"/>
  <c r="O38" i="6" s="1"/>
  <c r="G36" i="7"/>
  <c r="AI165" i="7"/>
  <c r="AJ165" i="7" s="1"/>
  <c r="AK165" i="7" s="1"/>
  <c r="AM165" i="7" s="1"/>
  <c r="AH166" i="7" s="1"/>
  <c r="AR165" i="7"/>
  <c r="AS165" i="7" s="1"/>
  <c r="AU165" i="7" s="1"/>
  <c r="AP166" i="7" s="1"/>
  <c r="Y266" i="7"/>
  <c r="X266" i="7" s="1"/>
  <c r="AA37" i="7"/>
  <c r="AB37" i="7" s="1"/>
  <c r="AO267" i="7"/>
  <c r="AN267" i="7" s="1"/>
  <c r="S37" i="7"/>
  <c r="AW266" i="7"/>
  <c r="AV266" i="7" s="1"/>
  <c r="K37" i="7"/>
  <c r="L37" i="7" s="1"/>
  <c r="I179" i="7" l="1"/>
  <c r="BB179" i="7" s="1"/>
  <c r="H179" i="7"/>
  <c r="R232" i="6"/>
  <c r="H233" i="6"/>
  <c r="AQ166" i="7"/>
  <c r="AI166" i="7"/>
  <c r="Y267" i="7"/>
  <c r="X267" i="7" s="1"/>
  <c r="M37" i="7"/>
  <c r="T37" i="7"/>
  <c r="U37" i="7" s="1"/>
  <c r="AC37" i="7"/>
  <c r="AW267" i="7"/>
  <c r="AV267" i="7" s="1"/>
  <c r="B37" i="7"/>
  <c r="AZ36" i="7"/>
  <c r="P38" i="6" s="1"/>
  <c r="T38" i="6" s="1"/>
  <c r="AG267" i="7"/>
  <c r="AF267" i="7" s="1"/>
  <c r="AO268" i="7"/>
  <c r="AN268" i="7" s="1"/>
  <c r="Q266" i="7"/>
  <c r="P266" i="7" s="1"/>
  <c r="I180" i="7" l="1"/>
  <c r="BB180" i="7" s="1"/>
  <c r="R233" i="6"/>
  <c r="H234" i="6"/>
  <c r="AO269" i="7"/>
  <c r="AN269" i="7" s="1"/>
  <c r="Q267" i="7"/>
  <c r="P267" i="7" s="1"/>
  <c r="AG268" i="7"/>
  <c r="AF268" i="7" s="1"/>
  <c r="Y268" i="7"/>
  <c r="X268" i="7" s="1"/>
  <c r="AJ166" i="7"/>
  <c r="AK166" i="7" s="1"/>
  <c r="AM166" i="7" s="1"/>
  <c r="AH167" i="7" s="1"/>
  <c r="C37" i="7"/>
  <c r="BA37" i="7" s="1"/>
  <c r="AW268" i="7"/>
  <c r="AV268" i="7" s="1"/>
  <c r="AR166" i="7"/>
  <c r="AS166" i="7" s="1"/>
  <c r="AU166" i="7" s="1"/>
  <c r="AP167" i="7" s="1"/>
  <c r="H180" i="7" l="1"/>
  <c r="H235" i="6"/>
  <c r="R234" i="6"/>
  <c r="AW269" i="7"/>
  <c r="AV269" i="7" s="1"/>
  <c r="Y269" i="7"/>
  <c r="X269" i="7" s="1"/>
  <c r="AQ167" i="7"/>
  <c r="AI167" i="7"/>
  <c r="AG269" i="7"/>
  <c r="AF269" i="7" s="1"/>
  <c r="Q268" i="7"/>
  <c r="P268" i="7" s="1"/>
  <c r="AO270" i="7"/>
  <c r="AN270" i="7" s="1"/>
  <c r="D37" i="7"/>
  <c r="AX37" i="7" s="1"/>
  <c r="E39" i="6" s="1"/>
  <c r="F39" i="6" s="1"/>
  <c r="I181" i="7" l="1"/>
  <c r="BB181" i="7" s="1"/>
  <c r="H236" i="6"/>
  <c r="R235" i="6"/>
  <c r="Q269" i="7"/>
  <c r="P269" i="7" s="1"/>
  <c r="AO271" i="7"/>
  <c r="AN271" i="7" s="1"/>
  <c r="AG270" i="7"/>
  <c r="AF270" i="7" s="1"/>
  <c r="Y270" i="7"/>
  <c r="X270" i="7" s="1"/>
  <c r="AR167" i="7"/>
  <c r="AS167" i="7" s="1"/>
  <c r="AU167" i="7" s="1"/>
  <c r="AP168" i="7" s="1"/>
  <c r="AW270" i="7"/>
  <c r="AV270" i="7" s="1"/>
  <c r="AJ167" i="7"/>
  <c r="AK167" i="7" s="1"/>
  <c r="AM167" i="7" s="1"/>
  <c r="AH168" i="7" s="1"/>
  <c r="I39" i="6"/>
  <c r="J39" i="6" s="1"/>
  <c r="Q39" i="6"/>
  <c r="E37" i="7"/>
  <c r="H181" i="7" l="1"/>
  <c r="R236" i="6"/>
  <c r="H237" i="6"/>
  <c r="AW271" i="7"/>
  <c r="AV271" i="7" s="1"/>
  <c r="AO272" i="7"/>
  <c r="AN272" i="7" s="1"/>
  <c r="AQ168" i="7"/>
  <c r="AR168" i="7" s="1"/>
  <c r="AS168" i="7" s="1"/>
  <c r="AU168" i="7" s="1"/>
  <c r="AP169" i="7" s="1"/>
  <c r="Y271" i="7"/>
  <c r="X271" i="7" s="1"/>
  <c r="Q270" i="7"/>
  <c r="P270" i="7" s="1"/>
  <c r="S39" i="6"/>
  <c r="AI168" i="7"/>
  <c r="AG271" i="7"/>
  <c r="AF271" i="7" s="1"/>
  <c r="K39" i="6"/>
  <c r="I182" i="7" l="1"/>
  <c r="BB182" i="7" s="1"/>
  <c r="R237" i="6"/>
  <c r="H238" i="6"/>
  <c r="AJ168" i="7"/>
  <c r="AK168" i="7" s="1"/>
  <c r="AM168" i="7" s="1"/>
  <c r="AH169" i="7" s="1"/>
  <c r="AI169" i="7" s="1"/>
  <c r="Q271" i="7"/>
  <c r="P271" i="7" s="1"/>
  <c r="Y272" i="7"/>
  <c r="X272" i="7" s="1"/>
  <c r="AO273" i="7"/>
  <c r="AN273" i="7" s="1"/>
  <c r="AG272" i="7"/>
  <c r="AF272" i="7" s="1"/>
  <c r="AQ169" i="7"/>
  <c r="AR169" i="7" s="1"/>
  <c r="AW272" i="7"/>
  <c r="AV272" i="7" s="1"/>
  <c r="L39" i="6"/>
  <c r="H182" i="7" l="1"/>
  <c r="I183" i="7"/>
  <c r="BB183" i="7" s="1"/>
  <c r="R238" i="6"/>
  <c r="H239" i="6"/>
  <c r="AW273" i="7"/>
  <c r="AV273" i="7" s="1"/>
  <c r="AG273" i="7"/>
  <c r="AF273" i="7" s="1"/>
  <c r="Q272" i="7"/>
  <c r="P272" i="7" s="1"/>
  <c r="AS169" i="7"/>
  <c r="AU169" i="7" s="1"/>
  <c r="AP170" i="7" s="1"/>
  <c r="AO274" i="7"/>
  <c r="AN274" i="7" s="1"/>
  <c r="Y273" i="7"/>
  <c r="X273" i="7" s="1"/>
  <c r="AD37" i="7"/>
  <c r="AE37" i="7" s="1"/>
  <c r="Z38" i="7" s="1"/>
  <c r="F37" i="7"/>
  <c r="N37" i="7"/>
  <c r="O37" i="7" s="1"/>
  <c r="J38" i="7" s="1"/>
  <c r="V37" i="7"/>
  <c r="W37" i="7" s="1"/>
  <c r="R38" i="7" s="1"/>
  <c r="AJ169" i="7"/>
  <c r="AK169" i="7" s="1"/>
  <c r="AM169" i="7" s="1"/>
  <c r="AH170" i="7" s="1"/>
  <c r="H183" i="7" l="1"/>
  <c r="R239" i="6"/>
  <c r="H240" i="6"/>
  <c r="Y274" i="7"/>
  <c r="X274" i="7" s="1"/>
  <c r="AI170" i="7"/>
  <c r="AJ170" i="7" s="1"/>
  <c r="AK170" i="7" s="1"/>
  <c r="AM170" i="7" s="1"/>
  <c r="AH171" i="7" s="1"/>
  <c r="AG274" i="7"/>
  <c r="AF274" i="7" s="1"/>
  <c r="AO275" i="7"/>
  <c r="AN275" i="7" s="1"/>
  <c r="Q273" i="7"/>
  <c r="P273" i="7" s="1"/>
  <c r="AW274" i="7"/>
  <c r="AV274" i="7" s="1"/>
  <c r="K38" i="7"/>
  <c r="L38" i="7" s="1"/>
  <c r="M38" i="7" s="1"/>
  <c r="S38" i="7"/>
  <c r="T38" i="7" s="1"/>
  <c r="U38" i="7" s="1"/>
  <c r="AQ170" i="7"/>
  <c r="AR170" i="7" s="1"/>
  <c r="AY37" i="7"/>
  <c r="M39" i="6" s="1"/>
  <c r="N39" i="6" s="1"/>
  <c r="O39" i="6" s="1"/>
  <c r="G37" i="7"/>
  <c r="AA38" i="7"/>
  <c r="I184" i="7" l="1"/>
  <c r="BB184" i="7" s="1"/>
  <c r="R240" i="6"/>
  <c r="H241" i="6"/>
  <c r="AW275" i="7"/>
  <c r="AV275" i="7" s="1"/>
  <c r="Q274" i="7"/>
  <c r="P274" i="7" s="1"/>
  <c r="AO276" i="7"/>
  <c r="AN276" i="7" s="1"/>
  <c r="AI171" i="7"/>
  <c r="AB38" i="7"/>
  <c r="AC38" i="7" s="1"/>
  <c r="AG275" i="7"/>
  <c r="AF275" i="7" s="1"/>
  <c r="AS170" i="7"/>
  <c r="AU170" i="7" s="1"/>
  <c r="AP171" i="7" s="1"/>
  <c r="Y275" i="7"/>
  <c r="X275" i="7" s="1"/>
  <c r="B38" i="7"/>
  <c r="AZ37" i="7"/>
  <c r="P39" i="6" s="1"/>
  <c r="T39" i="6" s="1"/>
  <c r="H184" i="7" l="1"/>
  <c r="H242" i="6"/>
  <c r="R241" i="6"/>
  <c r="Y276" i="7"/>
  <c r="X276" i="7" s="1"/>
  <c r="AO277" i="7"/>
  <c r="AN277" i="7" s="1"/>
  <c r="AW276" i="7"/>
  <c r="AV276" i="7" s="1"/>
  <c r="AJ171" i="7"/>
  <c r="AK171" i="7" s="1"/>
  <c r="AM171" i="7" s="1"/>
  <c r="AH172" i="7" s="1"/>
  <c r="C38" i="7"/>
  <c r="BA38" i="7" s="1"/>
  <c r="Q275" i="7"/>
  <c r="P275" i="7" s="1"/>
  <c r="AQ171" i="7"/>
  <c r="AG276" i="7"/>
  <c r="AF276" i="7" s="1"/>
  <c r="I185" i="7" l="1"/>
  <c r="BB185" i="7" s="1"/>
  <c r="H243" i="6"/>
  <c r="R242" i="6"/>
  <c r="AG277" i="7"/>
  <c r="AF277" i="7" s="1"/>
  <c r="Q276" i="7"/>
  <c r="P276" i="7" s="1"/>
  <c r="AO278" i="7"/>
  <c r="AN278" i="7" s="1"/>
  <c r="AI172" i="7"/>
  <c r="AJ172" i="7" s="1"/>
  <c r="AW277" i="7"/>
  <c r="AV277" i="7" s="1"/>
  <c r="Y277" i="7"/>
  <c r="X277" i="7" s="1"/>
  <c r="D38" i="7"/>
  <c r="AX38" i="7" s="1"/>
  <c r="E40" i="6" s="1"/>
  <c r="F40" i="6" s="1"/>
  <c r="AR171" i="7"/>
  <c r="AS171" i="7" s="1"/>
  <c r="AU171" i="7" s="1"/>
  <c r="AP172" i="7" s="1"/>
  <c r="H185" i="7" l="1"/>
  <c r="I186" i="7" s="1"/>
  <c r="BB186" i="7" s="1"/>
  <c r="R243" i="6"/>
  <c r="H244" i="6"/>
  <c r="Y278" i="7"/>
  <c r="X278" i="7" s="1"/>
  <c r="AG278" i="7"/>
  <c r="AF278" i="7" s="1"/>
  <c r="AQ172" i="7"/>
  <c r="AR172" i="7" s="1"/>
  <c r="AO279" i="7"/>
  <c r="AN279" i="7" s="1"/>
  <c r="AW278" i="7"/>
  <c r="AV278" i="7" s="1"/>
  <c r="AK172" i="7"/>
  <c r="AM172" i="7" s="1"/>
  <c r="AH173" i="7" s="1"/>
  <c r="E38" i="7"/>
  <c r="Q40" i="6"/>
  <c r="I40" i="6"/>
  <c r="J40" i="6" s="1"/>
  <c r="Q277" i="7"/>
  <c r="P277" i="7" s="1"/>
  <c r="H186" i="7" l="1"/>
  <c r="R244" i="6"/>
  <c r="H245" i="6"/>
  <c r="AW279" i="7"/>
  <c r="AV279" i="7" s="1"/>
  <c r="Q278" i="7"/>
  <c r="P278" i="7" s="1"/>
  <c r="AO280" i="7"/>
  <c r="AN280" i="7" s="1"/>
  <c r="AI173" i="7"/>
  <c r="AS172" i="7"/>
  <c r="AU172" i="7" s="1"/>
  <c r="AP173" i="7" s="1"/>
  <c r="S40" i="6"/>
  <c r="K40" i="6"/>
  <c r="Y279" i="7"/>
  <c r="X279" i="7" s="1"/>
  <c r="AG279" i="7"/>
  <c r="AF279" i="7" s="1"/>
  <c r="I187" i="7" l="1"/>
  <c r="BB187" i="7" s="1"/>
  <c r="H246" i="6"/>
  <c r="R245" i="6"/>
  <c r="L40" i="6"/>
  <c r="AJ173" i="7"/>
  <c r="AK173" i="7" s="1"/>
  <c r="AM173" i="7" s="1"/>
  <c r="AH174" i="7" s="1"/>
  <c r="AG280" i="7"/>
  <c r="AF280" i="7" s="1"/>
  <c r="Y280" i="7"/>
  <c r="X280" i="7" s="1"/>
  <c r="AQ173" i="7"/>
  <c r="AW280" i="7"/>
  <c r="AV280" i="7" s="1"/>
  <c r="AO281" i="7"/>
  <c r="AN281" i="7" s="1"/>
  <c r="Q279" i="7"/>
  <c r="P279" i="7" s="1"/>
  <c r="H187" i="7" l="1"/>
  <c r="H247" i="6"/>
  <c r="R246" i="6"/>
  <c r="Q280" i="7"/>
  <c r="P280" i="7" s="1"/>
  <c r="AI174" i="7"/>
  <c r="AJ174" i="7" s="1"/>
  <c r="AG281" i="7"/>
  <c r="AF281" i="7" s="1"/>
  <c r="AR173" i="7"/>
  <c r="AS173" i="7" s="1"/>
  <c r="AU173" i="7" s="1"/>
  <c r="AP174" i="7" s="1"/>
  <c r="AO282" i="7"/>
  <c r="AN282" i="7"/>
  <c r="AD38" i="7"/>
  <c r="AE38" i="7" s="1"/>
  <c r="Z39" i="7" s="1"/>
  <c r="N38" i="7"/>
  <c r="O38" i="7" s="1"/>
  <c r="J39" i="7" s="1"/>
  <c r="F38" i="7"/>
  <c r="V38" i="7"/>
  <c r="W38" i="7" s="1"/>
  <c r="R39" i="7" s="1"/>
  <c r="AW281" i="7"/>
  <c r="AV281" i="7" s="1"/>
  <c r="Y281" i="7"/>
  <c r="X281" i="7" s="1"/>
  <c r="I188" i="7" l="1"/>
  <c r="BB188" i="7" s="1"/>
  <c r="H188" i="7"/>
  <c r="R247" i="6"/>
  <c r="H248" i="6"/>
  <c r="AW282" i="7"/>
  <c r="AV282" i="7" s="1"/>
  <c r="Y282" i="7"/>
  <c r="X282" i="7" s="1"/>
  <c r="AQ174" i="7"/>
  <c r="AG282" i="7"/>
  <c r="AF282" i="7" s="1"/>
  <c r="Q281" i="7"/>
  <c r="P281" i="7" s="1"/>
  <c r="AO283" i="7"/>
  <c r="AN283" i="7" s="1"/>
  <c r="AK174" i="7"/>
  <c r="AM174" i="7" s="1"/>
  <c r="AH175" i="7" s="1"/>
  <c r="AY38" i="7"/>
  <c r="M40" i="6" s="1"/>
  <c r="N40" i="6" s="1"/>
  <c r="O40" i="6" s="1"/>
  <c r="G38" i="7"/>
  <c r="K39" i="7"/>
  <c r="L39" i="7" s="1"/>
  <c r="S39" i="7"/>
  <c r="AA39" i="7"/>
  <c r="I189" i="7" l="1"/>
  <c r="BB189" i="7" s="1"/>
  <c r="H249" i="6"/>
  <c r="R248" i="6"/>
  <c r="AO284" i="7"/>
  <c r="AN284" i="7" s="1"/>
  <c r="AG283" i="7"/>
  <c r="AF283" i="7" s="1"/>
  <c r="Q282" i="7"/>
  <c r="P282" i="7"/>
  <c r="AW283" i="7"/>
  <c r="AV283" i="7" s="1"/>
  <c r="AB39" i="7"/>
  <c r="AC39" i="7" s="1"/>
  <c r="T39" i="7"/>
  <c r="U39" i="7" s="1"/>
  <c r="AR174" i="7"/>
  <c r="AS174" i="7" s="1"/>
  <c r="AU174" i="7" s="1"/>
  <c r="AP175" i="7" s="1"/>
  <c r="M39" i="7"/>
  <c r="AI175" i="7"/>
  <c r="Y283" i="7"/>
  <c r="X283" i="7" s="1"/>
  <c r="B39" i="7"/>
  <c r="AZ38" i="7"/>
  <c r="P40" i="6" s="1"/>
  <c r="T40" i="6" s="1"/>
  <c r="H189" i="7" l="1"/>
  <c r="I190" i="7" s="1"/>
  <c r="BB190" i="7" s="1"/>
  <c r="H250" i="6"/>
  <c r="R249" i="6"/>
  <c r="AW284" i="7"/>
  <c r="AV284" i="7" s="1"/>
  <c r="Y284" i="7"/>
  <c r="X284" i="7" s="1"/>
  <c r="AO285" i="7"/>
  <c r="AN285" i="7" s="1"/>
  <c r="AQ175" i="7"/>
  <c r="AR175" i="7" s="1"/>
  <c r="AG284" i="7"/>
  <c r="AF284" i="7" s="1"/>
  <c r="C39" i="7"/>
  <c r="BA39" i="7" s="1"/>
  <c r="Q283" i="7"/>
  <c r="P283" i="7" s="1"/>
  <c r="AJ175" i="7"/>
  <c r="AK175" i="7" s="1"/>
  <c r="AM175" i="7" s="1"/>
  <c r="AH176" i="7" s="1"/>
  <c r="H190" i="7" l="1"/>
  <c r="I191" i="7" s="1"/>
  <c r="BB191" i="7" s="1"/>
  <c r="R250" i="6"/>
  <c r="H251" i="6"/>
  <c r="Q284" i="7"/>
  <c r="P284" i="7" s="1"/>
  <c r="AO286" i="7"/>
  <c r="AN286" i="7" s="1"/>
  <c r="AG285" i="7"/>
  <c r="AF285" i="7" s="1"/>
  <c r="Y285" i="7"/>
  <c r="X285" i="7" s="1"/>
  <c r="AI176" i="7"/>
  <c r="AJ176" i="7" s="1"/>
  <c r="AK176" i="7" s="1"/>
  <c r="AM176" i="7" s="1"/>
  <c r="AH177" i="7" s="1"/>
  <c r="AW285" i="7"/>
  <c r="AV285" i="7" s="1"/>
  <c r="AS175" i="7"/>
  <c r="AU175" i="7" s="1"/>
  <c r="AP176" i="7" s="1"/>
  <c r="D39" i="7"/>
  <c r="AX39" i="7" s="1"/>
  <c r="E41" i="6" s="1"/>
  <c r="F41" i="6" s="1"/>
  <c r="H191" i="7" l="1"/>
  <c r="I192" i="7" s="1"/>
  <c r="R251" i="6"/>
  <c r="H252" i="6"/>
  <c r="AI177" i="7"/>
  <c r="Y286" i="7"/>
  <c r="X286" i="7" s="1"/>
  <c r="AO287" i="7"/>
  <c r="AN287" i="7" s="1"/>
  <c r="Q285" i="7"/>
  <c r="P285" i="7"/>
  <c r="Q41" i="6"/>
  <c r="I41" i="6"/>
  <c r="J41" i="6" s="1"/>
  <c r="AW286" i="7"/>
  <c r="AV286" i="7" s="1"/>
  <c r="E39" i="7"/>
  <c r="AQ176" i="7"/>
  <c r="AG286" i="7"/>
  <c r="AF286" i="7" s="1"/>
  <c r="BB192" i="7" l="1"/>
  <c r="H192" i="7"/>
  <c r="I193" i="7"/>
  <c r="BB193" i="7" s="1"/>
  <c r="H253" i="6"/>
  <c r="R252" i="6"/>
  <c r="AG287" i="7"/>
  <c r="AF287" i="7" s="1"/>
  <c r="AW287" i="7"/>
  <c r="AV287" i="7" s="1"/>
  <c r="K41" i="6"/>
  <c r="Q286" i="7"/>
  <c r="P286" i="7" s="1"/>
  <c r="Y287" i="7"/>
  <c r="X287" i="7" s="1"/>
  <c r="AJ177" i="7"/>
  <c r="AK177" i="7" s="1"/>
  <c r="AM177" i="7" s="1"/>
  <c r="AH178" i="7" s="1"/>
  <c r="S41" i="6"/>
  <c r="AO288" i="7"/>
  <c r="AN288" i="7"/>
  <c r="AR176" i="7"/>
  <c r="AS176" i="7" s="1"/>
  <c r="AU176" i="7" s="1"/>
  <c r="AP177" i="7" s="1"/>
  <c r="H193" i="7" l="1"/>
  <c r="R253" i="6"/>
  <c r="H254" i="6"/>
  <c r="AI178" i="7"/>
  <c r="AQ177" i="7"/>
  <c r="AR177" i="7" s="1"/>
  <c r="Y288" i="7"/>
  <c r="X288" i="7" s="1"/>
  <c r="Q287" i="7"/>
  <c r="P287" i="7" s="1"/>
  <c r="AW288" i="7"/>
  <c r="AV288" i="7" s="1"/>
  <c r="AG288" i="7"/>
  <c r="AF288" i="7" s="1"/>
  <c r="L41" i="6"/>
  <c r="AO289" i="7"/>
  <c r="AN289" i="7" s="1"/>
  <c r="I194" i="7" l="1"/>
  <c r="BB194" i="7" s="1"/>
  <c r="H194" i="7"/>
  <c r="R254" i="6"/>
  <c r="H255" i="6"/>
  <c r="AO290" i="7"/>
  <c r="AN290" i="7" s="1"/>
  <c r="AS177" i="7"/>
  <c r="AU177" i="7" s="1"/>
  <c r="AP178" i="7" s="1"/>
  <c r="AG289" i="7"/>
  <c r="AF289" i="7" s="1"/>
  <c r="AW289" i="7"/>
  <c r="AV289" i="7" s="1"/>
  <c r="Y289" i="7"/>
  <c r="X289" i="7" s="1"/>
  <c r="AD39" i="7"/>
  <c r="AE39" i="7" s="1"/>
  <c r="Z40" i="7" s="1"/>
  <c r="V39" i="7"/>
  <c r="W39" i="7" s="1"/>
  <c r="R40" i="7" s="1"/>
  <c r="F39" i="7"/>
  <c r="N39" i="7"/>
  <c r="O39" i="7" s="1"/>
  <c r="J40" i="7" s="1"/>
  <c r="Q288" i="7"/>
  <c r="P288" i="7" s="1"/>
  <c r="AJ178" i="7"/>
  <c r="AK178" i="7" s="1"/>
  <c r="AM178" i="7" s="1"/>
  <c r="AH179" i="7" s="1"/>
  <c r="I195" i="7" l="1"/>
  <c r="BB195" i="7" s="1"/>
  <c r="H256" i="6"/>
  <c r="R255" i="6"/>
  <c r="AO291" i="7"/>
  <c r="AN291" i="7" s="1"/>
  <c r="AI179" i="7"/>
  <c r="Y290" i="7"/>
  <c r="X290" i="7" s="1"/>
  <c r="AQ178" i="7"/>
  <c r="K40" i="7"/>
  <c r="L40" i="7" s="1"/>
  <c r="AG290" i="7"/>
  <c r="AF290" i="7" s="1"/>
  <c r="AY39" i="7"/>
  <c r="M41" i="6" s="1"/>
  <c r="N41" i="6" s="1"/>
  <c r="O41" i="6" s="1"/>
  <c r="G39" i="7"/>
  <c r="AA40" i="7"/>
  <c r="AW290" i="7"/>
  <c r="AV290" i="7" s="1"/>
  <c r="Q289" i="7"/>
  <c r="P289" i="7"/>
  <c r="S40" i="7"/>
  <c r="T40" i="7" s="1"/>
  <c r="H195" i="7" l="1"/>
  <c r="H257" i="6"/>
  <c r="R256" i="6"/>
  <c r="M40" i="7"/>
  <c r="AB40" i="7"/>
  <c r="AC40" i="7" s="1"/>
  <c r="U40" i="7"/>
  <c r="Q290" i="7"/>
  <c r="P290" i="7" s="1"/>
  <c r="AR178" i="7"/>
  <c r="AS178" i="7" s="1"/>
  <c r="AU178" i="7" s="1"/>
  <c r="AP179" i="7" s="1"/>
  <c r="Y291" i="7"/>
  <c r="X291" i="7" s="1"/>
  <c r="AO292" i="7"/>
  <c r="AN292" i="7" s="1"/>
  <c r="AW291" i="7"/>
  <c r="AV291" i="7" s="1"/>
  <c r="B40" i="7"/>
  <c r="AZ39" i="7"/>
  <c r="P41" i="6" s="1"/>
  <c r="T41" i="6" s="1"/>
  <c r="AJ179" i="7"/>
  <c r="AK179" i="7" s="1"/>
  <c r="AM179" i="7" s="1"/>
  <c r="AH180" i="7" s="1"/>
  <c r="AG291" i="7"/>
  <c r="AF291" i="7" s="1"/>
  <c r="I196" i="7" l="1"/>
  <c r="BB196" i="7" s="1"/>
  <c r="H258" i="6"/>
  <c r="R257" i="6"/>
  <c r="AG292" i="7"/>
  <c r="AF292" i="7" s="1"/>
  <c r="AI180" i="7"/>
  <c r="AO293" i="7"/>
  <c r="AN293" i="7" s="1"/>
  <c r="Y292" i="7"/>
  <c r="X292" i="7" s="1"/>
  <c r="Q291" i="7"/>
  <c r="P291" i="7" s="1"/>
  <c r="AQ179" i="7"/>
  <c r="AR179" i="7" s="1"/>
  <c r="AW292" i="7"/>
  <c r="AV292" i="7" s="1"/>
  <c r="C40" i="7"/>
  <c r="BA40" i="7" s="1"/>
  <c r="H196" i="7" l="1"/>
  <c r="I197" i="7"/>
  <c r="BB197" i="7" s="1"/>
  <c r="R258" i="6"/>
  <c r="H259" i="6"/>
  <c r="AS179" i="7"/>
  <c r="AU179" i="7" s="1"/>
  <c r="AP180" i="7" s="1"/>
  <c r="AQ180" i="7" s="1"/>
  <c r="Y293" i="7"/>
  <c r="X293" i="7" s="1"/>
  <c r="AW293" i="7"/>
  <c r="AV293" i="7" s="1"/>
  <c r="Q292" i="7"/>
  <c r="P292" i="7" s="1"/>
  <c r="AG293" i="7"/>
  <c r="AF293" i="7" s="1"/>
  <c r="AO294" i="7"/>
  <c r="AN294" i="7" s="1"/>
  <c r="D40" i="7"/>
  <c r="AX40" i="7" s="1"/>
  <c r="E42" i="6" s="1"/>
  <c r="F42" i="6" s="1"/>
  <c r="AJ180" i="7"/>
  <c r="AK180" i="7" s="1"/>
  <c r="AM180" i="7" s="1"/>
  <c r="AH181" i="7" s="1"/>
  <c r="H197" i="7" l="1"/>
  <c r="R259" i="6"/>
  <c r="H260" i="6"/>
  <c r="E40" i="7"/>
  <c r="AG294" i="7"/>
  <c r="AF294" i="7" s="1"/>
  <c r="AI181" i="7"/>
  <c r="AO295" i="7"/>
  <c r="AN295" i="7" s="1"/>
  <c r="Q293" i="7"/>
  <c r="P293" i="7" s="1"/>
  <c r="AW294" i="7"/>
  <c r="AV294" i="7" s="1"/>
  <c r="Y294" i="7"/>
  <c r="X294" i="7" s="1"/>
  <c r="AR180" i="7"/>
  <c r="AS180" i="7" s="1"/>
  <c r="AU180" i="7" s="1"/>
  <c r="AP181" i="7" s="1"/>
  <c r="I42" i="6"/>
  <c r="J42" i="6" s="1"/>
  <c r="Q42" i="6"/>
  <c r="I198" i="7" l="1"/>
  <c r="BB198" i="7" s="1"/>
  <c r="R260" i="6"/>
  <c r="H261" i="6"/>
  <c r="AW295" i="7"/>
  <c r="AV295" i="7" s="1"/>
  <c r="Y295" i="7"/>
  <c r="X295" i="7" s="1"/>
  <c r="Q294" i="7"/>
  <c r="P294" i="7" s="1"/>
  <c r="AO296" i="7"/>
  <c r="AN296" i="7" s="1"/>
  <c r="S42" i="6"/>
  <c r="AJ181" i="7"/>
  <c r="AK181" i="7" s="1"/>
  <c r="AM181" i="7" s="1"/>
  <c r="AH182" i="7" s="1"/>
  <c r="AG295" i="7"/>
  <c r="AF295" i="7" s="1"/>
  <c r="AQ181" i="7"/>
  <c r="AR181" i="7" s="1"/>
  <c r="AS181" i="7" s="1"/>
  <c r="AU181" i="7" s="1"/>
  <c r="AP182" i="7" s="1"/>
  <c r="K42" i="6"/>
  <c r="H198" i="7" l="1"/>
  <c r="I199" i="7" s="1"/>
  <c r="BB199" i="7" s="1"/>
  <c r="R261" i="6"/>
  <c r="H262" i="6"/>
  <c r="AQ182" i="7"/>
  <c r="AI182" i="7"/>
  <c r="Q295" i="7"/>
  <c r="P295" i="7" s="1"/>
  <c r="L42" i="6"/>
  <c r="AW296" i="7"/>
  <c r="AV296" i="7" s="1"/>
  <c r="AG296" i="7"/>
  <c r="AF296" i="7" s="1"/>
  <c r="AO297" i="7"/>
  <c r="AN297" i="7" s="1"/>
  <c r="Y296" i="7"/>
  <c r="X296" i="7" s="1"/>
  <c r="H199" i="7" l="1"/>
  <c r="R262" i="6"/>
  <c r="H263" i="6"/>
  <c r="AW297" i="7"/>
  <c r="AV297" i="7" s="1"/>
  <c r="Q296" i="7"/>
  <c r="P296" i="7" s="1"/>
  <c r="AD40" i="7"/>
  <c r="AE40" i="7" s="1"/>
  <c r="Z41" i="7" s="1"/>
  <c r="V40" i="7"/>
  <c r="W40" i="7" s="1"/>
  <c r="R41" i="7" s="1"/>
  <c r="F40" i="7"/>
  <c r="N40" i="7"/>
  <c r="O40" i="7" s="1"/>
  <c r="J41" i="7" s="1"/>
  <c r="AJ182" i="7"/>
  <c r="AK182" i="7" s="1"/>
  <c r="AM182" i="7" s="1"/>
  <c r="AH183" i="7" s="1"/>
  <c r="AG297" i="7"/>
  <c r="AF297" i="7" s="1"/>
  <c r="AR182" i="7"/>
  <c r="AS182" i="7" s="1"/>
  <c r="AU182" i="7" s="1"/>
  <c r="AP183" i="7" s="1"/>
  <c r="Y297" i="7"/>
  <c r="X297" i="7" s="1"/>
  <c r="AO298" i="7"/>
  <c r="AN298" i="7" s="1"/>
  <c r="I200" i="7" l="1"/>
  <c r="BB200" i="7" s="1"/>
  <c r="H264" i="6"/>
  <c r="R263" i="6"/>
  <c r="AG298" i="7"/>
  <c r="AF298" i="7" s="1"/>
  <c r="Y298" i="7"/>
  <c r="X298" i="7" s="1"/>
  <c r="AI183" i="7"/>
  <c r="AJ183" i="7" s="1"/>
  <c r="AK183" i="7" s="1"/>
  <c r="AM183" i="7" s="1"/>
  <c r="AH184" i="7" s="1"/>
  <c r="S41" i="7"/>
  <c r="T41" i="7" s="1"/>
  <c r="K41" i="7"/>
  <c r="L41" i="7" s="1"/>
  <c r="M41" i="7" s="1"/>
  <c r="AO299" i="7"/>
  <c r="AN299" i="7" s="1"/>
  <c r="AY40" i="7"/>
  <c r="M42" i="6" s="1"/>
  <c r="N42" i="6" s="1"/>
  <c r="O42" i="6" s="1"/>
  <c r="G40" i="7"/>
  <c r="AQ183" i="7"/>
  <c r="AR183" i="7" s="1"/>
  <c r="AW298" i="7"/>
  <c r="AV298" i="7" s="1"/>
  <c r="AA41" i="7"/>
  <c r="AB41" i="7" s="1"/>
  <c r="Q297" i="7"/>
  <c r="P297" i="7" s="1"/>
  <c r="H200" i="7" l="1"/>
  <c r="R264" i="6"/>
  <c r="H265" i="6"/>
  <c r="U41" i="7"/>
  <c r="AI184" i="7"/>
  <c r="AJ184" i="7" s="1"/>
  <c r="AW299" i="7"/>
  <c r="AV299" i="7" s="1"/>
  <c r="AO300" i="7"/>
  <c r="AN300" i="7" s="1"/>
  <c r="AC41" i="7"/>
  <c r="AS183" i="7"/>
  <c r="AU183" i="7" s="1"/>
  <c r="AP184" i="7" s="1"/>
  <c r="Q298" i="7"/>
  <c r="P298" i="7" s="1"/>
  <c r="Y299" i="7"/>
  <c r="X299" i="7" s="1"/>
  <c r="B41" i="7"/>
  <c r="AZ40" i="7"/>
  <c r="P42" i="6" s="1"/>
  <c r="T42" i="6" s="1"/>
  <c r="AG299" i="7"/>
  <c r="AF299" i="7" s="1"/>
  <c r="I201" i="7" l="1"/>
  <c r="BB201" i="7" s="1"/>
  <c r="R265" i="6"/>
  <c r="H266" i="6"/>
  <c r="Q299" i="7"/>
  <c r="P299" i="7" s="1"/>
  <c r="Y300" i="7"/>
  <c r="X300" i="7" s="1"/>
  <c r="AO301" i="7"/>
  <c r="AN301" i="7" s="1"/>
  <c r="AQ184" i="7"/>
  <c r="AR184" i="7" s="1"/>
  <c r="AS184" i="7" s="1"/>
  <c r="AU184" i="7" s="1"/>
  <c r="AP185" i="7" s="1"/>
  <c r="AW300" i="7"/>
  <c r="AV300" i="7" s="1"/>
  <c r="AG300" i="7"/>
  <c r="AF300" i="7" s="1"/>
  <c r="AK184" i="7"/>
  <c r="AM184" i="7" s="1"/>
  <c r="AH185" i="7" s="1"/>
  <c r="C41" i="7"/>
  <c r="BA41" i="7" s="1"/>
  <c r="H201" i="7" l="1"/>
  <c r="H267" i="6"/>
  <c r="R266" i="6"/>
  <c r="D41" i="7"/>
  <c r="AX41" i="7" s="1"/>
  <c r="E43" i="6" s="1"/>
  <c r="F43" i="6" s="1"/>
  <c r="Q43" i="6" s="1"/>
  <c r="AO302" i="7"/>
  <c r="AN302" i="7" s="1"/>
  <c r="AG301" i="7"/>
  <c r="AF301" i="7" s="1"/>
  <c r="AW301" i="7"/>
  <c r="AV301" i="7" s="1"/>
  <c r="AQ185" i="7"/>
  <c r="AR185" i="7" s="1"/>
  <c r="AS185" i="7" s="1"/>
  <c r="AU185" i="7" s="1"/>
  <c r="AP186" i="7" s="1"/>
  <c r="Y301" i="7"/>
  <c r="X301" i="7" s="1"/>
  <c r="Q300" i="7"/>
  <c r="P300" i="7" s="1"/>
  <c r="AI185" i="7"/>
  <c r="I202" i="7" l="1"/>
  <c r="BB202" i="7" s="1"/>
  <c r="R267" i="6"/>
  <c r="H268" i="6"/>
  <c r="E41" i="7"/>
  <c r="I43" i="6"/>
  <c r="J43" i="6" s="1"/>
  <c r="S43" i="6" s="1"/>
  <c r="Q301" i="7"/>
  <c r="P301" i="7" s="1"/>
  <c r="Y302" i="7"/>
  <c r="X302" i="7" s="1"/>
  <c r="AQ186" i="7"/>
  <c r="AR186" i="7" s="1"/>
  <c r="AJ185" i="7"/>
  <c r="AK185" i="7" s="1"/>
  <c r="AM185" i="7" s="1"/>
  <c r="AH186" i="7" s="1"/>
  <c r="AG302" i="7"/>
  <c r="AF302" i="7" s="1"/>
  <c r="AW302" i="7"/>
  <c r="AV302" i="7" s="1"/>
  <c r="H202" i="7" l="1"/>
  <c r="I203" i="7" s="1"/>
  <c r="BB203" i="7" s="1"/>
  <c r="R268" i="6"/>
  <c r="H269" i="6"/>
  <c r="K43" i="6"/>
  <c r="L43" i="6" s="1"/>
  <c r="AD41" i="7" s="1"/>
  <c r="AE41" i="7" s="1"/>
  <c r="Z42" i="7" s="1"/>
  <c r="AI186" i="7"/>
  <c r="Q302" i="7"/>
  <c r="P302" i="7" s="1"/>
  <c r="AS186" i="7"/>
  <c r="AU186" i="7" s="1"/>
  <c r="AP187" i="7" s="1"/>
  <c r="H203" i="7" l="1"/>
  <c r="I204" i="7"/>
  <c r="BB204" i="7" s="1"/>
  <c r="H204" i="7"/>
  <c r="R269" i="6"/>
  <c r="H270" i="6"/>
  <c r="F41" i="7"/>
  <c r="G41" i="7" s="1"/>
  <c r="V41" i="7"/>
  <c r="W41" i="7" s="1"/>
  <c r="R42" i="7" s="1"/>
  <c r="S42" i="7" s="1"/>
  <c r="T42" i="7" s="1"/>
  <c r="U42" i="7" s="1"/>
  <c r="N41" i="7"/>
  <c r="O41" i="7" s="1"/>
  <c r="J42" i="7" s="1"/>
  <c r="K42" i="7" s="1"/>
  <c r="AA42" i="7"/>
  <c r="AQ187" i="7"/>
  <c r="AR187" i="7" s="1"/>
  <c r="AS187" i="7" s="1"/>
  <c r="AU187" i="7" s="1"/>
  <c r="AP188" i="7" s="1"/>
  <c r="AJ186" i="7"/>
  <c r="AK186" i="7" s="1"/>
  <c r="AM186" i="7" s="1"/>
  <c r="AH187" i="7" s="1"/>
  <c r="I205" i="7" l="1"/>
  <c r="BB205" i="7" s="1"/>
  <c r="H271" i="6"/>
  <c r="R270" i="6"/>
  <c r="AY41" i="7"/>
  <c r="M43" i="6" s="1"/>
  <c r="N43" i="6" s="1"/>
  <c r="O43" i="6" s="1"/>
  <c r="AQ188" i="7"/>
  <c r="AR188" i="7" s="1"/>
  <c r="AS188" i="7" s="1"/>
  <c r="AU188" i="7" s="1"/>
  <c r="AP189" i="7" s="1"/>
  <c r="AI187" i="7"/>
  <c r="AJ187" i="7" s="1"/>
  <c r="AB42" i="7"/>
  <c r="AC42" i="7" s="1"/>
  <c r="B42" i="7"/>
  <c r="AZ41" i="7"/>
  <c r="P43" i="6" s="1"/>
  <c r="T43" i="6" s="1"/>
  <c r="L42" i="7"/>
  <c r="M42" i="7" s="1"/>
  <c r="H205" i="7" l="1"/>
  <c r="H206" i="7" s="1"/>
  <c r="I207" i="7" s="1"/>
  <c r="BB207" i="7" s="1"/>
  <c r="I206" i="7"/>
  <c r="BB206" i="7" s="1"/>
  <c r="R271" i="6"/>
  <c r="H272" i="6"/>
  <c r="AQ189" i="7"/>
  <c r="C42" i="7"/>
  <c r="BA42" i="7" s="1"/>
  <c r="AK187" i="7"/>
  <c r="AM187" i="7" s="1"/>
  <c r="AH188" i="7" s="1"/>
  <c r="H207" i="7" l="1"/>
  <c r="I208" i="7" s="1"/>
  <c r="BB208" i="7" s="1"/>
  <c r="H273" i="6"/>
  <c r="R272" i="6"/>
  <c r="D42" i="7"/>
  <c r="AX42" i="7" s="1"/>
  <c r="E44" i="6" s="1"/>
  <c r="F44" i="6" s="1"/>
  <c r="Q44" i="6" s="1"/>
  <c r="AI188" i="7"/>
  <c r="AR189" i="7"/>
  <c r="AS189" i="7" s="1"/>
  <c r="AU189" i="7" s="1"/>
  <c r="AP190" i="7" s="1"/>
  <c r="H208" i="7" l="1"/>
  <c r="I209" i="7" s="1"/>
  <c r="BB209" i="7" s="1"/>
  <c r="R273" i="6"/>
  <c r="H274" i="6"/>
  <c r="E42" i="7"/>
  <c r="I44" i="6"/>
  <c r="J44" i="6" s="1"/>
  <c r="S44" i="6" s="1"/>
  <c r="AQ190" i="7"/>
  <c r="AR190" i="7" s="1"/>
  <c r="AJ188" i="7"/>
  <c r="AK188" i="7" s="1"/>
  <c r="AM188" i="7" s="1"/>
  <c r="AH189" i="7" s="1"/>
  <c r="H209" i="7" l="1"/>
  <c r="R274" i="6"/>
  <c r="H275" i="6"/>
  <c r="K44" i="6"/>
  <c r="L44" i="6" s="1"/>
  <c r="AI189" i="7"/>
  <c r="I210" i="7"/>
  <c r="BB210" i="7" s="1"/>
  <c r="AS190" i="7"/>
  <c r="AU190" i="7" s="1"/>
  <c r="AP191" i="7" s="1"/>
  <c r="H210" i="7" l="1"/>
  <c r="I211" i="7" s="1"/>
  <c r="BB211" i="7" s="1"/>
  <c r="R275" i="6"/>
  <c r="H276" i="6"/>
  <c r="AQ191" i="7"/>
  <c r="AD42" i="7"/>
  <c r="AE42" i="7" s="1"/>
  <c r="Z43" i="7" s="1"/>
  <c r="V42" i="7"/>
  <c r="W42" i="7" s="1"/>
  <c r="R43" i="7" s="1"/>
  <c r="F42" i="7"/>
  <c r="N42" i="7"/>
  <c r="O42" i="7" s="1"/>
  <c r="J43" i="7" s="1"/>
  <c r="AJ189" i="7"/>
  <c r="AK189" i="7" s="1"/>
  <c r="AM189" i="7" s="1"/>
  <c r="AH190" i="7" s="1"/>
  <c r="H211" i="7" l="1"/>
  <c r="H277" i="6"/>
  <c r="R276" i="6"/>
  <c r="AR191" i="7"/>
  <c r="AS191" i="7" s="1"/>
  <c r="AU191" i="7" s="1"/>
  <c r="AP192" i="7" s="1"/>
  <c r="AQ192" i="7" s="1"/>
  <c r="AR192" i="7" s="1"/>
  <c r="AI190" i="7"/>
  <c r="I212" i="7"/>
  <c r="BB212" i="7" s="1"/>
  <c r="K43" i="7"/>
  <c r="S43" i="7"/>
  <c r="AY42" i="7"/>
  <c r="M44" i="6" s="1"/>
  <c r="N44" i="6" s="1"/>
  <c r="O44" i="6" s="1"/>
  <c r="G42" i="7"/>
  <c r="AA43" i="7"/>
  <c r="R277" i="6" l="1"/>
  <c r="H278" i="6"/>
  <c r="L43" i="7"/>
  <c r="M43" i="7" s="1"/>
  <c r="B43" i="7"/>
  <c r="AZ42" i="7"/>
  <c r="P44" i="6" s="1"/>
  <c r="T44" i="6" s="1"/>
  <c r="H212" i="7"/>
  <c r="AB43" i="7"/>
  <c r="AC43" i="7" s="1"/>
  <c r="AS192" i="7"/>
  <c r="AU192" i="7" s="1"/>
  <c r="AP193" i="7" s="1"/>
  <c r="AJ190" i="7"/>
  <c r="AK190" i="7" s="1"/>
  <c r="AM190" i="7" s="1"/>
  <c r="AH191" i="7" s="1"/>
  <c r="T43" i="7"/>
  <c r="U43" i="7" s="1"/>
  <c r="R278" i="6" l="1"/>
  <c r="H279" i="6"/>
  <c r="AI191" i="7"/>
  <c r="AJ191" i="7" s="1"/>
  <c r="AQ193" i="7"/>
  <c r="I213" i="7"/>
  <c r="BB213" i="7" s="1"/>
  <c r="C43" i="7"/>
  <c r="BA43" i="7" s="1"/>
  <c r="H280" i="6" l="1"/>
  <c r="R279" i="6"/>
  <c r="D43" i="7"/>
  <c r="AX43" i="7" s="1"/>
  <c r="E45" i="6" s="1"/>
  <c r="F45" i="6" s="1"/>
  <c r="H213" i="7"/>
  <c r="AR193" i="7"/>
  <c r="AS193" i="7" s="1"/>
  <c r="AU193" i="7" s="1"/>
  <c r="AP194" i="7" s="1"/>
  <c r="AK191" i="7"/>
  <c r="AM191" i="7" s="1"/>
  <c r="AH192" i="7" s="1"/>
  <c r="R280" i="6" l="1"/>
  <c r="H281" i="6"/>
  <c r="AQ194" i="7"/>
  <c r="I214" i="7"/>
  <c r="BB214" i="7" s="1"/>
  <c r="AI192" i="7"/>
  <c r="I45" i="6"/>
  <c r="J45" i="6" s="1"/>
  <c r="Q45" i="6"/>
  <c r="E43" i="7"/>
  <c r="H282" i="6" l="1"/>
  <c r="R281" i="6"/>
  <c r="S45" i="6"/>
  <c r="K45" i="6"/>
  <c r="AJ192" i="7"/>
  <c r="AK192" i="7" s="1"/>
  <c r="AM192" i="7" s="1"/>
  <c r="AH193" i="7" s="1"/>
  <c r="H214" i="7"/>
  <c r="AR194" i="7"/>
  <c r="AS194" i="7" s="1"/>
  <c r="AU194" i="7" s="1"/>
  <c r="AP195" i="7" s="1"/>
  <c r="H283" i="6" l="1"/>
  <c r="R282" i="6"/>
  <c r="AQ195" i="7"/>
  <c r="AR195" i="7" s="1"/>
  <c r="AS195" i="7" s="1"/>
  <c r="AU195" i="7" s="1"/>
  <c r="AP196" i="7" s="1"/>
  <c r="AI193" i="7"/>
  <c r="I215" i="7"/>
  <c r="BB215" i="7" s="1"/>
  <c r="H215" i="7"/>
  <c r="L45" i="6"/>
  <c r="H284" i="6" l="1"/>
  <c r="R283" i="6"/>
  <c r="AQ196" i="7"/>
  <c r="AR196" i="7" s="1"/>
  <c r="I216" i="7"/>
  <c r="BB216" i="7" s="1"/>
  <c r="AD43" i="7"/>
  <c r="AE43" i="7" s="1"/>
  <c r="Z44" i="7" s="1"/>
  <c r="N43" i="7"/>
  <c r="O43" i="7" s="1"/>
  <c r="J44" i="7" s="1"/>
  <c r="F43" i="7"/>
  <c r="V43" i="7"/>
  <c r="W43" i="7" s="1"/>
  <c r="R44" i="7" s="1"/>
  <c r="AJ193" i="7"/>
  <c r="AK193" i="7" s="1"/>
  <c r="AM193" i="7" s="1"/>
  <c r="AH194" i="7" s="1"/>
  <c r="H216" i="7" l="1"/>
  <c r="H285" i="6"/>
  <c r="R284" i="6"/>
  <c r="AI194" i="7"/>
  <c r="AY43" i="7"/>
  <c r="M45" i="6" s="1"/>
  <c r="N45" i="6" s="1"/>
  <c r="O45" i="6" s="1"/>
  <c r="G43" i="7"/>
  <c r="S44" i="7"/>
  <c r="T44" i="7" s="1"/>
  <c r="U44" i="7" s="1"/>
  <c r="AA44" i="7"/>
  <c r="I217" i="7"/>
  <c r="BB217" i="7" s="1"/>
  <c r="AS196" i="7"/>
  <c r="AU196" i="7" s="1"/>
  <c r="AP197" i="7" s="1"/>
  <c r="K44" i="7"/>
  <c r="L44" i="7" s="1"/>
  <c r="M44" i="7" s="1"/>
  <c r="H217" i="7" l="1"/>
  <c r="H286" i="6"/>
  <c r="R285" i="6"/>
  <c r="I218" i="7"/>
  <c r="BB218" i="7" s="1"/>
  <c r="AQ197" i="7"/>
  <c r="AB44" i="7"/>
  <c r="AC44" i="7" s="1"/>
  <c r="B44" i="7"/>
  <c r="AZ43" i="7"/>
  <c r="P45" i="6" s="1"/>
  <c r="T45" i="6" s="1"/>
  <c r="AJ194" i="7"/>
  <c r="AK194" i="7" s="1"/>
  <c r="AM194" i="7" s="1"/>
  <c r="AH195" i="7" s="1"/>
  <c r="H218" i="7" l="1"/>
  <c r="R286" i="6"/>
  <c r="H287" i="6"/>
  <c r="AI195" i="7"/>
  <c r="AJ195" i="7" s="1"/>
  <c r="I219" i="7"/>
  <c r="BB219" i="7" s="1"/>
  <c r="C44" i="7"/>
  <c r="BA44" i="7" s="1"/>
  <c r="AR197" i="7"/>
  <c r="AS197" i="7" s="1"/>
  <c r="AU197" i="7" s="1"/>
  <c r="AP198" i="7" s="1"/>
  <c r="H219" i="7" l="1"/>
  <c r="H288" i="6"/>
  <c r="R287" i="6"/>
  <c r="AK195" i="7"/>
  <c r="AM195" i="7" s="1"/>
  <c r="AH196" i="7" s="1"/>
  <c r="AQ198" i="7"/>
  <c r="AR198" i="7" s="1"/>
  <c r="AS198" i="7" s="1"/>
  <c r="AU198" i="7" s="1"/>
  <c r="AP199" i="7" s="1"/>
  <c r="I220" i="7"/>
  <c r="BB220" i="7" s="1"/>
  <c r="D44" i="7"/>
  <c r="H220" i="7" l="1"/>
  <c r="I221" i="7" s="1"/>
  <c r="BB221" i="7" s="1"/>
  <c r="R288" i="6"/>
  <c r="H289" i="6"/>
  <c r="AI196" i="7"/>
  <c r="AJ196" i="7" s="1"/>
  <c r="AK196" i="7" s="1"/>
  <c r="AM196" i="7" s="1"/>
  <c r="AH197" i="7" s="1"/>
  <c r="AI197" i="7" s="1"/>
  <c r="AQ199" i="7"/>
  <c r="AX44" i="7"/>
  <c r="E46" i="6" s="1"/>
  <c r="F46" i="6" s="1"/>
  <c r="E44" i="7"/>
  <c r="R289" i="6" l="1"/>
  <c r="H290" i="6"/>
  <c r="H221" i="7"/>
  <c r="AR199" i="7"/>
  <c r="AS199" i="7" s="1"/>
  <c r="AU199" i="7" s="1"/>
  <c r="AP200" i="7" s="1"/>
  <c r="Q46" i="6"/>
  <c r="I46" i="6"/>
  <c r="J46" i="6" s="1"/>
  <c r="AJ197" i="7"/>
  <c r="AK197" i="7" s="1"/>
  <c r="AM197" i="7" s="1"/>
  <c r="AH198" i="7" s="1"/>
  <c r="H291" i="6" l="1"/>
  <c r="R290" i="6"/>
  <c r="AI198" i="7"/>
  <c r="AQ200" i="7"/>
  <c r="AR200" i="7" s="1"/>
  <c r="AS200" i="7" s="1"/>
  <c r="AU200" i="7" s="1"/>
  <c r="AP201" i="7" s="1"/>
  <c r="S46" i="6"/>
  <c r="K46" i="6"/>
  <c r="I222" i="7"/>
  <c r="BB222" i="7" s="1"/>
  <c r="H222" i="7" l="1"/>
  <c r="R291" i="6"/>
  <c r="H292" i="6"/>
  <c r="AQ201" i="7"/>
  <c r="AR201" i="7" s="1"/>
  <c r="AS201" i="7" s="1"/>
  <c r="AU201" i="7" s="1"/>
  <c r="AP202" i="7" s="1"/>
  <c r="L46" i="6"/>
  <c r="I223" i="7"/>
  <c r="BB223" i="7" s="1"/>
  <c r="AJ198" i="7"/>
  <c r="AK198" i="7" s="1"/>
  <c r="AM198" i="7" s="1"/>
  <c r="AH199" i="7" s="1"/>
  <c r="H223" i="7" l="1"/>
  <c r="R292" i="6"/>
  <c r="H293" i="6"/>
  <c r="AI199" i="7"/>
  <c r="AQ202" i="7"/>
  <c r="AR202" i="7" s="1"/>
  <c r="AD44" i="7"/>
  <c r="AE44" i="7" s="1"/>
  <c r="Z45" i="7" s="1"/>
  <c r="N44" i="7"/>
  <c r="O44" i="7" s="1"/>
  <c r="J45" i="7" s="1"/>
  <c r="V44" i="7"/>
  <c r="W44" i="7" s="1"/>
  <c r="R45" i="7" s="1"/>
  <c r="F44" i="7"/>
  <c r="I224" i="7"/>
  <c r="BB224" i="7" s="1"/>
  <c r="H294" i="6" l="1"/>
  <c r="R293" i="6"/>
  <c r="H224" i="7"/>
  <c r="AY44" i="7"/>
  <c r="M46" i="6" s="1"/>
  <c r="N46" i="6" s="1"/>
  <c r="O46" i="6" s="1"/>
  <c r="G44" i="7"/>
  <c r="K45" i="7"/>
  <c r="AS202" i="7"/>
  <c r="AU202" i="7" s="1"/>
  <c r="AP203" i="7" s="1"/>
  <c r="S45" i="7"/>
  <c r="T45" i="7" s="1"/>
  <c r="AJ199" i="7"/>
  <c r="AK199" i="7" s="1"/>
  <c r="AM199" i="7" s="1"/>
  <c r="AH200" i="7" s="1"/>
  <c r="AA45" i="7"/>
  <c r="R294" i="6" l="1"/>
  <c r="H295" i="6"/>
  <c r="AI200" i="7"/>
  <c r="AQ203" i="7"/>
  <c r="AR203" i="7" s="1"/>
  <c r="AS203" i="7" s="1"/>
  <c r="AU203" i="7" s="1"/>
  <c r="AP204" i="7" s="1"/>
  <c r="L45" i="7"/>
  <c r="M45" i="7" s="1"/>
  <c r="AZ44" i="7"/>
  <c r="P46" i="6" s="1"/>
  <c r="T46" i="6" s="1"/>
  <c r="B45" i="7"/>
  <c r="AB45" i="7"/>
  <c r="AC45" i="7" s="1"/>
  <c r="U45" i="7"/>
  <c r="I225" i="7"/>
  <c r="BB225" i="7" s="1"/>
  <c r="H296" i="6" l="1"/>
  <c r="R295" i="6"/>
  <c r="AQ204" i="7"/>
  <c r="C45" i="7"/>
  <c r="BA45" i="7" s="1"/>
  <c r="H225" i="7"/>
  <c r="AJ200" i="7"/>
  <c r="AK200" i="7" s="1"/>
  <c r="AM200" i="7" s="1"/>
  <c r="AH201" i="7" s="1"/>
  <c r="R296" i="6" l="1"/>
  <c r="H297" i="6"/>
  <c r="AI201" i="7"/>
  <c r="I226" i="7"/>
  <c r="BB226" i="7" s="1"/>
  <c r="D45" i="7"/>
  <c r="AX45" i="7" s="1"/>
  <c r="E47" i="6" s="1"/>
  <c r="F47" i="6" s="1"/>
  <c r="AR204" i="7"/>
  <c r="AS204" i="7" s="1"/>
  <c r="AU204" i="7" s="1"/>
  <c r="AP205" i="7" s="1"/>
  <c r="H226" i="7" l="1"/>
  <c r="I227" i="7" s="1"/>
  <c r="BB227" i="7" s="1"/>
  <c r="R297" i="6"/>
  <c r="H298" i="6"/>
  <c r="AQ205" i="7"/>
  <c r="Q47" i="6"/>
  <c r="I47" i="6"/>
  <c r="J47" i="6" s="1"/>
  <c r="E45" i="7"/>
  <c r="AJ201" i="7"/>
  <c r="AK201" i="7" s="1"/>
  <c r="AM201" i="7" s="1"/>
  <c r="AH202" i="7" s="1"/>
  <c r="H227" i="7" l="1"/>
  <c r="R298" i="6"/>
  <c r="H299" i="6"/>
  <c r="AI202" i="7"/>
  <c r="S47" i="6"/>
  <c r="K47" i="6"/>
  <c r="AR205" i="7"/>
  <c r="AS205" i="7" s="1"/>
  <c r="AU205" i="7" s="1"/>
  <c r="AP206" i="7" s="1"/>
  <c r="I228" i="7" l="1"/>
  <c r="BB228" i="7" s="1"/>
  <c r="H300" i="6"/>
  <c r="R299" i="6"/>
  <c r="AQ206" i="7"/>
  <c r="L47" i="6"/>
  <c r="AJ202" i="7"/>
  <c r="AK202" i="7" s="1"/>
  <c r="AM202" i="7" s="1"/>
  <c r="AH203" i="7" s="1"/>
  <c r="H228" i="7" l="1"/>
  <c r="I229" i="7" s="1"/>
  <c r="BB229" i="7" s="1"/>
  <c r="R300" i="6"/>
  <c r="H301" i="6"/>
  <c r="AI203" i="7"/>
  <c r="AJ203" i="7" s="1"/>
  <c r="AD45" i="7"/>
  <c r="AE45" i="7" s="1"/>
  <c r="Z46" i="7" s="1"/>
  <c r="V45" i="7"/>
  <c r="W45" i="7" s="1"/>
  <c r="R46" i="7" s="1"/>
  <c r="N45" i="7"/>
  <c r="O45" i="7" s="1"/>
  <c r="J46" i="7" s="1"/>
  <c r="F45" i="7"/>
  <c r="AR206" i="7"/>
  <c r="AS206" i="7" s="1"/>
  <c r="AU206" i="7" s="1"/>
  <c r="AP207" i="7" s="1"/>
  <c r="H229" i="7" l="1"/>
  <c r="I230" i="7" s="1"/>
  <c r="BB230" i="7" s="1"/>
  <c r="R301" i="6"/>
  <c r="H302" i="6"/>
  <c r="AQ207" i="7"/>
  <c r="AR207" i="7" s="1"/>
  <c r="AS207" i="7" s="1"/>
  <c r="AU207" i="7" s="1"/>
  <c r="AP208" i="7" s="1"/>
  <c r="K46" i="7"/>
  <c r="S46" i="7"/>
  <c r="T46" i="7" s="1"/>
  <c r="AA46" i="7"/>
  <c r="AB46" i="7" s="1"/>
  <c r="AY45" i="7"/>
  <c r="M47" i="6" s="1"/>
  <c r="N47" i="6" s="1"/>
  <c r="O47" i="6" s="1"/>
  <c r="G45" i="7"/>
  <c r="AK203" i="7"/>
  <c r="AM203" i="7" s="1"/>
  <c r="AH204" i="7" s="1"/>
  <c r="H303" i="6" l="1"/>
  <c r="R302" i="6"/>
  <c r="AQ208" i="7"/>
  <c r="AR208" i="7" s="1"/>
  <c r="AC46" i="7"/>
  <c r="U46" i="7"/>
  <c r="L46" i="7"/>
  <c r="M46" i="7" s="1"/>
  <c r="H230" i="7"/>
  <c r="AZ45" i="7"/>
  <c r="P47" i="6" s="1"/>
  <c r="T47" i="6" s="1"/>
  <c r="B46" i="7"/>
  <c r="AI204" i="7"/>
  <c r="AJ204" i="7" s="1"/>
  <c r="AK204" i="7" s="1"/>
  <c r="AM204" i="7" s="1"/>
  <c r="AH205" i="7" s="1"/>
  <c r="R303" i="6" l="1"/>
  <c r="H304" i="6"/>
  <c r="R304" i="6" s="1"/>
  <c r="B17" i="2" s="1" a="1"/>
  <c r="B17" i="2" s="1"/>
  <c r="AI205" i="7"/>
  <c r="C46" i="7"/>
  <c r="BA46" i="7" s="1"/>
  <c r="I231" i="7"/>
  <c r="BB231" i="7" s="1"/>
  <c r="AS208" i="7"/>
  <c r="AU208" i="7" s="1"/>
  <c r="AP209" i="7" s="1"/>
  <c r="H231" i="7" l="1"/>
  <c r="I232" i="7" s="1"/>
  <c r="BB232" i="7" s="1"/>
  <c r="AQ209" i="7"/>
  <c r="AR209" i="7" s="1"/>
  <c r="D46" i="7"/>
  <c r="AX46" i="7" s="1"/>
  <c r="E48" i="6" s="1"/>
  <c r="F48" i="6" s="1"/>
  <c r="AJ205" i="7"/>
  <c r="AK205" i="7" s="1"/>
  <c r="AM205" i="7" s="1"/>
  <c r="AH206" i="7" s="1"/>
  <c r="E46" i="7" l="1"/>
  <c r="AI206" i="7"/>
  <c r="AJ206" i="7" s="1"/>
  <c r="AK206" i="7" s="1"/>
  <c r="AM206" i="7" s="1"/>
  <c r="AH207" i="7" s="1"/>
  <c r="AS209" i="7"/>
  <c r="AU209" i="7" s="1"/>
  <c r="AP210" i="7" s="1"/>
  <c r="I48" i="6"/>
  <c r="J48" i="6" s="1"/>
  <c r="Q48" i="6"/>
  <c r="H232" i="7"/>
  <c r="AI207" i="7" l="1"/>
  <c r="I233" i="7"/>
  <c r="BB233" i="7" s="1"/>
  <c r="K48" i="6"/>
  <c r="S48" i="6"/>
  <c r="AQ210" i="7"/>
  <c r="L48" i="6" l="1"/>
  <c r="AJ207" i="7"/>
  <c r="AK207" i="7" s="1"/>
  <c r="AM207" i="7" s="1"/>
  <c r="AH208" i="7" s="1"/>
  <c r="AR210" i="7"/>
  <c r="AS210" i="7" s="1"/>
  <c r="AU210" i="7" s="1"/>
  <c r="AP211" i="7" s="1"/>
  <c r="H233" i="7"/>
  <c r="AQ211" i="7" l="1"/>
  <c r="AI208" i="7"/>
  <c r="AJ208" i="7" s="1"/>
  <c r="I234" i="7"/>
  <c r="BB234" i="7" s="1"/>
  <c r="AD46" i="7"/>
  <c r="AE46" i="7" s="1"/>
  <c r="Z47" i="7" s="1"/>
  <c r="N46" i="7"/>
  <c r="O46" i="7" s="1"/>
  <c r="J47" i="7" s="1"/>
  <c r="F46" i="7"/>
  <c r="V46" i="7"/>
  <c r="W46" i="7" s="1"/>
  <c r="R47" i="7" s="1"/>
  <c r="S47" i="7" l="1"/>
  <c r="AY46" i="7"/>
  <c r="M48" i="6" s="1"/>
  <c r="N48" i="6" s="1"/>
  <c r="O48" i="6" s="1"/>
  <c r="G46" i="7"/>
  <c r="K47" i="7"/>
  <c r="H234" i="7"/>
  <c r="AK208" i="7"/>
  <c r="AM208" i="7" s="1"/>
  <c r="AH209" i="7" s="1"/>
  <c r="AA47" i="7"/>
  <c r="AB47" i="7" s="1"/>
  <c r="AR211" i="7"/>
  <c r="AS211" i="7" s="1"/>
  <c r="AU211" i="7" s="1"/>
  <c r="AP212" i="7" s="1"/>
  <c r="AQ212" i="7" l="1"/>
  <c r="AC47" i="7"/>
  <c r="AI209" i="7"/>
  <c r="AJ209" i="7" s="1"/>
  <c r="I235" i="7"/>
  <c r="BB235" i="7" s="1"/>
  <c r="L47" i="7"/>
  <c r="M47" i="7" s="1"/>
  <c r="B47" i="7"/>
  <c r="AZ46" i="7"/>
  <c r="P48" i="6" s="1"/>
  <c r="T48" i="6" s="1"/>
  <c r="T47" i="7"/>
  <c r="U47" i="7" s="1"/>
  <c r="H235" i="7" l="1"/>
  <c r="AK209" i="7"/>
  <c r="AM209" i="7" s="1"/>
  <c r="AH210" i="7" s="1"/>
  <c r="C47" i="7"/>
  <c r="BA47" i="7" s="1"/>
  <c r="AR212" i="7"/>
  <c r="AS212" i="7" s="1"/>
  <c r="AU212" i="7" s="1"/>
  <c r="AP213" i="7" s="1"/>
  <c r="AQ213" i="7" l="1"/>
  <c r="AI210" i="7"/>
  <c r="AJ210" i="7" s="1"/>
  <c r="D47" i="7"/>
  <c r="AX47" i="7" s="1"/>
  <c r="E49" i="6" s="1"/>
  <c r="F49" i="6" s="1"/>
  <c r="I236" i="7"/>
  <c r="BB236" i="7" s="1"/>
  <c r="E47" i="7" l="1"/>
  <c r="H236" i="7"/>
  <c r="I49" i="6"/>
  <c r="J49" i="6" s="1"/>
  <c r="Q49" i="6"/>
  <c r="AK210" i="7"/>
  <c r="AM210" i="7" s="1"/>
  <c r="AH211" i="7" s="1"/>
  <c r="AR213" i="7"/>
  <c r="AS213" i="7" s="1"/>
  <c r="AU213" i="7" s="1"/>
  <c r="AP214" i="7" s="1"/>
  <c r="K49" i="6" l="1"/>
  <c r="L49" i="6" s="1"/>
  <c r="AQ214" i="7"/>
  <c r="AI211" i="7"/>
  <c r="AJ211" i="7" s="1"/>
  <c r="S49" i="6"/>
  <c r="I237" i="7"/>
  <c r="BB237" i="7" s="1"/>
  <c r="AK211" i="7" l="1"/>
  <c r="AM211" i="7" s="1"/>
  <c r="AH212" i="7" s="1"/>
  <c r="H237" i="7"/>
  <c r="AD47" i="7"/>
  <c r="AE47" i="7" s="1"/>
  <c r="Z48" i="7" s="1"/>
  <c r="N47" i="7"/>
  <c r="O47" i="7" s="1"/>
  <c r="J48" i="7" s="1"/>
  <c r="V47" i="7"/>
  <c r="W47" i="7" s="1"/>
  <c r="R48" i="7" s="1"/>
  <c r="F47" i="7"/>
  <c r="AR214" i="7"/>
  <c r="AS214" i="7" s="1"/>
  <c r="AU214" i="7" s="1"/>
  <c r="AP215" i="7" s="1"/>
  <c r="AQ215" i="7" l="1"/>
  <c r="K48" i="7"/>
  <c r="L48" i="7" s="1"/>
  <c r="S48" i="7"/>
  <c r="T48" i="7" s="1"/>
  <c r="U48" i="7" s="1"/>
  <c r="AY47" i="7"/>
  <c r="M49" i="6" s="1"/>
  <c r="N49" i="6" s="1"/>
  <c r="O49" i="6" s="1"/>
  <c r="G47" i="7"/>
  <c r="AA48" i="7"/>
  <c r="AB48" i="7" s="1"/>
  <c r="I238" i="7"/>
  <c r="BB238" i="7" s="1"/>
  <c r="H238" i="7"/>
  <c r="AI212" i="7"/>
  <c r="AJ212" i="7" s="1"/>
  <c r="M48" i="7" l="1"/>
  <c r="I239" i="7"/>
  <c r="BB239" i="7" s="1"/>
  <c r="AC48" i="7"/>
  <c r="AR215" i="7"/>
  <c r="AS215" i="7" s="1"/>
  <c r="AU215" i="7" s="1"/>
  <c r="AP216" i="7" s="1"/>
  <c r="B48" i="7"/>
  <c r="AZ47" i="7"/>
  <c r="P49" i="6" s="1"/>
  <c r="T49" i="6" s="1"/>
  <c r="AK212" i="7"/>
  <c r="AM212" i="7" s="1"/>
  <c r="AH213" i="7" s="1"/>
  <c r="H239" i="7" l="1"/>
  <c r="AQ216" i="7"/>
  <c r="AI213" i="7"/>
  <c r="AJ213" i="7" s="1"/>
  <c r="AK213" i="7" s="1"/>
  <c r="AM213" i="7" s="1"/>
  <c r="AH214" i="7" s="1"/>
  <c r="C48" i="7"/>
  <c r="BA48" i="7" s="1"/>
  <c r="I240" i="7"/>
  <c r="BB240" i="7" s="1"/>
  <c r="H240" i="7"/>
  <c r="D48" i="7" l="1"/>
  <c r="AX48" i="7" s="1"/>
  <c r="E50" i="6" s="1"/>
  <c r="F50" i="6" s="1"/>
  <c r="Q50" i="6" s="1"/>
  <c r="AI214" i="7"/>
  <c r="AJ214" i="7" s="1"/>
  <c r="I241" i="7"/>
  <c r="BB241" i="7" s="1"/>
  <c r="AR216" i="7"/>
  <c r="AS216" i="7" s="1"/>
  <c r="AU216" i="7" s="1"/>
  <c r="AP217" i="7" s="1"/>
  <c r="I50" i="6" l="1"/>
  <c r="J50" i="6" s="1"/>
  <c r="S50" i="6" s="1"/>
  <c r="E48" i="7"/>
  <c r="AK214" i="7"/>
  <c r="AM214" i="7" s="1"/>
  <c r="AH215" i="7" s="1"/>
  <c r="AI215" i="7" s="1"/>
  <c r="AJ215" i="7" s="1"/>
  <c r="AQ217" i="7"/>
  <c r="H241" i="7"/>
  <c r="K50" i="6" l="1"/>
  <c r="L50" i="6" s="1"/>
  <c r="N48" i="7" s="1"/>
  <c r="O48" i="7" s="1"/>
  <c r="J49" i="7" s="1"/>
  <c r="AD48" i="7"/>
  <c r="AE48" i="7" s="1"/>
  <c r="Z49" i="7" s="1"/>
  <c r="AK215" i="7"/>
  <c r="AM215" i="7" s="1"/>
  <c r="AH216" i="7" s="1"/>
  <c r="AR217" i="7"/>
  <c r="AS217" i="7" s="1"/>
  <c r="AU217" i="7" s="1"/>
  <c r="AP218" i="7" s="1"/>
  <c r="I242" i="7"/>
  <c r="BB242" i="7" s="1"/>
  <c r="V48" i="7" l="1"/>
  <c r="W48" i="7" s="1"/>
  <c r="R49" i="7" s="1"/>
  <c r="S49" i="7" s="1"/>
  <c r="F48" i="7"/>
  <c r="AQ218" i="7"/>
  <c r="AR218" i="7" s="1"/>
  <c r="AS218" i="7" s="1"/>
  <c r="AU218" i="7" s="1"/>
  <c r="AP219" i="7" s="1"/>
  <c r="H242" i="7"/>
  <c r="AI216" i="7"/>
  <c r="AJ216" i="7" s="1"/>
  <c r="AK216" i="7" s="1"/>
  <c r="AM216" i="7" s="1"/>
  <c r="AH217" i="7" s="1"/>
  <c r="K49" i="7"/>
  <c r="G48" i="7"/>
  <c r="AA49" i="7"/>
  <c r="AB49" i="7" s="1"/>
  <c r="AC49" i="7" s="1"/>
  <c r="AY48" i="7" l="1"/>
  <c r="M50" i="6" s="1"/>
  <c r="N50" i="6" s="1"/>
  <c r="O50" i="6" s="1"/>
  <c r="AI217" i="7"/>
  <c r="AQ219" i="7"/>
  <c r="AZ48" i="7"/>
  <c r="P50" i="6" s="1"/>
  <c r="T50" i="6" s="1"/>
  <c r="B49" i="7"/>
  <c r="L49" i="7"/>
  <c r="M49" i="7" s="1"/>
  <c r="T49" i="7"/>
  <c r="U49" i="7" s="1"/>
  <c r="I243" i="7"/>
  <c r="BB243" i="7" s="1"/>
  <c r="H243" i="7" l="1"/>
  <c r="C49" i="7"/>
  <c r="BA49" i="7" s="1"/>
  <c r="AR219" i="7"/>
  <c r="AS219" i="7" s="1"/>
  <c r="AU219" i="7" s="1"/>
  <c r="AP220" i="7" s="1"/>
  <c r="AJ217" i="7"/>
  <c r="AK217" i="7" s="1"/>
  <c r="AM217" i="7" s="1"/>
  <c r="AH218" i="7" s="1"/>
  <c r="D49" i="7" l="1"/>
  <c r="AX49" i="7" s="1"/>
  <c r="E51" i="6" s="1"/>
  <c r="F51" i="6" s="1"/>
  <c r="Q51" i="6" s="1"/>
  <c r="AI218" i="7"/>
  <c r="AJ218" i="7" s="1"/>
  <c r="AK218" i="7" s="1"/>
  <c r="AM218" i="7" s="1"/>
  <c r="AH219" i="7" s="1"/>
  <c r="AQ220" i="7"/>
  <c r="I244" i="7"/>
  <c r="BB244" i="7" s="1"/>
  <c r="E49" i="7" l="1"/>
  <c r="I51" i="6"/>
  <c r="J51" i="6" s="1"/>
  <c r="S51" i="6" s="1"/>
  <c r="AI219" i="7"/>
  <c r="H244" i="7"/>
  <c r="AR220" i="7"/>
  <c r="AS220" i="7" s="1"/>
  <c r="AU220" i="7" s="1"/>
  <c r="AP221" i="7" s="1"/>
  <c r="K51" i="6" l="1"/>
  <c r="L51" i="6" s="1"/>
  <c r="AQ221" i="7"/>
  <c r="AR221" i="7" s="1"/>
  <c r="I245" i="7"/>
  <c r="BB245" i="7" s="1"/>
  <c r="AJ219" i="7"/>
  <c r="AK219" i="7" s="1"/>
  <c r="AM219" i="7" s="1"/>
  <c r="AH220" i="7" s="1"/>
  <c r="H245" i="7" l="1"/>
  <c r="I246" i="7" s="1"/>
  <c r="BB246" i="7" s="1"/>
  <c r="AI220" i="7"/>
  <c r="AD49" i="7"/>
  <c r="AE49" i="7" s="1"/>
  <c r="Z50" i="7" s="1"/>
  <c r="N49" i="7"/>
  <c r="O49" i="7" s="1"/>
  <c r="J50" i="7" s="1"/>
  <c r="F49" i="7"/>
  <c r="V49" i="7"/>
  <c r="W49" i="7" s="1"/>
  <c r="R50" i="7" s="1"/>
  <c r="AS221" i="7"/>
  <c r="AU221" i="7" s="1"/>
  <c r="AP222" i="7" s="1"/>
  <c r="H246" i="7" l="1"/>
  <c r="S50" i="7"/>
  <c r="AY49" i="7"/>
  <c r="M51" i="6" s="1"/>
  <c r="N51" i="6" s="1"/>
  <c r="O51" i="6" s="1"/>
  <c r="G49" i="7"/>
  <c r="AA50" i="7"/>
  <c r="AQ222" i="7"/>
  <c r="AR222" i="7" s="1"/>
  <c r="I247" i="7"/>
  <c r="BB247" i="7" s="1"/>
  <c r="K50" i="7"/>
  <c r="L50" i="7" s="1"/>
  <c r="M50" i="7" s="1"/>
  <c r="AJ220" i="7"/>
  <c r="AK220" i="7" s="1"/>
  <c r="AM220" i="7" s="1"/>
  <c r="AH221" i="7" s="1"/>
  <c r="T50" i="7" l="1"/>
  <c r="U50" i="7" s="1"/>
  <c r="AI221" i="7"/>
  <c r="AS222" i="7"/>
  <c r="AU222" i="7" s="1"/>
  <c r="AP223" i="7" s="1"/>
  <c r="AB50" i="7"/>
  <c r="AC50" i="7" s="1"/>
  <c r="H247" i="7"/>
  <c r="B50" i="7"/>
  <c r="AZ49" i="7"/>
  <c r="P51" i="6" s="1"/>
  <c r="T51" i="6" s="1"/>
  <c r="C50" i="7" l="1"/>
  <c r="BA50" i="7" s="1"/>
  <c r="I248" i="7"/>
  <c r="BB248" i="7" s="1"/>
  <c r="AQ223" i="7"/>
  <c r="AJ221" i="7"/>
  <c r="AK221" i="7" s="1"/>
  <c r="AM221" i="7" s="1"/>
  <c r="AH222" i="7" s="1"/>
  <c r="AI222" i="7" l="1"/>
  <c r="AR223" i="7"/>
  <c r="AS223" i="7" s="1"/>
  <c r="AU223" i="7" s="1"/>
  <c r="AP224" i="7" s="1"/>
  <c r="H248" i="7"/>
  <c r="D50" i="7"/>
  <c r="AX50" i="7" s="1"/>
  <c r="E52" i="6" s="1"/>
  <c r="F52" i="6" s="1"/>
  <c r="AQ224" i="7" l="1"/>
  <c r="I52" i="6"/>
  <c r="J52" i="6" s="1"/>
  <c r="Q52" i="6"/>
  <c r="E50" i="7"/>
  <c r="I249" i="7"/>
  <c r="BB249" i="7" s="1"/>
  <c r="AJ222" i="7"/>
  <c r="AK222" i="7" s="1"/>
  <c r="AM222" i="7" s="1"/>
  <c r="AH223" i="7" s="1"/>
  <c r="H249" i="7" l="1"/>
  <c r="AI223" i="7"/>
  <c r="AJ223" i="7" s="1"/>
  <c r="S52" i="6"/>
  <c r="I250" i="7"/>
  <c r="BB250" i="7" s="1"/>
  <c r="H250" i="7"/>
  <c r="K52" i="6"/>
  <c r="AR224" i="7"/>
  <c r="AS224" i="7" s="1"/>
  <c r="AU224" i="7" s="1"/>
  <c r="AP225" i="7" s="1"/>
  <c r="AK223" i="7" l="1"/>
  <c r="AM223" i="7" s="1"/>
  <c r="AH224" i="7" s="1"/>
  <c r="AI224" i="7" s="1"/>
  <c r="AQ225" i="7"/>
  <c r="AR225" i="7" s="1"/>
  <c r="AS225" i="7" s="1"/>
  <c r="AU225" i="7" s="1"/>
  <c r="AP226" i="7" s="1"/>
  <c r="I251" i="7"/>
  <c r="BB251" i="7" s="1"/>
  <c r="L52" i="6"/>
  <c r="H251" i="7" l="1"/>
  <c r="AJ224" i="7"/>
  <c r="AK224" i="7" s="1"/>
  <c r="AM224" i="7" s="1"/>
  <c r="AH225" i="7" s="1"/>
  <c r="AI225" i="7" s="1"/>
  <c r="AQ226" i="7"/>
  <c r="AD50" i="7"/>
  <c r="AE50" i="7" s="1"/>
  <c r="Z51" i="7" s="1"/>
  <c r="N50" i="7"/>
  <c r="O50" i="7" s="1"/>
  <c r="J51" i="7" s="1"/>
  <c r="F50" i="7"/>
  <c r="V50" i="7"/>
  <c r="W50" i="7" s="1"/>
  <c r="R51" i="7" s="1"/>
  <c r="I252" i="7"/>
  <c r="BB252" i="7" s="1"/>
  <c r="H252" i="7"/>
  <c r="S51" i="7" l="1"/>
  <c r="T51" i="7" s="1"/>
  <c r="U51" i="7" s="1"/>
  <c r="I253" i="7"/>
  <c r="BB253" i="7" s="1"/>
  <c r="AA51" i="7"/>
  <c r="AB51" i="7" s="1"/>
  <c r="AC51" i="7" s="1"/>
  <c r="AY50" i="7"/>
  <c r="M52" i="6" s="1"/>
  <c r="N52" i="6" s="1"/>
  <c r="O52" i="6" s="1"/>
  <c r="G50" i="7"/>
  <c r="K51" i="7"/>
  <c r="L51" i="7" s="1"/>
  <c r="AR226" i="7"/>
  <c r="AS226" i="7" s="1"/>
  <c r="AU226" i="7" s="1"/>
  <c r="AP227" i="7" s="1"/>
  <c r="AJ225" i="7"/>
  <c r="AK225" i="7" s="1"/>
  <c r="AM225" i="7" s="1"/>
  <c r="AH226" i="7" s="1"/>
  <c r="AI226" i="7" l="1"/>
  <c r="AJ226" i="7" s="1"/>
  <c r="AK226" i="7" s="1"/>
  <c r="AM226" i="7" s="1"/>
  <c r="AH227" i="7" s="1"/>
  <c r="AQ227" i="7"/>
  <c r="M51" i="7"/>
  <c r="B51" i="7"/>
  <c r="AZ50" i="7"/>
  <c r="P52" i="6" s="1"/>
  <c r="T52" i="6" s="1"/>
  <c r="H253" i="7"/>
  <c r="AI227" i="7" l="1"/>
  <c r="I254" i="7"/>
  <c r="BB254" i="7" s="1"/>
  <c r="C51" i="7"/>
  <c r="BA51" i="7" s="1"/>
  <c r="AR227" i="7"/>
  <c r="AS227" i="7" s="1"/>
  <c r="AU227" i="7" s="1"/>
  <c r="AP228" i="7" s="1"/>
  <c r="H254" i="7" l="1"/>
  <c r="D51" i="7"/>
  <c r="AX51" i="7" s="1"/>
  <c r="E53" i="6" s="1"/>
  <c r="F53" i="6" s="1"/>
  <c r="Q53" i="6" s="1"/>
  <c r="AQ228" i="7"/>
  <c r="AR228" i="7" s="1"/>
  <c r="AS228" i="7" s="1"/>
  <c r="AU228" i="7" s="1"/>
  <c r="AP229" i="7" s="1"/>
  <c r="I255" i="7"/>
  <c r="BB255" i="7" s="1"/>
  <c r="AJ227" i="7"/>
  <c r="AK227" i="7" s="1"/>
  <c r="AM227" i="7" s="1"/>
  <c r="AH228" i="7" s="1"/>
  <c r="E51" i="7" l="1"/>
  <c r="I53" i="6"/>
  <c r="J53" i="6" s="1"/>
  <c r="S53" i="6" s="1"/>
  <c r="AI228" i="7"/>
  <c r="AQ229" i="7"/>
  <c r="H255" i="7"/>
  <c r="K53" i="6" l="1"/>
  <c r="L53" i="6" s="1"/>
  <c r="AD51" i="7" s="1"/>
  <c r="AE51" i="7" s="1"/>
  <c r="Z52" i="7" s="1"/>
  <c r="I256" i="7"/>
  <c r="BB256" i="7" s="1"/>
  <c r="AR229" i="7"/>
  <c r="AS229" i="7" s="1"/>
  <c r="AU229" i="7" s="1"/>
  <c r="AP230" i="7" s="1"/>
  <c r="AJ228" i="7"/>
  <c r="AK228" i="7" s="1"/>
  <c r="AM228" i="7" s="1"/>
  <c r="AH229" i="7" s="1"/>
  <c r="V51" i="7" l="1"/>
  <c r="W51" i="7" s="1"/>
  <c r="R52" i="7" s="1"/>
  <c r="S52" i="7" s="1"/>
  <c r="N51" i="7"/>
  <c r="O51" i="7" s="1"/>
  <c r="J52" i="7" s="1"/>
  <c r="K52" i="7" s="1"/>
  <c r="F51" i="7"/>
  <c r="G51" i="7" s="1"/>
  <c r="AI229" i="7"/>
  <c r="AJ229" i="7" s="1"/>
  <c r="AK229" i="7" s="1"/>
  <c r="AM229" i="7" s="1"/>
  <c r="AH230" i="7" s="1"/>
  <c r="AQ230" i="7"/>
  <c r="AA52" i="7"/>
  <c r="AB52" i="7" s="1"/>
  <c r="AC52" i="7" s="1"/>
  <c r="H256" i="7"/>
  <c r="AY51" i="7" l="1"/>
  <c r="M53" i="6" s="1"/>
  <c r="N53" i="6" s="1"/>
  <c r="O53" i="6" s="1"/>
  <c r="AI230" i="7"/>
  <c r="AJ230" i="7" s="1"/>
  <c r="AK230" i="7" s="1"/>
  <c r="AM230" i="7" s="1"/>
  <c r="AH231" i="7" s="1"/>
  <c r="B52" i="7"/>
  <c r="AZ51" i="7"/>
  <c r="P53" i="6" s="1"/>
  <c r="T53" i="6" s="1"/>
  <c r="L52" i="7"/>
  <c r="M52" i="7" s="1"/>
  <c r="T52" i="7"/>
  <c r="U52" i="7" s="1"/>
  <c r="AR230" i="7"/>
  <c r="AS230" i="7" s="1"/>
  <c r="AU230" i="7" s="1"/>
  <c r="AP231" i="7" s="1"/>
  <c r="I257" i="7"/>
  <c r="BB257" i="7" s="1"/>
  <c r="AQ231" i="7" l="1"/>
  <c r="AI231" i="7"/>
  <c r="AJ231" i="7" s="1"/>
  <c r="AK231" i="7" s="1"/>
  <c r="AM231" i="7" s="1"/>
  <c r="AH232" i="7" s="1"/>
  <c r="H257" i="7"/>
  <c r="C52" i="7"/>
  <c r="BA52" i="7" s="1"/>
  <c r="D52" i="7" l="1"/>
  <c r="AX52" i="7" s="1"/>
  <c r="E54" i="6" s="1"/>
  <c r="F54" i="6" s="1"/>
  <c r="Q54" i="6" s="1"/>
  <c r="AI232" i="7"/>
  <c r="I258" i="7"/>
  <c r="BB258" i="7" s="1"/>
  <c r="AR231" i="7"/>
  <c r="AS231" i="7" s="1"/>
  <c r="AU231" i="7" s="1"/>
  <c r="AP232" i="7" s="1"/>
  <c r="H258" i="7" l="1"/>
  <c r="I259" i="7" s="1"/>
  <c r="BB259" i="7" s="1"/>
  <c r="E52" i="7"/>
  <c r="I54" i="6"/>
  <c r="J54" i="6" s="1"/>
  <c r="S54" i="6" s="1"/>
  <c r="AQ232" i="7"/>
  <c r="AR232" i="7" s="1"/>
  <c r="AJ232" i="7"/>
  <c r="AK232" i="7" s="1"/>
  <c r="AM232" i="7" s="1"/>
  <c r="AH233" i="7" s="1"/>
  <c r="H259" i="7" l="1"/>
  <c r="K54" i="6"/>
  <c r="L54" i="6" s="1"/>
  <c r="AS232" i="7"/>
  <c r="AU232" i="7" s="1"/>
  <c r="AP233" i="7" s="1"/>
  <c r="AQ233" i="7" s="1"/>
  <c r="AI233" i="7"/>
  <c r="I260" i="7"/>
  <c r="BB260" i="7" s="1"/>
  <c r="H260" i="7" l="1"/>
  <c r="I261" i="7"/>
  <c r="BB261" i="7" s="1"/>
  <c r="AD52" i="7"/>
  <c r="AE52" i="7" s="1"/>
  <c r="Z53" i="7" s="1"/>
  <c r="N52" i="7"/>
  <c r="O52" i="7" s="1"/>
  <c r="J53" i="7" s="1"/>
  <c r="F52" i="7"/>
  <c r="V52" i="7"/>
  <c r="W52" i="7" s="1"/>
  <c r="R53" i="7" s="1"/>
  <c r="AR233" i="7"/>
  <c r="AS233" i="7" s="1"/>
  <c r="AU233" i="7" s="1"/>
  <c r="AP234" i="7" s="1"/>
  <c r="AJ233" i="7"/>
  <c r="AK233" i="7" s="1"/>
  <c r="AM233" i="7" s="1"/>
  <c r="AH234" i="7" s="1"/>
  <c r="H261" i="7" l="1"/>
  <c r="AI234" i="7"/>
  <c r="AQ234" i="7"/>
  <c r="AR234" i="7" s="1"/>
  <c r="S53" i="7"/>
  <c r="AY52" i="7"/>
  <c r="M54" i="6" s="1"/>
  <c r="N54" i="6" s="1"/>
  <c r="O54" i="6" s="1"/>
  <c r="G52" i="7"/>
  <c r="AA53" i="7"/>
  <c r="AB53" i="7" s="1"/>
  <c r="I262" i="7"/>
  <c r="BB262" i="7" s="1"/>
  <c r="K53" i="7"/>
  <c r="H262" i="7" l="1"/>
  <c r="I263" i="7" s="1"/>
  <c r="L53" i="7"/>
  <c r="M53" i="7" s="1"/>
  <c r="AZ52" i="7"/>
  <c r="P54" i="6" s="1"/>
  <c r="T54" i="6" s="1"/>
  <c r="B53" i="7"/>
  <c r="AC53" i="7"/>
  <c r="T53" i="7"/>
  <c r="U53" i="7" s="1"/>
  <c r="AS234" i="7"/>
  <c r="AU234" i="7" s="1"/>
  <c r="AP235" i="7" s="1"/>
  <c r="AJ234" i="7"/>
  <c r="AK234" i="7" s="1"/>
  <c r="AM234" i="7" s="1"/>
  <c r="AH235" i="7" s="1"/>
  <c r="BB263" i="7" l="1"/>
  <c r="H263" i="7"/>
  <c r="AI235" i="7"/>
  <c r="AQ235" i="7"/>
  <c r="AR235" i="7" s="1"/>
  <c r="C53" i="7"/>
  <c r="BA53" i="7" s="1"/>
  <c r="I264" i="7"/>
  <c r="BB264" i="7" s="1"/>
  <c r="H264" i="7" l="1"/>
  <c r="AS235" i="7"/>
  <c r="AU235" i="7" s="1"/>
  <c r="AP236" i="7" s="1"/>
  <c r="D53" i="7"/>
  <c r="AJ235" i="7"/>
  <c r="AK235" i="7" s="1"/>
  <c r="AM235" i="7" s="1"/>
  <c r="AH236" i="7" s="1"/>
  <c r="AI236" i="7" l="1"/>
  <c r="AQ236" i="7"/>
  <c r="AR236" i="7" s="1"/>
  <c r="AS236" i="7" s="1"/>
  <c r="AU236" i="7" s="1"/>
  <c r="AP237" i="7" s="1"/>
  <c r="AX53" i="7"/>
  <c r="E55" i="6" s="1"/>
  <c r="F55" i="6" s="1"/>
  <c r="E53" i="7"/>
  <c r="I265" i="7"/>
  <c r="BB265" i="7" s="1"/>
  <c r="H265" i="7" l="1"/>
  <c r="I266" i="7" s="1"/>
  <c r="BB266" i="7" s="1"/>
  <c r="AQ237" i="7"/>
  <c r="AR237" i="7" s="1"/>
  <c r="Q55" i="6"/>
  <c r="I55" i="6"/>
  <c r="J55" i="6" s="1"/>
  <c r="AJ236" i="7"/>
  <c r="AK236" i="7" s="1"/>
  <c r="AM236" i="7" s="1"/>
  <c r="AH237" i="7" s="1"/>
  <c r="AI237" i="7" l="1"/>
  <c r="H266" i="7"/>
  <c r="K55" i="6"/>
  <c r="S55" i="6"/>
  <c r="AS237" i="7"/>
  <c r="AU237" i="7" s="1"/>
  <c r="AP238" i="7" s="1"/>
  <c r="AQ238" i="7" l="1"/>
  <c r="AR238" i="7" s="1"/>
  <c r="AS238" i="7" s="1"/>
  <c r="AU238" i="7" s="1"/>
  <c r="AP239" i="7" s="1"/>
  <c r="L55" i="6"/>
  <c r="I267" i="7"/>
  <c r="BB267" i="7" s="1"/>
  <c r="AJ237" i="7"/>
  <c r="AK237" i="7" s="1"/>
  <c r="AM237" i="7" s="1"/>
  <c r="AH238" i="7" s="1"/>
  <c r="H267" i="7" l="1"/>
  <c r="AI238" i="7"/>
  <c r="AQ239" i="7"/>
  <c r="AD53" i="7"/>
  <c r="AE53" i="7" s="1"/>
  <c r="Z54" i="7" s="1"/>
  <c r="N53" i="7"/>
  <c r="O53" i="7" s="1"/>
  <c r="J54" i="7" s="1"/>
  <c r="F53" i="7"/>
  <c r="V53" i="7"/>
  <c r="W53" i="7" s="1"/>
  <c r="R54" i="7" s="1"/>
  <c r="I268" i="7"/>
  <c r="BB268" i="7" s="1"/>
  <c r="H268" i="7"/>
  <c r="AY53" i="7" l="1"/>
  <c r="M55" i="6" s="1"/>
  <c r="N55" i="6" s="1"/>
  <c r="O55" i="6" s="1"/>
  <c r="G53" i="7"/>
  <c r="S54" i="7"/>
  <c r="T54" i="7" s="1"/>
  <c r="K54" i="7"/>
  <c r="L54" i="7" s="1"/>
  <c r="M54" i="7" s="1"/>
  <c r="I269" i="7"/>
  <c r="BB269" i="7" s="1"/>
  <c r="AA54" i="7"/>
  <c r="AR239" i="7"/>
  <c r="AS239" i="7" s="1"/>
  <c r="AU239" i="7" s="1"/>
  <c r="AP240" i="7" s="1"/>
  <c r="AJ238" i="7"/>
  <c r="AK238" i="7" s="1"/>
  <c r="AM238" i="7" s="1"/>
  <c r="AH239" i="7" s="1"/>
  <c r="U54" i="7" l="1"/>
  <c r="AQ240" i="7"/>
  <c r="AB54" i="7"/>
  <c r="AC54" i="7" s="1"/>
  <c r="H269" i="7"/>
  <c r="B54" i="7"/>
  <c r="AZ53" i="7"/>
  <c r="P55" i="6" s="1"/>
  <c r="T55" i="6" s="1"/>
  <c r="AI239" i="7"/>
  <c r="AJ239" i="7" s="1"/>
  <c r="AK239" i="7" s="1"/>
  <c r="AM239" i="7" s="1"/>
  <c r="AH240" i="7" s="1"/>
  <c r="AI240" i="7" l="1"/>
  <c r="C54" i="7"/>
  <c r="BA54" i="7" s="1"/>
  <c r="I270" i="7"/>
  <c r="BB270" i="7" s="1"/>
  <c r="H270" i="7"/>
  <c r="AR240" i="7"/>
  <c r="AS240" i="7" s="1"/>
  <c r="AU240" i="7" s="1"/>
  <c r="AP241" i="7" s="1"/>
  <c r="D54" i="7" l="1"/>
  <c r="AX54" i="7" s="1"/>
  <c r="E56" i="6" s="1"/>
  <c r="F56" i="6" s="1"/>
  <c r="I56" i="6" s="1"/>
  <c r="J56" i="6" s="1"/>
  <c r="AQ241" i="7"/>
  <c r="I271" i="7"/>
  <c r="BB271" i="7" s="1"/>
  <c r="AJ240" i="7"/>
  <c r="AK240" i="7" s="1"/>
  <c r="AM240" i="7" s="1"/>
  <c r="AH241" i="7" s="1"/>
  <c r="Q56" i="6" l="1"/>
  <c r="E54" i="7"/>
  <c r="AI241" i="7"/>
  <c r="AJ241" i="7" s="1"/>
  <c r="AK241" i="7" s="1"/>
  <c r="AM241" i="7" s="1"/>
  <c r="AH242" i="7" s="1"/>
  <c r="S56" i="6"/>
  <c r="K56" i="6"/>
  <c r="H271" i="7"/>
  <c r="AR241" i="7"/>
  <c r="AS241" i="7" s="1"/>
  <c r="AU241" i="7" s="1"/>
  <c r="AP242" i="7" s="1"/>
  <c r="AQ242" i="7" l="1"/>
  <c r="AI242" i="7"/>
  <c r="AJ242" i="7" s="1"/>
  <c r="AK242" i="7" s="1"/>
  <c r="AM242" i="7" s="1"/>
  <c r="AH243" i="7" s="1"/>
  <c r="I272" i="7"/>
  <c r="BB272" i="7" s="1"/>
  <c r="L56" i="6"/>
  <c r="AI243" i="7" l="1"/>
  <c r="AD54" i="7"/>
  <c r="AE54" i="7" s="1"/>
  <c r="Z55" i="7" s="1"/>
  <c r="V54" i="7"/>
  <c r="W54" i="7" s="1"/>
  <c r="R55" i="7" s="1"/>
  <c r="N54" i="7"/>
  <c r="O54" i="7" s="1"/>
  <c r="J55" i="7" s="1"/>
  <c r="F54" i="7"/>
  <c r="H272" i="7"/>
  <c r="AR242" i="7"/>
  <c r="AS242" i="7" s="1"/>
  <c r="AU242" i="7" s="1"/>
  <c r="AP243" i="7" s="1"/>
  <c r="AQ243" i="7" l="1"/>
  <c r="I273" i="7"/>
  <c r="BB273" i="7" s="1"/>
  <c r="K55" i="7"/>
  <c r="AY54" i="7"/>
  <c r="M56" i="6" s="1"/>
  <c r="N56" i="6" s="1"/>
  <c r="O56" i="6" s="1"/>
  <c r="G54" i="7"/>
  <c r="S55" i="7"/>
  <c r="AA55" i="7"/>
  <c r="AB55" i="7" s="1"/>
  <c r="AC55" i="7" s="1"/>
  <c r="AJ243" i="7"/>
  <c r="AK243" i="7" s="1"/>
  <c r="AM243" i="7" s="1"/>
  <c r="AH244" i="7" s="1"/>
  <c r="H273" i="7" l="1"/>
  <c r="T55" i="7"/>
  <c r="U55" i="7" s="1"/>
  <c r="B55" i="7"/>
  <c r="AZ54" i="7"/>
  <c r="P56" i="6" s="1"/>
  <c r="T56" i="6" s="1"/>
  <c r="L55" i="7"/>
  <c r="M55" i="7" s="1"/>
  <c r="AI244" i="7"/>
  <c r="AR243" i="7"/>
  <c r="AS243" i="7" s="1"/>
  <c r="AU243" i="7" s="1"/>
  <c r="AP244" i="7" s="1"/>
  <c r="I274" i="7"/>
  <c r="BB274" i="7" s="1"/>
  <c r="H274" i="7"/>
  <c r="AQ244" i="7" l="1"/>
  <c r="I275" i="7"/>
  <c r="BB275" i="7" s="1"/>
  <c r="AJ244" i="7"/>
  <c r="AK244" i="7" s="1"/>
  <c r="AM244" i="7" s="1"/>
  <c r="AH245" i="7" s="1"/>
  <c r="C55" i="7"/>
  <c r="BA55" i="7" s="1"/>
  <c r="AI245" i="7" l="1"/>
  <c r="AJ245" i="7" s="1"/>
  <c r="D55" i="7"/>
  <c r="AX55" i="7" s="1"/>
  <c r="E57" i="6" s="1"/>
  <c r="F57" i="6" s="1"/>
  <c r="H275" i="7"/>
  <c r="AR244" i="7"/>
  <c r="AS244" i="7" s="1"/>
  <c r="AU244" i="7" s="1"/>
  <c r="AP245" i="7" s="1"/>
  <c r="AQ245" i="7" l="1"/>
  <c r="AR245" i="7" s="1"/>
  <c r="I276" i="7"/>
  <c r="BB276" i="7" s="1"/>
  <c r="E55" i="7"/>
  <c r="I57" i="6"/>
  <c r="J57" i="6" s="1"/>
  <c r="Q57" i="6"/>
  <c r="AK245" i="7"/>
  <c r="AM245" i="7" s="1"/>
  <c r="AH246" i="7" s="1"/>
  <c r="K57" i="6" l="1"/>
  <c r="L57" i="6" s="1"/>
  <c r="AS245" i="7"/>
  <c r="AU245" i="7" s="1"/>
  <c r="AP246" i="7" s="1"/>
  <c r="AQ246" i="7" s="1"/>
  <c r="AR246" i="7" s="1"/>
  <c r="AS246" i="7" s="1"/>
  <c r="AU246" i="7" s="1"/>
  <c r="AP247" i="7" s="1"/>
  <c r="H276" i="7"/>
  <c r="AI246" i="7"/>
  <c r="AJ246" i="7" s="1"/>
  <c r="S57" i="6"/>
  <c r="AQ247" i="7" l="1"/>
  <c r="AR247" i="7" s="1"/>
  <c r="AK246" i="7"/>
  <c r="AM246" i="7" s="1"/>
  <c r="AH247" i="7" s="1"/>
  <c r="I277" i="7"/>
  <c r="BB277" i="7" s="1"/>
  <c r="AD55" i="7"/>
  <c r="AE55" i="7" s="1"/>
  <c r="Z56" i="7" s="1"/>
  <c r="V55" i="7"/>
  <c r="W55" i="7" s="1"/>
  <c r="R56" i="7" s="1"/>
  <c r="N55" i="7"/>
  <c r="O55" i="7" s="1"/>
  <c r="J56" i="7" s="1"/>
  <c r="F55" i="7"/>
  <c r="AY55" i="7" l="1"/>
  <c r="M57" i="6" s="1"/>
  <c r="N57" i="6" s="1"/>
  <c r="O57" i="6" s="1"/>
  <c r="G55" i="7"/>
  <c r="AA56" i="7"/>
  <c r="AB56" i="7" s="1"/>
  <c r="K56" i="7"/>
  <c r="L56" i="7" s="1"/>
  <c r="H277" i="7"/>
  <c r="AS247" i="7"/>
  <c r="AU247" i="7" s="1"/>
  <c r="AP248" i="7" s="1"/>
  <c r="S56" i="7"/>
  <c r="T56" i="7" s="1"/>
  <c r="AI247" i="7"/>
  <c r="U56" i="7" l="1"/>
  <c r="M56" i="7"/>
  <c r="AJ247" i="7"/>
  <c r="AK247" i="7" s="1"/>
  <c r="AM247" i="7" s="1"/>
  <c r="AH248" i="7" s="1"/>
  <c r="I278" i="7"/>
  <c r="BB278" i="7" s="1"/>
  <c r="AC56" i="7"/>
  <c r="B56" i="7"/>
  <c r="AZ55" i="7"/>
  <c r="P57" i="6" s="1"/>
  <c r="T57" i="6" s="1"/>
  <c r="AQ248" i="7"/>
  <c r="AR248" i="7" s="1"/>
  <c r="AI248" i="7" l="1"/>
  <c r="AS248" i="7"/>
  <c r="AU248" i="7" s="1"/>
  <c r="AP249" i="7" s="1"/>
  <c r="C56" i="7"/>
  <c r="BA56" i="7" s="1"/>
  <c r="H278" i="7"/>
  <c r="I279" i="7" l="1"/>
  <c r="BB279" i="7" s="1"/>
  <c r="D56" i="7"/>
  <c r="AX56" i="7" s="1"/>
  <c r="E58" i="6" s="1"/>
  <c r="F58" i="6" s="1"/>
  <c r="AQ249" i="7"/>
  <c r="AR249" i="7" s="1"/>
  <c r="AS249" i="7" s="1"/>
  <c r="AU249" i="7" s="1"/>
  <c r="AP250" i="7" s="1"/>
  <c r="AJ248" i="7"/>
  <c r="AK248" i="7" s="1"/>
  <c r="AM248" i="7" s="1"/>
  <c r="AH249" i="7" s="1"/>
  <c r="AI249" i="7" l="1"/>
  <c r="AJ249" i="7" s="1"/>
  <c r="AK249" i="7" s="1"/>
  <c r="AM249" i="7" s="1"/>
  <c r="AH250" i="7" s="1"/>
  <c r="AQ250" i="7"/>
  <c r="AR250" i="7" s="1"/>
  <c r="AS250" i="7" s="1"/>
  <c r="AU250" i="7" s="1"/>
  <c r="AP251" i="7" s="1"/>
  <c r="Q58" i="6"/>
  <c r="I58" i="6"/>
  <c r="J58" i="6" s="1"/>
  <c r="H279" i="7"/>
  <c r="E56" i="7"/>
  <c r="AI250" i="7" l="1"/>
  <c r="I280" i="7"/>
  <c r="BB280" i="7" s="1"/>
  <c r="K58" i="6"/>
  <c r="S58" i="6"/>
  <c r="AQ251" i="7"/>
  <c r="AR251" i="7" s="1"/>
  <c r="AS251" i="7" l="1"/>
  <c r="AU251" i="7" s="1"/>
  <c r="AP252" i="7" s="1"/>
  <c r="L58" i="6"/>
  <c r="H280" i="7"/>
  <c r="AJ250" i="7"/>
  <c r="AK250" i="7" s="1"/>
  <c r="AM250" i="7" s="1"/>
  <c r="AH251" i="7" s="1"/>
  <c r="AI251" i="7" l="1"/>
  <c r="I281" i="7"/>
  <c r="BB281" i="7" s="1"/>
  <c r="AD56" i="7"/>
  <c r="AE56" i="7" s="1"/>
  <c r="Z57" i="7" s="1"/>
  <c r="F56" i="7"/>
  <c r="N56" i="7"/>
  <c r="O56" i="7" s="1"/>
  <c r="J57" i="7" s="1"/>
  <c r="V56" i="7"/>
  <c r="W56" i="7" s="1"/>
  <c r="R57" i="7" s="1"/>
  <c r="AQ252" i="7"/>
  <c r="AR252" i="7" l="1"/>
  <c r="AS252" i="7" s="1"/>
  <c r="AU252" i="7" s="1"/>
  <c r="AP253" i="7" s="1"/>
  <c r="AY56" i="7"/>
  <c r="M58" i="6" s="1"/>
  <c r="N58" i="6" s="1"/>
  <c r="O58" i="6" s="1"/>
  <c r="G56" i="7"/>
  <c r="S57" i="7"/>
  <c r="T57" i="7" s="1"/>
  <c r="U57" i="7" s="1"/>
  <c r="AA57" i="7"/>
  <c r="AB57" i="7" s="1"/>
  <c r="H281" i="7"/>
  <c r="AJ251" i="7"/>
  <c r="AK251" i="7" s="1"/>
  <c r="AM251" i="7" s="1"/>
  <c r="AH252" i="7" s="1"/>
  <c r="K57" i="7"/>
  <c r="L57" i="7" s="1"/>
  <c r="M57" i="7" s="1"/>
  <c r="AI252" i="7" l="1"/>
  <c r="AJ252" i="7" s="1"/>
  <c r="AK252" i="7" s="1"/>
  <c r="AM252" i="7" s="1"/>
  <c r="AH253" i="7" s="1"/>
  <c r="AQ253" i="7"/>
  <c r="AR253" i="7" s="1"/>
  <c r="AS253" i="7" s="1"/>
  <c r="AU253" i="7" s="1"/>
  <c r="AP254" i="7" s="1"/>
  <c r="AC57" i="7"/>
  <c r="I282" i="7"/>
  <c r="BB282" i="7" s="1"/>
  <c r="AZ56" i="7"/>
  <c r="P58" i="6" s="1"/>
  <c r="T58" i="6" s="1"/>
  <c r="B57" i="7"/>
  <c r="H282" i="7" l="1"/>
  <c r="AQ254" i="7"/>
  <c r="AR254" i="7" s="1"/>
  <c r="AI253" i="7"/>
  <c r="C57" i="7"/>
  <c r="BA57" i="7" s="1"/>
  <c r="I283" i="7"/>
  <c r="BB283" i="7" s="1"/>
  <c r="AS254" i="7" l="1"/>
  <c r="AU254" i="7" s="1"/>
  <c r="AP255" i="7" s="1"/>
  <c r="AQ255" i="7" s="1"/>
  <c r="H283" i="7"/>
  <c r="D57" i="7"/>
  <c r="AX57" i="7" s="1"/>
  <c r="E59" i="6" s="1"/>
  <c r="F59" i="6" s="1"/>
  <c r="AJ253" i="7"/>
  <c r="AK253" i="7" s="1"/>
  <c r="AM253" i="7" s="1"/>
  <c r="AH254" i="7" s="1"/>
  <c r="AI254" i="7" l="1"/>
  <c r="Q59" i="6"/>
  <c r="I59" i="6"/>
  <c r="J59" i="6" s="1"/>
  <c r="E57" i="7"/>
  <c r="I284" i="7"/>
  <c r="BB284" i="7" s="1"/>
  <c r="AR255" i="7"/>
  <c r="AS255" i="7" s="1"/>
  <c r="AU255" i="7" s="1"/>
  <c r="AP256" i="7" s="1"/>
  <c r="AJ254" i="7" l="1"/>
  <c r="AK254" i="7" s="1"/>
  <c r="AM254" i="7" s="1"/>
  <c r="AH255" i="7" s="1"/>
  <c r="AI255" i="7" s="1"/>
  <c r="AQ256" i="7"/>
  <c r="H284" i="7"/>
  <c r="K59" i="6"/>
  <c r="S59" i="6"/>
  <c r="AR256" i="7" l="1"/>
  <c r="AS256" i="7" s="1"/>
  <c r="AU256" i="7" s="1"/>
  <c r="AP257" i="7" s="1"/>
  <c r="AQ257" i="7" s="1"/>
  <c r="L59" i="6"/>
  <c r="AJ255" i="7"/>
  <c r="AK255" i="7" s="1"/>
  <c r="AM255" i="7" s="1"/>
  <c r="AH256" i="7" s="1"/>
  <c r="I285" i="7"/>
  <c r="BB285" i="7" s="1"/>
  <c r="AI256" i="7" l="1"/>
  <c r="AJ256" i="7" s="1"/>
  <c r="AK256" i="7" s="1"/>
  <c r="AM256" i="7" s="1"/>
  <c r="AH257" i="7" s="1"/>
  <c r="H285" i="7"/>
  <c r="AD57" i="7"/>
  <c r="AE57" i="7" s="1"/>
  <c r="Z58" i="7" s="1"/>
  <c r="V57" i="7"/>
  <c r="W57" i="7" s="1"/>
  <c r="R58" i="7" s="1"/>
  <c r="F57" i="7"/>
  <c r="N57" i="7"/>
  <c r="O57" i="7" s="1"/>
  <c r="J58" i="7" s="1"/>
  <c r="AR257" i="7"/>
  <c r="AS257" i="7" s="1"/>
  <c r="AU257" i="7" s="1"/>
  <c r="AP258" i="7" s="1"/>
  <c r="AQ258" i="7" l="1"/>
  <c r="AR258" i="7" s="1"/>
  <c r="AI257" i="7"/>
  <c r="AJ257" i="7" s="1"/>
  <c r="S58" i="7"/>
  <c r="AA58" i="7"/>
  <c r="AB58" i="7" s="1"/>
  <c r="AC58" i="7" s="1"/>
  <c r="AY57" i="7"/>
  <c r="M59" i="6" s="1"/>
  <c r="N59" i="6" s="1"/>
  <c r="O59" i="6" s="1"/>
  <c r="G57" i="7"/>
  <c r="I286" i="7"/>
  <c r="BB286" i="7" s="1"/>
  <c r="H286" i="7"/>
  <c r="K58" i="7"/>
  <c r="AS258" i="7" l="1"/>
  <c r="AU258" i="7" s="1"/>
  <c r="AP259" i="7" s="1"/>
  <c r="AQ259" i="7" s="1"/>
  <c r="AR259" i="7" s="1"/>
  <c r="AS259" i="7" s="1"/>
  <c r="AU259" i="7" s="1"/>
  <c r="AP260" i="7" s="1"/>
  <c r="AK257" i="7"/>
  <c r="AM257" i="7" s="1"/>
  <c r="AH258" i="7" s="1"/>
  <c r="L58" i="7"/>
  <c r="M58" i="7" s="1"/>
  <c r="I287" i="7"/>
  <c r="BB287" i="7" s="1"/>
  <c r="B58" i="7"/>
  <c r="AZ57" i="7"/>
  <c r="P59" i="6" s="1"/>
  <c r="T59" i="6" s="1"/>
  <c r="T58" i="7"/>
  <c r="U58" i="7" s="1"/>
  <c r="AQ260" i="7" l="1"/>
  <c r="AR260" i="7" s="1"/>
  <c r="AS260" i="7" s="1"/>
  <c r="AU260" i="7" s="1"/>
  <c r="AP261" i="7" s="1"/>
  <c r="H287" i="7"/>
  <c r="C58" i="7"/>
  <c r="BA58" i="7" s="1"/>
  <c r="AI258" i="7"/>
  <c r="AQ261" i="7" l="1"/>
  <c r="AR261" i="7" s="1"/>
  <c r="AS261" i="7" s="1"/>
  <c r="AU261" i="7" s="1"/>
  <c r="AP262" i="7" s="1"/>
  <c r="I288" i="7"/>
  <c r="BB288" i="7" s="1"/>
  <c r="AJ258" i="7"/>
  <c r="AK258" i="7" s="1"/>
  <c r="AM258" i="7" s="1"/>
  <c r="AH259" i="7" s="1"/>
  <c r="D58" i="7"/>
  <c r="AX58" i="7" s="1"/>
  <c r="E60" i="6" s="1"/>
  <c r="F60" i="6" s="1"/>
  <c r="E58" i="7" l="1"/>
  <c r="AI259" i="7"/>
  <c r="AJ259" i="7" s="1"/>
  <c r="AK259" i="7" s="1"/>
  <c r="AM259" i="7" s="1"/>
  <c r="AH260" i="7" s="1"/>
  <c r="AQ262" i="7"/>
  <c r="AR262" i="7" s="1"/>
  <c r="AS262" i="7" s="1"/>
  <c r="AU262" i="7" s="1"/>
  <c r="AP263" i="7" s="1"/>
  <c r="I60" i="6"/>
  <c r="J60" i="6" s="1"/>
  <c r="Q60" i="6"/>
  <c r="H288" i="7"/>
  <c r="AQ263" i="7" l="1"/>
  <c r="AR263" i="7" s="1"/>
  <c r="AI260" i="7"/>
  <c r="AJ260" i="7" s="1"/>
  <c r="I289" i="7"/>
  <c r="BB289" i="7" s="1"/>
  <c r="K60" i="6"/>
  <c r="S60" i="6"/>
  <c r="AK260" i="7" l="1"/>
  <c r="AM260" i="7" s="1"/>
  <c r="AH261" i="7" s="1"/>
  <c r="L60" i="6"/>
  <c r="H289" i="7"/>
  <c r="AS263" i="7"/>
  <c r="AU263" i="7" s="1"/>
  <c r="AP264" i="7" s="1"/>
  <c r="I290" i="7" l="1"/>
  <c r="BB290" i="7" s="1"/>
  <c r="AQ264" i="7"/>
  <c r="AR264" i="7" s="1"/>
  <c r="AD58" i="7"/>
  <c r="AE58" i="7" s="1"/>
  <c r="Z59" i="7" s="1"/>
  <c r="V58" i="7"/>
  <c r="W58" i="7" s="1"/>
  <c r="R59" i="7" s="1"/>
  <c r="F58" i="7"/>
  <c r="N58" i="7"/>
  <c r="O58" i="7" s="1"/>
  <c r="J59" i="7" s="1"/>
  <c r="AI261" i="7"/>
  <c r="AJ261" i="7" s="1"/>
  <c r="AK261" i="7" s="1"/>
  <c r="AM261" i="7" s="1"/>
  <c r="AH262" i="7" s="1"/>
  <c r="AI262" i="7" l="1"/>
  <c r="AJ262" i="7" s="1"/>
  <c r="AK262" i="7" s="1"/>
  <c r="AM262" i="7" s="1"/>
  <c r="AH263" i="7" s="1"/>
  <c r="AY58" i="7"/>
  <c r="M60" i="6" s="1"/>
  <c r="N60" i="6" s="1"/>
  <c r="O60" i="6" s="1"/>
  <c r="G58" i="7"/>
  <c r="K59" i="7"/>
  <c r="S59" i="7"/>
  <c r="AS264" i="7"/>
  <c r="AU264" i="7" s="1"/>
  <c r="AP265" i="7" s="1"/>
  <c r="AA59" i="7"/>
  <c r="H290" i="7"/>
  <c r="AI263" i="7" l="1"/>
  <c r="AJ263" i="7" s="1"/>
  <c r="AB59" i="7"/>
  <c r="AC59" i="7" s="1"/>
  <c r="L59" i="7"/>
  <c r="M59" i="7" s="1"/>
  <c r="B59" i="7"/>
  <c r="AZ58" i="7"/>
  <c r="P60" i="6" s="1"/>
  <c r="T60" i="6" s="1"/>
  <c r="I291" i="7"/>
  <c r="BB291" i="7" s="1"/>
  <c r="H291" i="7"/>
  <c r="AQ265" i="7"/>
  <c r="T59" i="7"/>
  <c r="U59" i="7" s="1"/>
  <c r="AR265" i="7" l="1"/>
  <c r="AS265" i="7" s="1"/>
  <c r="AU265" i="7" s="1"/>
  <c r="AP266" i="7" s="1"/>
  <c r="AK263" i="7"/>
  <c r="AM263" i="7" s="1"/>
  <c r="AH264" i="7" s="1"/>
  <c r="C59" i="7"/>
  <c r="BA59" i="7" s="1"/>
  <c r="I292" i="7"/>
  <c r="BB292" i="7" s="1"/>
  <c r="AQ266" i="7" l="1"/>
  <c r="AR266" i="7" s="1"/>
  <c r="H292" i="7"/>
  <c r="D59" i="7"/>
  <c r="AX59" i="7" s="1"/>
  <c r="E61" i="6" s="1"/>
  <c r="F61" i="6" s="1"/>
  <c r="AI264" i="7"/>
  <c r="AJ264" i="7" s="1"/>
  <c r="AK264" i="7" s="1"/>
  <c r="AM264" i="7" s="1"/>
  <c r="AH265" i="7" s="1"/>
  <c r="AS266" i="7" l="1"/>
  <c r="AU266" i="7" s="1"/>
  <c r="AP267" i="7" s="1"/>
  <c r="AQ267" i="7" s="1"/>
  <c r="I61" i="6"/>
  <c r="J61" i="6" s="1"/>
  <c r="Q61" i="6"/>
  <c r="AI265" i="7"/>
  <c r="AJ265" i="7" s="1"/>
  <c r="E59" i="7"/>
  <c r="I293" i="7"/>
  <c r="BB293" i="7" s="1"/>
  <c r="AK265" i="7" l="1"/>
  <c r="AM265" i="7" s="1"/>
  <c r="AH266" i="7" s="1"/>
  <c r="K61" i="6"/>
  <c r="H293" i="7"/>
  <c r="S61" i="6"/>
  <c r="AR267" i="7"/>
  <c r="AS267" i="7" s="1"/>
  <c r="AU267" i="7" s="1"/>
  <c r="AP268" i="7" s="1"/>
  <c r="AQ268" i="7" l="1"/>
  <c r="AR268" i="7" s="1"/>
  <c r="AS268" i="7" s="1"/>
  <c r="AU268" i="7" s="1"/>
  <c r="AP269" i="7" s="1"/>
  <c r="I294" i="7"/>
  <c r="BB294" i="7" s="1"/>
  <c r="L61" i="6"/>
  <c r="AI266" i="7"/>
  <c r="AQ269" i="7" l="1"/>
  <c r="AR269" i="7" s="1"/>
  <c r="AS269" i="7" s="1"/>
  <c r="AU269" i="7" s="1"/>
  <c r="AP270" i="7" s="1"/>
  <c r="AD59" i="7"/>
  <c r="AE59" i="7" s="1"/>
  <c r="Z60" i="7" s="1"/>
  <c r="N59" i="7"/>
  <c r="O59" i="7" s="1"/>
  <c r="J60" i="7" s="1"/>
  <c r="F59" i="7"/>
  <c r="V59" i="7"/>
  <c r="W59" i="7" s="1"/>
  <c r="R60" i="7" s="1"/>
  <c r="AJ266" i="7"/>
  <c r="AK266" i="7" s="1"/>
  <c r="AM266" i="7" s="1"/>
  <c r="AH267" i="7" s="1"/>
  <c r="H294" i="7"/>
  <c r="AI267" i="7" l="1"/>
  <c r="AJ267" i="7" s="1"/>
  <c r="AQ270" i="7"/>
  <c r="AY59" i="7"/>
  <c r="M61" i="6" s="1"/>
  <c r="N61" i="6" s="1"/>
  <c r="O61" i="6" s="1"/>
  <c r="G59" i="7"/>
  <c r="AA60" i="7"/>
  <c r="I295" i="7"/>
  <c r="BB295" i="7" s="1"/>
  <c r="S60" i="7"/>
  <c r="K60" i="7"/>
  <c r="L60" i="7" s="1"/>
  <c r="M60" i="7" l="1"/>
  <c r="T60" i="7"/>
  <c r="U60" i="7" s="1"/>
  <c r="AR270" i="7"/>
  <c r="AS270" i="7" s="1"/>
  <c r="AU270" i="7" s="1"/>
  <c r="AP271" i="7" s="1"/>
  <c r="AK267" i="7"/>
  <c r="AM267" i="7" s="1"/>
  <c r="AH268" i="7" s="1"/>
  <c r="H295" i="7"/>
  <c r="AB60" i="7"/>
  <c r="AC60" i="7" s="1"/>
  <c r="B60" i="7"/>
  <c r="AZ59" i="7"/>
  <c r="P61" i="6" s="1"/>
  <c r="T61" i="6" s="1"/>
  <c r="AQ271" i="7" l="1"/>
  <c r="AR271" i="7" s="1"/>
  <c r="AS271" i="7" s="1"/>
  <c r="AU271" i="7" s="1"/>
  <c r="AP272" i="7" s="1"/>
  <c r="C60" i="7"/>
  <c r="BA60" i="7" s="1"/>
  <c r="I296" i="7"/>
  <c r="BB296" i="7" s="1"/>
  <c r="H296" i="7"/>
  <c r="AI268" i="7"/>
  <c r="AQ272" i="7" l="1"/>
  <c r="AR272" i="7" s="1"/>
  <c r="AJ268" i="7"/>
  <c r="AK268" i="7" s="1"/>
  <c r="AM268" i="7" s="1"/>
  <c r="AH269" i="7" s="1"/>
  <c r="I297" i="7"/>
  <c r="BB297" i="7" s="1"/>
  <c r="D60" i="7"/>
  <c r="H297" i="7" l="1"/>
  <c r="I298" i="7" s="1"/>
  <c r="BB298" i="7" s="1"/>
  <c r="AS272" i="7"/>
  <c r="AU272" i="7" s="1"/>
  <c r="AP273" i="7" s="1"/>
  <c r="AQ273" i="7" s="1"/>
  <c r="AR273" i="7" s="1"/>
  <c r="AS273" i="7" s="1"/>
  <c r="AU273" i="7" s="1"/>
  <c r="AP274" i="7" s="1"/>
  <c r="AI269" i="7"/>
  <c r="AJ269" i="7" s="1"/>
  <c r="AK269" i="7" s="1"/>
  <c r="AM269" i="7" s="1"/>
  <c r="AH270" i="7" s="1"/>
  <c r="AX60" i="7"/>
  <c r="E62" i="6" s="1"/>
  <c r="F62" i="6" s="1"/>
  <c r="E60" i="7"/>
  <c r="H298" i="7" l="1"/>
  <c r="I299" i="7" s="1"/>
  <c r="BB299" i="7" s="1"/>
  <c r="AQ274" i="7"/>
  <c r="AR274" i="7" s="1"/>
  <c r="AI270" i="7"/>
  <c r="Q62" i="6"/>
  <c r="I62" i="6"/>
  <c r="J62" i="6" s="1"/>
  <c r="K62" i="6" l="1"/>
  <c r="L62" i="6" s="1"/>
  <c r="AS274" i="7"/>
  <c r="AU274" i="7" s="1"/>
  <c r="AP275" i="7" s="1"/>
  <c r="AQ275" i="7" s="1"/>
  <c r="S62" i="6"/>
  <c r="H299" i="7"/>
  <c r="AJ270" i="7"/>
  <c r="AK270" i="7" s="1"/>
  <c r="AM270" i="7" s="1"/>
  <c r="AH271" i="7" s="1"/>
  <c r="AI271" i="7" l="1"/>
  <c r="AD60" i="7"/>
  <c r="AE60" i="7" s="1"/>
  <c r="Z61" i="7" s="1"/>
  <c r="V60" i="7"/>
  <c r="W60" i="7" s="1"/>
  <c r="R61" i="7" s="1"/>
  <c r="F60" i="7"/>
  <c r="N60" i="7"/>
  <c r="O60" i="7" s="1"/>
  <c r="J61" i="7" s="1"/>
  <c r="I300" i="7"/>
  <c r="BB300" i="7" s="1"/>
  <c r="AR275" i="7"/>
  <c r="AS275" i="7" s="1"/>
  <c r="AU275" i="7" s="1"/>
  <c r="AP276" i="7" s="1"/>
  <c r="AQ276" i="7" l="1"/>
  <c r="AR276" i="7" s="1"/>
  <c r="AS276" i="7" s="1"/>
  <c r="AU276" i="7" s="1"/>
  <c r="AP277" i="7" s="1"/>
  <c r="H300" i="7"/>
  <c r="AY60" i="7"/>
  <c r="M62" i="6" s="1"/>
  <c r="N62" i="6" s="1"/>
  <c r="O62" i="6" s="1"/>
  <c r="G60" i="7"/>
  <c r="S61" i="7"/>
  <c r="K61" i="7"/>
  <c r="L61" i="7" s="1"/>
  <c r="AA61" i="7"/>
  <c r="AB61" i="7" s="1"/>
  <c r="AC61" i="7" s="1"/>
  <c r="AJ271" i="7"/>
  <c r="AK271" i="7" s="1"/>
  <c r="AM271" i="7" s="1"/>
  <c r="AH272" i="7" s="1"/>
  <c r="T61" i="7" l="1"/>
  <c r="U61" i="7" s="1"/>
  <c r="AQ277" i="7"/>
  <c r="M61" i="7"/>
  <c r="B61" i="7"/>
  <c r="AZ60" i="7"/>
  <c r="P62" i="6" s="1"/>
  <c r="T62" i="6" s="1"/>
  <c r="I301" i="7"/>
  <c r="BB301" i="7" s="1"/>
  <c r="AI272" i="7"/>
  <c r="AJ272" i="7" l="1"/>
  <c r="AK272" i="7" s="1"/>
  <c r="AM272" i="7" s="1"/>
  <c r="AH273" i="7" s="1"/>
  <c r="AI273" i="7" s="1"/>
  <c r="AJ273" i="7" s="1"/>
  <c r="AK273" i="7" s="1"/>
  <c r="AM273" i="7" s="1"/>
  <c r="AH274" i="7" s="1"/>
  <c r="H301" i="7"/>
  <c r="AR277" i="7"/>
  <c r="AS277" i="7" s="1"/>
  <c r="AU277" i="7" s="1"/>
  <c r="AP278" i="7" s="1"/>
  <c r="C61" i="7"/>
  <c r="BA61" i="7" s="1"/>
  <c r="AQ278" i="7" l="1"/>
  <c r="AR278" i="7" s="1"/>
  <c r="AI274" i="7"/>
  <c r="AJ274" i="7" s="1"/>
  <c r="D61" i="7"/>
  <c r="I302" i="7"/>
  <c r="BB302" i="7" s="1"/>
  <c r="B26" i="2" s="1"/>
  <c r="H302" i="7"/>
  <c r="AK274" i="7" l="1"/>
  <c r="AM274" i="7" s="1"/>
  <c r="AH275" i="7" s="1"/>
  <c r="AI275" i="7" s="1"/>
  <c r="AJ275" i="7" s="1"/>
  <c r="AK275" i="7" s="1"/>
  <c r="AM275" i="7" s="1"/>
  <c r="AH276" i="7" s="1"/>
  <c r="AS278" i="7"/>
  <c r="AU278" i="7" s="1"/>
  <c r="AP279" i="7" s="1"/>
  <c r="AQ279" i="7" s="1"/>
  <c r="AR279" i="7" s="1"/>
  <c r="AS279" i="7" s="1"/>
  <c r="AU279" i="7" s="1"/>
  <c r="AP280" i="7" s="1"/>
  <c r="AX61" i="7"/>
  <c r="E63" i="6" s="1"/>
  <c r="F63" i="6" s="1"/>
  <c r="E61" i="7"/>
  <c r="AQ280" i="7" l="1"/>
  <c r="AR280" i="7" s="1"/>
  <c r="AS280" i="7" s="1"/>
  <c r="AU280" i="7" s="1"/>
  <c r="AP281" i="7" s="1"/>
  <c r="AI276" i="7"/>
  <c r="Q63" i="6"/>
  <c r="I63" i="6"/>
  <c r="J63" i="6" s="1"/>
  <c r="AQ281" i="7" l="1"/>
  <c r="AR281" i="7" s="1"/>
  <c r="AS281" i="7" s="1"/>
  <c r="AU281" i="7" s="1"/>
  <c r="AP282" i="7" s="1"/>
  <c r="S63" i="6"/>
  <c r="AJ276" i="7"/>
  <c r="AK276" i="7" s="1"/>
  <c r="AM276" i="7" s="1"/>
  <c r="AH277" i="7" s="1"/>
  <c r="K63" i="6"/>
  <c r="AI277" i="7" l="1"/>
  <c r="AQ282" i="7"/>
  <c r="L63" i="6"/>
  <c r="AR282" i="7" l="1"/>
  <c r="AS282" i="7" s="1"/>
  <c r="AU282" i="7" s="1"/>
  <c r="AP283" i="7" s="1"/>
  <c r="AJ277" i="7"/>
  <c r="AK277" i="7" s="1"/>
  <c r="AM277" i="7" s="1"/>
  <c r="AH278" i="7" s="1"/>
  <c r="AD61" i="7"/>
  <c r="AE61" i="7" s="1"/>
  <c r="Z62" i="7" s="1"/>
  <c r="V61" i="7"/>
  <c r="W61" i="7" s="1"/>
  <c r="R62" i="7" s="1"/>
  <c r="F61" i="7"/>
  <c r="N61" i="7"/>
  <c r="O61" i="7" s="1"/>
  <c r="J62" i="7" s="1"/>
  <c r="AI278" i="7" l="1"/>
  <c r="AQ283" i="7"/>
  <c r="AR283" i="7" s="1"/>
  <c r="K62" i="7"/>
  <c r="L62" i="7" s="1"/>
  <c r="S62" i="7"/>
  <c r="T62" i="7" s="1"/>
  <c r="U62" i="7" s="1"/>
  <c r="AY61" i="7"/>
  <c r="M63" i="6" s="1"/>
  <c r="N63" i="6" s="1"/>
  <c r="O63" i="6" s="1"/>
  <c r="G61" i="7"/>
  <c r="AA62" i="7"/>
  <c r="AB62" i="7" l="1"/>
  <c r="AC62" i="7" s="1"/>
  <c r="M62" i="7"/>
  <c r="AS283" i="7"/>
  <c r="AU283" i="7" s="1"/>
  <c r="AP284" i="7" s="1"/>
  <c r="AQ284" i="7" s="1"/>
  <c r="AJ278" i="7"/>
  <c r="AK278" i="7" s="1"/>
  <c r="AM278" i="7" s="1"/>
  <c r="AH279" i="7" s="1"/>
  <c r="B62" i="7"/>
  <c r="AZ61" i="7"/>
  <c r="P63" i="6" s="1"/>
  <c r="T63" i="6" s="1"/>
  <c r="AI279" i="7" l="1"/>
  <c r="AJ279" i="7" s="1"/>
  <c r="AK279" i="7" s="1"/>
  <c r="AM279" i="7" s="1"/>
  <c r="AH280" i="7" s="1"/>
  <c r="C62" i="7"/>
  <c r="BA62" i="7" s="1"/>
  <c r="AR284" i="7"/>
  <c r="AS284" i="7" s="1"/>
  <c r="AU284" i="7" s="1"/>
  <c r="AP285" i="7" s="1"/>
  <c r="D62" i="7" l="1"/>
  <c r="AX62" i="7" s="1"/>
  <c r="E64" i="6" s="1"/>
  <c r="F64" i="6" s="1"/>
  <c r="I64" i="6" s="1"/>
  <c r="J64" i="6" s="1"/>
  <c r="AQ285" i="7"/>
  <c r="AR285" i="7" s="1"/>
  <c r="AS285" i="7" s="1"/>
  <c r="AU285" i="7" s="1"/>
  <c r="AP286" i="7" s="1"/>
  <c r="AI280" i="7"/>
  <c r="AJ280" i="7" s="1"/>
  <c r="AK280" i="7" s="1"/>
  <c r="AM280" i="7" s="1"/>
  <c r="AH281" i="7" s="1"/>
  <c r="Q64" i="6" l="1"/>
  <c r="E62" i="7"/>
  <c r="AI281" i="7"/>
  <c r="AJ281" i="7" s="1"/>
  <c r="AK281" i="7" s="1"/>
  <c r="AM281" i="7" s="1"/>
  <c r="AH282" i="7" s="1"/>
  <c r="AQ286" i="7"/>
  <c r="K64" i="6"/>
  <c r="S64" i="6"/>
  <c r="AI282" i="7" l="1"/>
  <c r="L64" i="6"/>
  <c r="AR286" i="7"/>
  <c r="AS286" i="7" s="1"/>
  <c r="AU286" i="7" s="1"/>
  <c r="AP287" i="7" s="1"/>
  <c r="AQ287" i="7" l="1"/>
  <c r="AD62" i="7"/>
  <c r="AE62" i="7" s="1"/>
  <c r="Z63" i="7" s="1"/>
  <c r="N62" i="7"/>
  <c r="O62" i="7" s="1"/>
  <c r="J63" i="7" s="1"/>
  <c r="V62" i="7"/>
  <c r="W62" i="7" s="1"/>
  <c r="R63" i="7" s="1"/>
  <c r="F62" i="7"/>
  <c r="AJ282" i="7"/>
  <c r="AK282" i="7" s="1"/>
  <c r="AM282" i="7" s="1"/>
  <c r="AH283" i="7" s="1"/>
  <c r="AI283" i="7" l="1"/>
  <c r="S63" i="7"/>
  <c r="T63" i="7" s="1"/>
  <c r="U63" i="7" s="1"/>
  <c r="K63" i="7"/>
  <c r="AA63" i="7"/>
  <c r="AB63" i="7" s="1"/>
  <c r="AY62" i="7"/>
  <c r="M64" i="6" s="1"/>
  <c r="N64" i="6" s="1"/>
  <c r="O64" i="6" s="1"/>
  <c r="G62" i="7"/>
  <c r="AR287" i="7"/>
  <c r="AS287" i="7" s="1"/>
  <c r="AU287" i="7" s="1"/>
  <c r="AP288" i="7" s="1"/>
  <c r="AQ288" i="7" l="1"/>
  <c r="AR288" i="7" s="1"/>
  <c r="AS288" i="7" s="1"/>
  <c r="AU288" i="7" s="1"/>
  <c r="AP289" i="7" s="1"/>
  <c r="AZ62" i="7"/>
  <c r="P64" i="6" s="1"/>
  <c r="T64" i="6" s="1"/>
  <c r="B63" i="7"/>
  <c r="AC63" i="7"/>
  <c r="L63" i="7"/>
  <c r="M63" i="7" s="1"/>
  <c r="AJ283" i="7"/>
  <c r="AK283" i="7" s="1"/>
  <c r="AM283" i="7" s="1"/>
  <c r="AH284" i="7" s="1"/>
  <c r="AI284" i="7" l="1"/>
  <c r="AQ289" i="7"/>
  <c r="C63" i="7"/>
  <c r="BA63" i="7" s="1"/>
  <c r="D63" i="7" l="1"/>
  <c r="AX63" i="7" s="1"/>
  <c r="E65" i="6" s="1"/>
  <c r="F65" i="6" s="1"/>
  <c r="I65" i="6" s="1"/>
  <c r="J65" i="6" s="1"/>
  <c r="AR289" i="7"/>
  <c r="AS289" i="7" s="1"/>
  <c r="AU289" i="7" s="1"/>
  <c r="AP290" i="7" s="1"/>
  <c r="AJ284" i="7"/>
  <c r="AK284" i="7" s="1"/>
  <c r="AM284" i="7" s="1"/>
  <c r="AH285" i="7" s="1"/>
  <c r="E63" i="7" l="1"/>
  <c r="Q65" i="6"/>
  <c r="AI285" i="7"/>
  <c r="AJ285" i="7" s="1"/>
  <c r="AQ290" i="7"/>
  <c r="S65" i="6"/>
  <c r="K65" i="6"/>
  <c r="AR290" i="7" l="1"/>
  <c r="AS290" i="7" s="1"/>
  <c r="AU290" i="7" s="1"/>
  <c r="AP291" i="7" s="1"/>
  <c r="AQ291" i="7" s="1"/>
  <c r="AK285" i="7"/>
  <c r="AM285" i="7" s="1"/>
  <c r="AH286" i="7" s="1"/>
  <c r="AI286" i="7" s="1"/>
  <c r="L65" i="6"/>
  <c r="AJ286" i="7" l="1"/>
  <c r="AK286" i="7" s="1"/>
  <c r="AM286" i="7" s="1"/>
  <c r="AH287" i="7" s="1"/>
  <c r="AI287" i="7" s="1"/>
  <c r="AJ287" i="7" s="1"/>
  <c r="AK287" i="7" s="1"/>
  <c r="AM287" i="7" s="1"/>
  <c r="AH288" i="7" s="1"/>
  <c r="AD63" i="7"/>
  <c r="AE63" i="7" s="1"/>
  <c r="Z64" i="7" s="1"/>
  <c r="F63" i="7"/>
  <c r="V63" i="7"/>
  <c r="W63" i="7" s="1"/>
  <c r="R64" i="7" s="1"/>
  <c r="N63" i="7"/>
  <c r="O63" i="7" s="1"/>
  <c r="J64" i="7" s="1"/>
  <c r="AR291" i="7"/>
  <c r="AS291" i="7" s="1"/>
  <c r="AU291" i="7" s="1"/>
  <c r="AP292" i="7" s="1"/>
  <c r="AQ292" i="7" l="1"/>
  <c r="AR292" i="7" s="1"/>
  <c r="AS292" i="7" s="1"/>
  <c r="AU292" i="7" s="1"/>
  <c r="AP293" i="7" s="1"/>
  <c r="AI288" i="7"/>
  <c r="AJ288" i="7" s="1"/>
  <c r="AK288" i="7" s="1"/>
  <c r="AM288" i="7" s="1"/>
  <c r="AH289" i="7" s="1"/>
  <c r="S64" i="7"/>
  <c r="K64" i="7"/>
  <c r="L64" i="7" s="1"/>
  <c r="M64" i="7" s="1"/>
  <c r="AY63" i="7"/>
  <c r="M65" i="6" s="1"/>
  <c r="N65" i="6" s="1"/>
  <c r="O65" i="6" s="1"/>
  <c r="G63" i="7"/>
  <c r="AA64" i="7"/>
  <c r="AB64" i="7" s="1"/>
  <c r="AC64" i="7" s="1"/>
  <c r="AI289" i="7" l="1"/>
  <c r="AQ293" i="7"/>
  <c r="B64" i="7"/>
  <c r="AZ63" i="7"/>
  <c r="P65" i="6" s="1"/>
  <c r="T65" i="6" s="1"/>
  <c r="T64" i="7"/>
  <c r="U64" i="7" s="1"/>
  <c r="C64" i="7" l="1"/>
  <c r="BA64" i="7" s="1"/>
  <c r="AJ289" i="7"/>
  <c r="AK289" i="7" s="1"/>
  <c r="AM289" i="7" s="1"/>
  <c r="AH290" i="7" s="1"/>
  <c r="AR293" i="7"/>
  <c r="AS293" i="7" s="1"/>
  <c r="AU293" i="7" s="1"/>
  <c r="AP294" i="7" s="1"/>
  <c r="AQ294" i="7" l="1"/>
  <c r="AI290" i="7"/>
  <c r="D64" i="7"/>
  <c r="AX64" i="7" s="1"/>
  <c r="E66" i="6" s="1"/>
  <c r="F66" i="6" s="1"/>
  <c r="E64" i="7" l="1"/>
  <c r="AJ290" i="7"/>
  <c r="AK290" i="7" s="1"/>
  <c r="AM290" i="7" s="1"/>
  <c r="AH291" i="7" s="1"/>
  <c r="AR294" i="7"/>
  <c r="AS294" i="7" s="1"/>
  <c r="AU294" i="7" s="1"/>
  <c r="AP295" i="7" s="1"/>
  <c r="Q66" i="6"/>
  <c r="I66" i="6"/>
  <c r="J66" i="6" s="1"/>
  <c r="AQ295" i="7" l="1"/>
  <c r="AR295" i="7" s="1"/>
  <c r="AI291" i="7"/>
  <c r="S66" i="6"/>
  <c r="K66" i="6"/>
  <c r="L66" i="6" l="1"/>
  <c r="AJ291" i="7"/>
  <c r="AK291" i="7" s="1"/>
  <c r="AM291" i="7" s="1"/>
  <c r="AH292" i="7" s="1"/>
  <c r="AS295" i="7"/>
  <c r="AU295" i="7" s="1"/>
  <c r="AP296" i="7" s="1"/>
  <c r="AI292" i="7" l="1"/>
  <c r="AQ296" i="7"/>
  <c r="AR296" i="7" s="1"/>
  <c r="AS296" i="7" s="1"/>
  <c r="AU296" i="7" s="1"/>
  <c r="AP297" i="7" s="1"/>
  <c r="AD64" i="7"/>
  <c r="AE64" i="7" s="1"/>
  <c r="Z65" i="7" s="1"/>
  <c r="V64" i="7"/>
  <c r="W64" i="7" s="1"/>
  <c r="R65" i="7" s="1"/>
  <c r="F64" i="7"/>
  <c r="N64" i="7"/>
  <c r="O64" i="7" s="1"/>
  <c r="J65" i="7" s="1"/>
  <c r="AQ297" i="7" l="1"/>
  <c r="AR297" i="7" s="1"/>
  <c r="AS297" i="7" s="1"/>
  <c r="AU297" i="7" s="1"/>
  <c r="AP298" i="7" s="1"/>
  <c r="K65" i="7"/>
  <c r="S65" i="7"/>
  <c r="T65" i="7" s="1"/>
  <c r="U65" i="7" s="1"/>
  <c r="AA65" i="7"/>
  <c r="AY64" i="7"/>
  <c r="M66" i="6" s="1"/>
  <c r="N66" i="6" s="1"/>
  <c r="O66" i="6" s="1"/>
  <c r="G64" i="7"/>
  <c r="AJ292" i="7"/>
  <c r="AK292" i="7" s="1"/>
  <c r="AM292" i="7" s="1"/>
  <c r="AH293" i="7" s="1"/>
  <c r="AI293" i="7" l="1"/>
  <c r="AJ293" i="7" s="1"/>
  <c r="AK293" i="7" s="1"/>
  <c r="AM293" i="7" s="1"/>
  <c r="AH294" i="7" s="1"/>
  <c r="AQ298" i="7"/>
  <c r="AR298" i="7" s="1"/>
  <c r="B65" i="7"/>
  <c r="AZ64" i="7"/>
  <c r="P66" i="6" s="1"/>
  <c r="T66" i="6" s="1"/>
  <c r="AB65" i="7"/>
  <c r="AC65" i="7" s="1"/>
  <c r="L65" i="7"/>
  <c r="M65" i="7" s="1"/>
  <c r="AI294" i="7" l="1"/>
  <c r="C65" i="7"/>
  <c r="BA65" i="7" s="1"/>
  <c r="AS298" i="7"/>
  <c r="AU298" i="7" s="1"/>
  <c r="AP299" i="7" s="1"/>
  <c r="AQ299" i="7" l="1"/>
  <c r="D65" i="7"/>
  <c r="AX65" i="7" s="1"/>
  <c r="E67" i="6" s="1"/>
  <c r="F67" i="6" s="1"/>
  <c r="AJ294" i="7"/>
  <c r="AK294" i="7" s="1"/>
  <c r="AM294" i="7" s="1"/>
  <c r="AH295" i="7" s="1"/>
  <c r="AI295" i="7" l="1"/>
  <c r="Q67" i="6"/>
  <c r="I67" i="6"/>
  <c r="J67" i="6" s="1"/>
  <c r="AR299" i="7"/>
  <c r="AS299" i="7" s="1"/>
  <c r="AU299" i="7" s="1"/>
  <c r="AP300" i="7" s="1"/>
  <c r="E65" i="7"/>
  <c r="AQ300" i="7" l="1"/>
  <c r="S67" i="6"/>
  <c r="K67" i="6"/>
  <c r="AJ295" i="7"/>
  <c r="AK295" i="7" s="1"/>
  <c r="AM295" i="7" s="1"/>
  <c r="AH296" i="7" s="1"/>
  <c r="AI296" i="7" l="1"/>
  <c r="AJ296" i="7" s="1"/>
  <c r="AK296" i="7" s="1"/>
  <c r="AM296" i="7" s="1"/>
  <c r="AH297" i="7" s="1"/>
  <c r="L67" i="6"/>
  <c r="AR300" i="7"/>
  <c r="AS300" i="7" s="1"/>
  <c r="AU300" i="7" s="1"/>
  <c r="AP301" i="7" s="1"/>
  <c r="AQ301" i="7" l="1"/>
  <c r="AR301" i="7" s="1"/>
  <c r="AS301" i="7" s="1"/>
  <c r="AU301" i="7" s="1"/>
  <c r="AP302" i="7" s="1"/>
  <c r="AI297" i="7"/>
  <c r="AJ297" i="7" s="1"/>
  <c r="AD65" i="7"/>
  <c r="AE65" i="7" s="1"/>
  <c r="Z66" i="7" s="1"/>
  <c r="N65" i="7"/>
  <c r="O65" i="7" s="1"/>
  <c r="J66" i="7" s="1"/>
  <c r="V65" i="7"/>
  <c r="W65" i="7" s="1"/>
  <c r="R66" i="7" s="1"/>
  <c r="F65" i="7"/>
  <c r="AQ302" i="7" l="1"/>
  <c r="S66" i="7"/>
  <c r="AY65" i="7"/>
  <c r="M67" i="6" s="1"/>
  <c r="N67" i="6" s="1"/>
  <c r="O67" i="6" s="1"/>
  <c r="G65" i="7"/>
  <c r="K66" i="7"/>
  <c r="L66" i="7" s="1"/>
  <c r="M66" i="7" s="1"/>
  <c r="AA66" i="7"/>
  <c r="AK297" i="7"/>
  <c r="AM297" i="7" s="1"/>
  <c r="AH298" i="7" s="1"/>
  <c r="AI298" i="7" l="1"/>
  <c r="AJ298" i="7" s="1"/>
  <c r="AB66" i="7"/>
  <c r="AC66" i="7" s="1"/>
  <c r="AZ65" i="7"/>
  <c r="P67" i="6" s="1"/>
  <c r="T67" i="6" s="1"/>
  <c r="B66" i="7"/>
  <c r="T66" i="7"/>
  <c r="U66" i="7" s="1"/>
  <c r="AR302" i="7"/>
  <c r="AS302" i="7" s="1"/>
  <c r="AU302" i="7" s="1"/>
  <c r="C66" i="7" l="1"/>
  <c r="BA66" i="7" s="1"/>
  <c r="AK298" i="7"/>
  <c r="AM298" i="7" s="1"/>
  <c r="AH299" i="7" s="1"/>
  <c r="AI299" i="7" l="1"/>
  <c r="D66" i="7"/>
  <c r="AX66" i="7" s="1"/>
  <c r="E68" i="6" s="1"/>
  <c r="F68" i="6" s="1"/>
  <c r="E66" i="7" l="1"/>
  <c r="I68" i="6"/>
  <c r="J68" i="6" s="1"/>
  <c r="Q68" i="6"/>
  <c r="AJ299" i="7"/>
  <c r="AK299" i="7" s="1"/>
  <c r="AM299" i="7" s="1"/>
  <c r="AH300" i="7" s="1"/>
  <c r="AI300" i="7" l="1"/>
  <c r="AJ300" i="7" s="1"/>
  <c r="AK300" i="7" s="1"/>
  <c r="AM300" i="7" s="1"/>
  <c r="AH301" i="7" s="1"/>
  <c r="S68" i="6"/>
  <c r="K68" i="6"/>
  <c r="AI301" i="7" l="1"/>
  <c r="AJ301" i="7" s="1"/>
  <c r="L68" i="6"/>
  <c r="AK301" i="7" l="1"/>
  <c r="AM301" i="7" s="1"/>
  <c r="AH302" i="7" s="1"/>
  <c r="AI302" i="7" s="1"/>
  <c r="AD66" i="7"/>
  <c r="AE66" i="7" s="1"/>
  <c r="Z67" i="7" s="1"/>
  <c r="V66" i="7"/>
  <c r="W66" i="7" s="1"/>
  <c r="R67" i="7" s="1"/>
  <c r="F66" i="7"/>
  <c r="N66" i="7"/>
  <c r="O66" i="7" s="1"/>
  <c r="J67" i="7" s="1"/>
  <c r="AJ302" i="7" l="1"/>
  <c r="AK302" i="7" s="1"/>
  <c r="AM302" i="7" s="1"/>
  <c r="K67" i="7"/>
  <c r="L67" i="7" s="1"/>
  <c r="S67" i="7"/>
  <c r="AA67" i="7"/>
  <c r="AB67" i="7" s="1"/>
  <c r="AC67" i="7" s="1"/>
  <c r="AY66" i="7"/>
  <c r="M68" i="6" s="1"/>
  <c r="N68" i="6" s="1"/>
  <c r="O68" i="6" s="1"/>
  <c r="G66" i="7"/>
  <c r="M67" i="7" l="1"/>
  <c r="AZ66" i="7"/>
  <c r="P68" i="6" s="1"/>
  <c r="T68" i="6" s="1"/>
  <c r="B67" i="7"/>
  <c r="T67" i="7"/>
  <c r="U67" i="7" s="1"/>
  <c r="C67" i="7" l="1"/>
  <c r="BA67" i="7" s="1"/>
  <c r="D67" i="7" l="1"/>
  <c r="AX67" i="7" s="1"/>
  <c r="E69" i="6" s="1"/>
  <c r="F69" i="6" s="1"/>
  <c r="E67" i="7" l="1"/>
  <c r="Q69" i="6"/>
  <c r="I69" i="6"/>
  <c r="J69" i="6" s="1"/>
  <c r="S69" i="6" l="1"/>
  <c r="K69" i="6"/>
  <c r="L69" i="6" l="1"/>
  <c r="AD67" i="7" l="1"/>
  <c r="AE67" i="7" s="1"/>
  <c r="Z68" i="7" s="1"/>
  <c r="F67" i="7"/>
  <c r="V67" i="7"/>
  <c r="W67" i="7" s="1"/>
  <c r="R68" i="7" s="1"/>
  <c r="N67" i="7"/>
  <c r="O67" i="7" s="1"/>
  <c r="J68" i="7" s="1"/>
  <c r="K68" i="7" l="1"/>
  <c r="S68" i="7"/>
  <c r="T68" i="7" s="1"/>
  <c r="U68" i="7" s="1"/>
  <c r="AA68" i="7"/>
  <c r="AY67" i="7"/>
  <c r="M69" i="6" s="1"/>
  <c r="N69" i="6" s="1"/>
  <c r="O69" i="6" s="1"/>
  <c r="G67" i="7"/>
  <c r="B68" i="7" l="1"/>
  <c r="AZ67" i="7"/>
  <c r="P69" i="6" s="1"/>
  <c r="T69" i="6" s="1"/>
  <c r="AB68" i="7"/>
  <c r="AC68" i="7" s="1"/>
  <c r="L68" i="7"/>
  <c r="M68" i="7" s="1"/>
  <c r="C68" i="7" l="1"/>
  <c r="BA68" i="7" s="1"/>
  <c r="D68" i="7" l="1"/>
  <c r="AX68" i="7" s="1"/>
  <c r="E70" i="6" s="1"/>
  <c r="F70" i="6" s="1"/>
  <c r="E68" i="7" l="1"/>
  <c r="Q70" i="6"/>
  <c r="I70" i="6"/>
  <c r="J70" i="6" s="1"/>
  <c r="S70" i="6" l="1"/>
  <c r="K70" i="6"/>
  <c r="L70" i="6" l="1"/>
  <c r="AD68" i="7" l="1"/>
  <c r="AE68" i="7" s="1"/>
  <c r="Z69" i="7" s="1"/>
  <c r="N68" i="7"/>
  <c r="O68" i="7" s="1"/>
  <c r="J69" i="7" s="1"/>
  <c r="V68" i="7"/>
  <c r="W68" i="7" s="1"/>
  <c r="R69" i="7" s="1"/>
  <c r="F68" i="7"/>
  <c r="AY68" i="7" l="1"/>
  <c r="M70" i="6" s="1"/>
  <c r="N70" i="6" s="1"/>
  <c r="O70" i="6" s="1"/>
  <c r="G68" i="7"/>
  <c r="S69" i="7"/>
  <c r="T69" i="7" s="1"/>
  <c r="AA69" i="7"/>
  <c r="K69" i="7"/>
  <c r="L69" i="7" s="1"/>
  <c r="M69" i="7" l="1"/>
  <c r="AB69" i="7"/>
  <c r="AC69" i="7" s="1"/>
  <c r="U69" i="7"/>
  <c r="B69" i="7"/>
  <c r="AZ68" i="7"/>
  <c r="P70" i="6" s="1"/>
  <c r="T70" i="6" s="1"/>
  <c r="C69" i="7" l="1"/>
  <c r="BA69" i="7" s="1"/>
  <c r="D69" i="7" l="1"/>
  <c r="AX69" i="7" s="1"/>
  <c r="E71" i="6" s="1"/>
  <c r="F71" i="6" s="1"/>
  <c r="Q71" i="6" s="1"/>
  <c r="E69" i="7" l="1"/>
  <c r="I71" i="6"/>
  <c r="J71" i="6" s="1"/>
  <c r="S71" i="6" s="1"/>
  <c r="K71" i="6" l="1"/>
  <c r="L71" i="6" s="1"/>
  <c r="AD69" i="7" l="1"/>
  <c r="AE69" i="7" s="1"/>
  <c r="Z70" i="7" s="1"/>
  <c r="V69" i="7"/>
  <c r="W69" i="7" s="1"/>
  <c r="R70" i="7" s="1"/>
  <c r="N69" i="7"/>
  <c r="O69" i="7" s="1"/>
  <c r="J70" i="7" s="1"/>
  <c r="F69" i="7"/>
  <c r="AY69" i="7" l="1"/>
  <c r="M71" i="6" s="1"/>
  <c r="N71" i="6" s="1"/>
  <c r="O71" i="6" s="1"/>
  <c r="G69" i="7"/>
  <c r="K70" i="7"/>
  <c r="L70" i="7" s="1"/>
  <c r="M70" i="7" s="1"/>
  <c r="S70" i="7"/>
  <c r="T70" i="7" s="1"/>
  <c r="AA70" i="7"/>
  <c r="AB70" i="7" s="1"/>
  <c r="U70" i="7" l="1"/>
  <c r="B70" i="7"/>
  <c r="AZ69" i="7"/>
  <c r="P71" i="6" s="1"/>
  <c r="T71" i="6" s="1"/>
  <c r="AC70" i="7"/>
  <c r="C70" i="7" l="1"/>
  <c r="BA70" i="7" s="1"/>
  <c r="D70" i="7" l="1"/>
  <c r="AX70" i="7" s="1"/>
  <c r="E72" i="6" s="1"/>
  <c r="F72" i="6" s="1"/>
  <c r="Q72" i="6" l="1"/>
  <c r="I72" i="6"/>
  <c r="J72" i="6" s="1"/>
  <c r="E70" i="7"/>
  <c r="K72" i="6" l="1"/>
  <c r="S72" i="6"/>
  <c r="L72" i="6" l="1"/>
  <c r="AD70" i="7" l="1"/>
  <c r="AE70" i="7" s="1"/>
  <c r="Z71" i="7" s="1"/>
  <c r="F70" i="7"/>
  <c r="N70" i="7"/>
  <c r="O70" i="7" s="1"/>
  <c r="J71" i="7" s="1"/>
  <c r="V70" i="7"/>
  <c r="W70" i="7" s="1"/>
  <c r="R71" i="7" s="1"/>
  <c r="S71" i="7" l="1"/>
  <c r="T71" i="7" s="1"/>
  <c r="K71" i="7"/>
  <c r="AY70" i="7"/>
  <c r="M72" i="6" s="1"/>
  <c r="N72" i="6" s="1"/>
  <c r="O72" i="6" s="1"/>
  <c r="G70" i="7"/>
  <c r="AA71" i="7"/>
  <c r="AB71" i="7" l="1"/>
  <c r="AC71" i="7" s="1"/>
  <c r="B71" i="7"/>
  <c r="AZ70" i="7"/>
  <c r="P72" i="6" s="1"/>
  <c r="T72" i="6" s="1"/>
  <c r="L71" i="7"/>
  <c r="M71" i="7" s="1"/>
  <c r="U71" i="7"/>
  <c r="C71" i="7" l="1"/>
  <c r="BA71" i="7" s="1"/>
  <c r="D71" i="7" l="1"/>
  <c r="AX71" i="7" s="1"/>
  <c r="E73" i="6" s="1"/>
  <c r="F73" i="6" s="1"/>
  <c r="Q73" i="6" s="1"/>
  <c r="E71" i="7" l="1"/>
  <c r="I73" i="6"/>
  <c r="J73" i="6" s="1"/>
  <c r="S73" i="6" s="1"/>
  <c r="K73" i="6" l="1"/>
  <c r="L73" i="6" s="1"/>
  <c r="AD71" i="7" l="1"/>
  <c r="AE71" i="7" s="1"/>
  <c r="Z72" i="7" s="1"/>
  <c r="V71" i="7"/>
  <c r="W71" i="7" s="1"/>
  <c r="R72" i="7" s="1"/>
  <c r="N71" i="7"/>
  <c r="O71" i="7" s="1"/>
  <c r="J72" i="7" s="1"/>
  <c r="F71" i="7"/>
  <c r="AY71" i="7" l="1"/>
  <c r="M73" i="6" s="1"/>
  <c r="N73" i="6" s="1"/>
  <c r="O73" i="6" s="1"/>
  <c r="G71" i="7"/>
  <c r="K72" i="7"/>
  <c r="S72" i="7"/>
  <c r="T72" i="7" s="1"/>
  <c r="AA72" i="7"/>
  <c r="AB72" i="7" s="1"/>
  <c r="AC72" i="7" l="1"/>
  <c r="U72" i="7"/>
  <c r="L72" i="7"/>
  <c r="M72" i="7" s="1"/>
  <c r="B72" i="7"/>
  <c r="AZ71" i="7"/>
  <c r="P73" i="6" s="1"/>
  <c r="T73" i="6" s="1"/>
  <c r="C72" i="7" l="1"/>
  <c r="BA72" i="7" s="1"/>
  <c r="D72" i="7" l="1"/>
  <c r="AX72" i="7" s="1"/>
  <c r="E74" i="6" s="1"/>
  <c r="F74" i="6" s="1"/>
  <c r="E72" i="7" l="1"/>
  <c r="I74" i="6"/>
  <c r="J74" i="6" s="1"/>
  <c r="Q74" i="6"/>
  <c r="K74" i="6" l="1"/>
  <c r="S74" i="6"/>
  <c r="L74" i="6" l="1"/>
  <c r="AD72" i="7" l="1"/>
  <c r="AE72" i="7" s="1"/>
  <c r="Z73" i="7" s="1"/>
  <c r="F72" i="7"/>
  <c r="N72" i="7"/>
  <c r="O72" i="7" s="1"/>
  <c r="J73" i="7" s="1"/>
  <c r="V72" i="7"/>
  <c r="W72" i="7" s="1"/>
  <c r="R73" i="7" s="1"/>
  <c r="S73" i="7" l="1"/>
  <c r="K73" i="7"/>
  <c r="L73" i="7" s="1"/>
  <c r="M73" i="7" s="1"/>
  <c r="AY72" i="7"/>
  <c r="M74" i="6" s="1"/>
  <c r="N74" i="6" s="1"/>
  <c r="O74" i="6" s="1"/>
  <c r="G72" i="7"/>
  <c r="AA73" i="7"/>
  <c r="AB73" i="7" s="1"/>
  <c r="B73" i="7" l="1"/>
  <c r="AZ72" i="7"/>
  <c r="P74" i="6" s="1"/>
  <c r="T74" i="6" s="1"/>
  <c r="T73" i="7"/>
  <c r="U73" i="7" s="1"/>
  <c r="AC73" i="7"/>
  <c r="C73" i="7" l="1"/>
  <c r="BA73" i="7" s="1"/>
  <c r="D73" i="7" l="1"/>
  <c r="AX73" i="7" s="1"/>
  <c r="E75" i="6" s="1"/>
  <c r="F75" i="6" s="1"/>
  <c r="E73" i="7" l="1"/>
  <c r="I75" i="6"/>
  <c r="J75" i="6" s="1"/>
  <c r="Q75" i="6"/>
  <c r="K75" i="6" l="1"/>
  <c r="L75" i="6" s="1"/>
  <c r="S75" i="6"/>
  <c r="AD73" i="7" l="1"/>
  <c r="AE73" i="7" s="1"/>
  <c r="Z74" i="7" s="1"/>
  <c r="N73" i="7"/>
  <c r="O73" i="7" s="1"/>
  <c r="J74" i="7" s="1"/>
  <c r="V73" i="7"/>
  <c r="W73" i="7" s="1"/>
  <c r="R74" i="7" s="1"/>
  <c r="F73" i="7"/>
  <c r="AY73" i="7" l="1"/>
  <c r="M75" i="6" s="1"/>
  <c r="N75" i="6" s="1"/>
  <c r="O75" i="6" s="1"/>
  <c r="G73" i="7"/>
  <c r="S74" i="7"/>
  <c r="T74" i="7" s="1"/>
  <c r="AA74" i="7"/>
  <c r="AB74" i="7" s="1"/>
  <c r="AC74" i="7" s="1"/>
  <c r="K74" i="7"/>
  <c r="L74" i="7" l="1"/>
  <c r="M74" i="7" s="1"/>
  <c r="U74" i="7"/>
  <c r="B74" i="7"/>
  <c r="AZ73" i="7"/>
  <c r="P75" i="6" s="1"/>
  <c r="T75" i="6" s="1"/>
  <c r="C74" i="7" l="1"/>
  <c r="BA74" i="7" s="1"/>
  <c r="D74" i="7" l="1"/>
  <c r="AX74" i="7" s="1"/>
  <c r="E76" i="6" s="1"/>
  <c r="F76" i="6" s="1"/>
  <c r="E74" i="7" l="1"/>
  <c r="Q76" i="6"/>
  <c r="I76" i="6"/>
  <c r="J76" i="6" s="1"/>
  <c r="K76" i="6" l="1"/>
  <c r="L76" i="6" s="1"/>
  <c r="S76" i="6"/>
  <c r="AD74" i="7" l="1"/>
  <c r="AE74" i="7" s="1"/>
  <c r="Z75" i="7" s="1"/>
  <c r="F74" i="7"/>
  <c r="N74" i="7"/>
  <c r="O74" i="7" s="1"/>
  <c r="J75" i="7" s="1"/>
  <c r="V74" i="7"/>
  <c r="W74" i="7" s="1"/>
  <c r="R75" i="7" s="1"/>
  <c r="S75" i="7" l="1"/>
  <c r="T75" i="7" s="1"/>
  <c r="U75" i="7" s="1"/>
  <c r="K75" i="7"/>
  <c r="AA75" i="7"/>
  <c r="AY74" i="7"/>
  <c r="M76" i="6" s="1"/>
  <c r="N76" i="6" s="1"/>
  <c r="O76" i="6" s="1"/>
  <c r="G74" i="7"/>
  <c r="B75" i="7" l="1"/>
  <c r="AZ74" i="7"/>
  <c r="P76" i="6" s="1"/>
  <c r="T76" i="6" s="1"/>
  <c r="AB75" i="7"/>
  <c r="AC75" i="7" s="1"/>
  <c r="L75" i="7"/>
  <c r="M75" i="7" s="1"/>
  <c r="C75" i="7" l="1"/>
  <c r="BA75" i="7" s="1"/>
  <c r="D75" i="7" l="1"/>
  <c r="AX75" i="7" s="1"/>
  <c r="E77" i="6" s="1"/>
  <c r="F77" i="6" s="1"/>
  <c r="E75" i="7" l="1"/>
  <c r="I77" i="6"/>
  <c r="J77" i="6" s="1"/>
  <c r="Q77" i="6"/>
  <c r="K77" i="6" l="1"/>
  <c r="L77" i="6" s="1"/>
  <c r="S77" i="6"/>
  <c r="AD75" i="7" l="1"/>
  <c r="AE75" i="7" s="1"/>
  <c r="Z76" i="7" s="1"/>
  <c r="V75" i="7"/>
  <c r="W75" i="7" s="1"/>
  <c r="R76" i="7" s="1"/>
  <c r="N75" i="7"/>
  <c r="O75" i="7" s="1"/>
  <c r="J76" i="7" s="1"/>
  <c r="F75" i="7"/>
  <c r="AY75" i="7" l="1"/>
  <c r="M77" i="6" s="1"/>
  <c r="N77" i="6" s="1"/>
  <c r="O77" i="6" s="1"/>
  <c r="G75" i="7"/>
  <c r="S76" i="7"/>
  <c r="K76" i="7"/>
  <c r="L76" i="7" s="1"/>
  <c r="AA76" i="7"/>
  <c r="AB76" i="7" l="1"/>
  <c r="AC76" i="7" s="1"/>
  <c r="M76" i="7"/>
  <c r="T76" i="7"/>
  <c r="U76" i="7" s="1"/>
  <c r="AZ75" i="7"/>
  <c r="P77" i="6" s="1"/>
  <c r="T77" i="6" s="1"/>
  <c r="B76" i="7"/>
  <c r="C76" i="7" l="1"/>
  <c r="BA76" i="7" s="1"/>
  <c r="D76" i="7" l="1"/>
  <c r="AX76" i="7" s="1"/>
  <c r="E78" i="6" s="1"/>
  <c r="F78" i="6" s="1"/>
  <c r="E76" i="7" l="1"/>
  <c r="Q78" i="6"/>
  <c r="I78" i="6"/>
  <c r="J78" i="6" s="1"/>
  <c r="S78" i="6" l="1"/>
  <c r="K78" i="6"/>
  <c r="L78" i="6" l="1"/>
  <c r="AD76" i="7" l="1"/>
  <c r="AE76" i="7" s="1"/>
  <c r="Z77" i="7" s="1"/>
  <c r="F76" i="7"/>
  <c r="N76" i="7"/>
  <c r="O76" i="7" s="1"/>
  <c r="J77" i="7" s="1"/>
  <c r="V76" i="7"/>
  <c r="W76" i="7" s="1"/>
  <c r="R77" i="7" s="1"/>
  <c r="S77" i="7" l="1"/>
  <c r="T77" i="7" s="1"/>
  <c r="U77" i="7" s="1"/>
  <c r="K77" i="7"/>
  <c r="AA77" i="7"/>
  <c r="AY76" i="7"/>
  <c r="M78" i="6" s="1"/>
  <c r="N78" i="6" s="1"/>
  <c r="O78" i="6" s="1"/>
  <c r="G76" i="7"/>
  <c r="AB77" i="7" l="1"/>
  <c r="AC77" i="7" s="1"/>
  <c r="AZ76" i="7"/>
  <c r="P78" i="6" s="1"/>
  <c r="T78" i="6" s="1"/>
  <c r="B77" i="7"/>
  <c r="L77" i="7"/>
  <c r="M77" i="7" s="1"/>
  <c r="C77" i="7" l="1"/>
  <c r="BA77" i="7" s="1"/>
  <c r="D77" i="7" l="1"/>
  <c r="AX77" i="7" s="1"/>
  <c r="E79" i="6" s="1"/>
  <c r="F79" i="6" s="1"/>
  <c r="E77" i="7" l="1"/>
  <c r="Q79" i="6"/>
  <c r="I79" i="6"/>
  <c r="J79" i="6" s="1"/>
  <c r="S79" i="6" l="1"/>
  <c r="K79" i="6"/>
  <c r="L79" i="6" l="1"/>
  <c r="AD77" i="7" l="1"/>
  <c r="AE77" i="7" s="1"/>
  <c r="Z78" i="7" s="1"/>
  <c r="V77" i="7"/>
  <c r="W77" i="7" s="1"/>
  <c r="R78" i="7" s="1"/>
  <c r="N77" i="7"/>
  <c r="O77" i="7" s="1"/>
  <c r="J78" i="7" s="1"/>
  <c r="F77" i="7"/>
  <c r="AY77" i="7" l="1"/>
  <c r="M79" i="6" s="1"/>
  <c r="N79" i="6" s="1"/>
  <c r="O79" i="6" s="1"/>
  <c r="G77" i="7"/>
  <c r="S78" i="7"/>
  <c r="T78" i="7" s="1"/>
  <c r="U78" i="7" s="1"/>
  <c r="K78" i="7"/>
  <c r="L78" i="7" s="1"/>
  <c r="AA78" i="7"/>
  <c r="AB78" i="7" s="1"/>
  <c r="AC78" i="7" l="1"/>
  <c r="M78" i="7"/>
  <c r="B78" i="7"/>
  <c r="AZ77" i="7"/>
  <c r="P79" i="6" s="1"/>
  <c r="T79" i="6" s="1"/>
  <c r="C78" i="7" l="1"/>
  <c r="BA78" i="7" s="1"/>
  <c r="D78" i="7" l="1"/>
  <c r="AX78" i="7" s="1"/>
  <c r="E80" i="6" s="1"/>
  <c r="F80" i="6" s="1"/>
  <c r="I80" i="6" l="1"/>
  <c r="J80" i="6" s="1"/>
  <c r="Q80" i="6"/>
  <c r="E78" i="7"/>
  <c r="K80" i="6" l="1"/>
  <c r="L80" i="6" s="1"/>
  <c r="S80" i="6"/>
  <c r="AD78" i="7" l="1"/>
  <c r="AE78" i="7" s="1"/>
  <c r="Z79" i="7" s="1"/>
  <c r="N78" i="7"/>
  <c r="O78" i="7" s="1"/>
  <c r="J79" i="7" s="1"/>
  <c r="V78" i="7"/>
  <c r="W78" i="7" s="1"/>
  <c r="R79" i="7" s="1"/>
  <c r="F78" i="7"/>
  <c r="AY78" i="7" l="1"/>
  <c r="M80" i="6" s="1"/>
  <c r="N80" i="6" s="1"/>
  <c r="O80" i="6" s="1"/>
  <c r="G78" i="7"/>
  <c r="S79" i="7"/>
  <c r="AA79" i="7"/>
  <c r="K79" i="7"/>
  <c r="L79" i="7" s="1"/>
  <c r="M79" i="7" l="1"/>
  <c r="AB79" i="7"/>
  <c r="AC79" i="7" s="1"/>
  <c r="T79" i="7"/>
  <c r="U79" i="7" s="1"/>
  <c r="B79" i="7"/>
  <c r="AZ78" i="7"/>
  <c r="P80" i="6" s="1"/>
  <c r="T80" i="6" s="1"/>
  <c r="C79" i="7" l="1"/>
  <c r="BA79" i="7" s="1"/>
  <c r="D79" i="7" l="1"/>
  <c r="AX79" i="7" s="1"/>
  <c r="E81" i="6" s="1"/>
  <c r="F81" i="6" s="1"/>
  <c r="E79" i="7" l="1"/>
  <c r="I81" i="6"/>
  <c r="J81" i="6" s="1"/>
  <c r="Q81" i="6"/>
  <c r="K81" i="6" l="1"/>
  <c r="S81" i="6"/>
  <c r="L81" i="6" l="1"/>
  <c r="AD79" i="7" l="1"/>
  <c r="AE79" i="7" s="1"/>
  <c r="Z80" i="7" s="1"/>
  <c r="V79" i="7"/>
  <c r="W79" i="7" s="1"/>
  <c r="R80" i="7" s="1"/>
  <c r="F79" i="7"/>
  <c r="N79" i="7"/>
  <c r="O79" i="7" s="1"/>
  <c r="J80" i="7" s="1"/>
  <c r="K80" i="7" l="1"/>
  <c r="AY79" i="7"/>
  <c r="M81" i="6" s="1"/>
  <c r="N81" i="6" s="1"/>
  <c r="O81" i="6" s="1"/>
  <c r="G79" i="7"/>
  <c r="S80" i="7"/>
  <c r="AA80" i="7"/>
  <c r="AB80" i="7" l="1"/>
  <c r="AC80" i="7" s="1"/>
  <c r="T80" i="7"/>
  <c r="U80" i="7" s="1"/>
  <c r="AZ79" i="7"/>
  <c r="P81" i="6" s="1"/>
  <c r="T81" i="6" s="1"/>
  <c r="B80" i="7"/>
  <c r="L80" i="7"/>
  <c r="M80" i="7" s="1"/>
  <c r="C80" i="7" l="1"/>
  <c r="BA80" i="7" s="1"/>
  <c r="D80" i="7" l="1"/>
  <c r="AX80" i="7" s="1"/>
  <c r="E82" i="6" s="1"/>
  <c r="F82" i="6" s="1"/>
  <c r="E80" i="7" l="1"/>
  <c r="Q82" i="6"/>
  <c r="I82" i="6"/>
  <c r="J82" i="6" s="1"/>
  <c r="S82" i="6" l="1"/>
  <c r="K82" i="6"/>
  <c r="L82" i="6" l="1"/>
  <c r="AD80" i="7" l="1"/>
  <c r="AE80" i="7" s="1"/>
  <c r="Z81" i="7" s="1"/>
  <c r="F80" i="7"/>
  <c r="V80" i="7"/>
  <c r="W80" i="7" s="1"/>
  <c r="R81" i="7" s="1"/>
  <c r="N80" i="7"/>
  <c r="O80" i="7" s="1"/>
  <c r="J81" i="7" s="1"/>
  <c r="K81" i="7" l="1"/>
  <c r="L81" i="7" s="1"/>
  <c r="S81" i="7"/>
  <c r="T81" i="7" s="1"/>
  <c r="U81" i="7" s="1"/>
  <c r="AA81" i="7"/>
  <c r="AY80" i="7"/>
  <c r="M82" i="6" s="1"/>
  <c r="N82" i="6" s="1"/>
  <c r="O82" i="6" s="1"/>
  <c r="G80" i="7"/>
  <c r="M81" i="7" l="1"/>
  <c r="B81" i="7"/>
  <c r="AZ80" i="7"/>
  <c r="P82" i="6" s="1"/>
  <c r="T82" i="6" s="1"/>
  <c r="AB81" i="7"/>
  <c r="AC81" i="7" s="1"/>
  <c r="C81" i="7" l="1"/>
  <c r="BA81" i="7" s="1"/>
  <c r="D81" i="7" l="1"/>
  <c r="AX81" i="7" l="1"/>
  <c r="E83" i="6" s="1"/>
  <c r="F83" i="6" s="1"/>
  <c r="E81" i="7"/>
  <c r="Q83" i="6" l="1"/>
  <c r="I83" i="6"/>
  <c r="J83" i="6" s="1"/>
  <c r="K83" i="6" l="1"/>
  <c r="S83" i="6"/>
  <c r="L83" i="6" l="1"/>
  <c r="AD81" i="7" l="1"/>
  <c r="AE81" i="7" s="1"/>
  <c r="Z82" i="7" s="1"/>
  <c r="V81" i="7"/>
  <c r="W81" i="7" s="1"/>
  <c r="R82" i="7" s="1"/>
  <c r="N81" i="7"/>
  <c r="O81" i="7" s="1"/>
  <c r="J82" i="7" s="1"/>
  <c r="F81" i="7"/>
  <c r="K82" i="7" l="1"/>
  <c r="L82" i="7" s="1"/>
  <c r="AY81" i="7"/>
  <c r="M83" i="6" s="1"/>
  <c r="N83" i="6" s="1"/>
  <c r="O83" i="6" s="1"/>
  <c r="G81" i="7"/>
  <c r="S82" i="7"/>
  <c r="AA82" i="7"/>
  <c r="AB82" i="7" s="1"/>
  <c r="AC82" i="7" l="1"/>
  <c r="T82" i="7"/>
  <c r="U82" i="7" s="1"/>
  <c r="AZ81" i="7"/>
  <c r="P83" i="6" s="1"/>
  <c r="T83" i="6" s="1"/>
  <c r="B82" i="7"/>
  <c r="M82" i="7"/>
  <c r="C82" i="7" l="1"/>
  <c r="BA82" i="7" s="1"/>
  <c r="D82" i="7" l="1"/>
  <c r="AX82" i="7" s="1"/>
  <c r="E84" i="6" s="1"/>
  <c r="F84" i="6" s="1"/>
  <c r="E82" i="7" l="1"/>
  <c r="Q84" i="6"/>
  <c r="I84" i="6"/>
  <c r="J84" i="6" s="1"/>
  <c r="S84" i="6" l="1"/>
  <c r="K84" i="6"/>
  <c r="L84" i="6" l="1"/>
  <c r="AD82" i="7" l="1"/>
  <c r="AE82" i="7" s="1"/>
  <c r="Z83" i="7" s="1"/>
  <c r="F82" i="7"/>
  <c r="N82" i="7"/>
  <c r="O82" i="7" s="1"/>
  <c r="J83" i="7" s="1"/>
  <c r="V82" i="7"/>
  <c r="W82" i="7" s="1"/>
  <c r="R83" i="7" s="1"/>
  <c r="K83" i="7" l="1"/>
  <c r="L83" i="7" s="1"/>
  <c r="S83" i="7"/>
  <c r="AY82" i="7"/>
  <c r="M84" i="6" s="1"/>
  <c r="N84" i="6" s="1"/>
  <c r="O84" i="6" s="1"/>
  <c r="G82" i="7"/>
  <c r="AA83" i="7"/>
  <c r="AB83" i="7" l="1"/>
  <c r="AC83" i="7" s="1"/>
  <c r="B83" i="7"/>
  <c r="AZ82" i="7"/>
  <c r="P84" i="6" s="1"/>
  <c r="T84" i="6" s="1"/>
  <c r="T83" i="7"/>
  <c r="U83" i="7" s="1"/>
  <c r="M83" i="7"/>
  <c r="C83" i="7" l="1"/>
  <c r="BA83" i="7" s="1"/>
  <c r="D83" i="7" l="1"/>
  <c r="AX83" i="7" s="1"/>
  <c r="E85" i="6" s="1"/>
  <c r="F85" i="6" s="1"/>
  <c r="Q85" i="6" s="1"/>
  <c r="I85" i="6" l="1"/>
  <c r="J85" i="6" s="1"/>
  <c r="S85" i="6" s="1"/>
  <c r="E83" i="7"/>
  <c r="K85" i="6" l="1"/>
  <c r="L85" i="6" s="1"/>
  <c r="AD83" i="7" l="1"/>
  <c r="AE83" i="7" s="1"/>
  <c r="Z84" i="7" s="1"/>
  <c r="F83" i="7"/>
  <c r="N83" i="7"/>
  <c r="O83" i="7" s="1"/>
  <c r="J84" i="7" s="1"/>
  <c r="V83" i="7"/>
  <c r="W83" i="7" s="1"/>
  <c r="R84" i="7" s="1"/>
  <c r="K84" i="7" l="1"/>
  <c r="AY83" i="7"/>
  <c r="M85" i="6" s="1"/>
  <c r="N85" i="6" s="1"/>
  <c r="O85" i="6" s="1"/>
  <c r="G83" i="7"/>
  <c r="S84" i="7"/>
  <c r="AA84" i="7"/>
  <c r="AB84" i="7" l="1"/>
  <c r="AC84" i="7" s="1"/>
  <c r="T84" i="7"/>
  <c r="U84" i="7" s="1"/>
  <c r="B84" i="7"/>
  <c r="AZ83" i="7"/>
  <c r="P85" i="6" s="1"/>
  <c r="T85" i="6" s="1"/>
  <c r="L84" i="7"/>
  <c r="M84" i="7" s="1"/>
  <c r="C84" i="7" l="1"/>
  <c r="BA84" i="7" s="1"/>
  <c r="D84" i="7" l="1"/>
  <c r="AX84" i="7" s="1"/>
  <c r="E86" i="6" s="1"/>
  <c r="F86" i="6" s="1"/>
  <c r="E84" i="7" l="1"/>
  <c r="I86" i="6"/>
  <c r="J86" i="6" s="1"/>
  <c r="Q86" i="6"/>
  <c r="K86" i="6" l="1"/>
  <c r="S86" i="6"/>
  <c r="L86" i="6" l="1"/>
  <c r="AD84" i="7" l="1"/>
  <c r="AE84" i="7" s="1"/>
  <c r="Z85" i="7" s="1"/>
  <c r="F84" i="7"/>
  <c r="V84" i="7"/>
  <c r="W84" i="7" s="1"/>
  <c r="R85" i="7" s="1"/>
  <c r="N84" i="7"/>
  <c r="O84" i="7" s="1"/>
  <c r="J85" i="7" s="1"/>
  <c r="S85" i="7" l="1"/>
  <c r="T85" i="7" s="1"/>
  <c r="AY84" i="7"/>
  <c r="M86" i="6" s="1"/>
  <c r="N86" i="6" s="1"/>
  <c r="O86" i="6" s="1"/>
  <c r="G84" i="7"/>
  <c r="K85" i="7"/>
  <c r="L85" i="7" s="1"/>
  <c r="M85" i="7" s="1"/>
  <c r="AA85" i="7"/>
  <c r="AB85" i="7" l="1"/>
  <c r="AC85" i="7" s="1"/>
  <c r="U85" i="7"/>
  <c r="AZ84" i="7"/>
  <c r="P86" i="6" s="1"/>
  <c r="T86" i="6" s="1"/>
  <c r="B85" i="7"/>
  <c r="C85" i="7" l="1"/>
  <c r="BA85" i="7" s="1"/>
  <c r="D85" i="7" l="1"/>
  <c r="AX85" i="7" s="1"/>
  <c r="E87" i="6" s="1"/>
  <c r="F87" i="6" s="1"/>
  <c r="E85" i="7" l="1"/>
  <c r="I87" i="6"/>
  <c r="J87" i="6" s="1"/>
  <c r="Q87" i="6"/>
  <c r="K87" i="6" l="1"/>
  <c r="S87" i="6"/>
  <c r="L87" i="6" l="1"/>
  <c r="AD85" i="7" l="1"/>
  <c r="AE85" i="7" s="1"/>
  <c r="Z86" i="7" s="1"/>
  <c r="V85" i="7"/>
  <c r="W85" i="7" s="1"/>
  <c r="R86" i="7" s="1"/>
  <c r="N85" i="7"/>
  <c r="O85" i="7" s="1"/>
  <c r="J86" i="7" s="1"/>
  <c r="F85" i="7"/>
  <c r="K86" i="7" l="1"/>
  <c r="L86" i="7" s="1"/>
  <c r="M86" i="7" s="1"/>
  <c r="S86" i="7"/>
  <c r="T86" i="7" s="1"/>
  <c r="U86" i="7" s="1"/>
  <c r="AY85" i="7"/>
  <c r="M87" i="6" s="1"/>
  <c r="N87" i="6" s="1"/>
  <c r="O87" i="6" s="1"/>
  <c r="G85" i="7"/>
  <c r="AA86" i="7"/>
  <c r="AB86" i="7" s="1"/>
  <c r="AC86" i="7" s="1"/>
  <c r="B86" i="7" l="1"/>
  <c r="AZ85" i="7"/>
  <c r="P87" i="6" s="1"/>
  <c r="T87" i="6" s="1"/>
  <c r="C86" i="7" l="1"/>
  <c r="BA86" i="7" s="1"/>
  <c r="D86" i="7" l="1"/>
  <c r="AX86" i="7" s="1"/>
  <c r="E88" i="6" s="1"/>
  <c r="F88" i="6" s="1"/>
  <c r="Q88" i="6" l="1"/>
  <c r="I88" i="6"/>
  <c r="J88" i="6" s="1"/>
  <c r="E86" i="7"/>
  <c r="K88" i="6" l="1"/>
  <c r="S88" i="6"/>
  <c r="L88" i="6" l="1"/>
  <c r="AD86" i="7" l="1"/>
  <c r="AE86" i="7" s="1"/>
  <c r="Z87" i="7" s="1"/>
  <c r="N86" i="7"/>
  <c r="O86" i="7" s="1"/>
  <c r="J87" i="7" s="1"/>
  <c r="V86" i="7"/>
  <c r="W86" i="7" s="1"/>
  <c r="R87" i="7" s="1"/>
  <c r="F86" i="7"/>
  <c r="S87" i="7" l="1"/>
  <c r="K87" i="7"/>
  <c r="AY86" i="7"/>
  <c r="M88" i="6" s="1"/>
  <c r="N88" i="6" s="1"/>
  <c r="O88" i="6" s="1"/>
  <c r="G86" i="7"/>
  <c r="AA87" i="7"/>
  <c r="AB87" i="7" l="1"/>
  <c r="AC87" i="7" s="1"/>
  <c r="B87" i="7"/>
  <c r="AZ86" i="7"/>
  <c r="P88" i="6" s="1"/>
  <c r="T88" i="6" s="1"/>
  <c r="L87" i="7"/>
  <c r="M87" i="7" s="1"/>
  <c r="T87" i="7"/>
  <c r="U87" i="7" s="1"/>
  <c r="C87" i="7" l="1"/>
  <c r="BA87" i="7" s="1"/>
  <c r="D87" i="7" l="1"/>
  <c r="AX87" i="7" s="1"/>
  <c r="E89" i="6" s="1"/>
  <c r="F89" i="6" s="1"/>
  <c r="E87" i="7" l="1"/>
  <c r="Q89" i="6"/>
  <c r="I89" i="6"/>
  <c r="J89" i="6" s="1"/>
  <c r="S89" i="6" l="1"/>
  <c r="K89" i="6"/>
  <c r="L89" i="6" l="1"/>
  <c r="AD87" i="7" l="1"/>
  <c r="AE87" i="7" s="1"/>
  <c r="Z88" i="7" s="1"/>
  <c r="N87" i="7"/>
  <c r="O87" i="7" s="1"/>
  <c r="J88" i="7" s="1"/>
  <c r="F87" i="7"/>
  <c r="V87" i="7"/>
  <c r="W87" i="7" s="1"/>
  <c r="R88" i="7" s="1"/>
  <c r="AY87" i="7" l="1"/>
  <c r="M89" i="6" s="1"/>
  <c r="N89" i="6" s="1"/>
  <c r="O89" i="6" s="1"/>
  <c r="G87" i="7"/>
  <c r="S88" i="7"/>
  <c r="T88" i="7" s="1"/>
  <c r="K88" i="7"/>
  <c r="AA88" i="7"/>
  <c r="L88" i="7" l="1"/>
  <c r="M88" i="7" s="1"/>
  <c r="U88" i="7"/>
  <c r="B88" i="7"/>
  <c r="AZ87" i="7"/>
  <c r="P89" i="6" s="1"/>
  <c r="T89" i="6" s="1"/>
  <c r="AB88" i="7"/>
  <c r="AC88" i="7" s="1"/>
  <c r="C88" i="7" l="1"/>
  <c r="BA88" i="7" s="1"/>
  <c r="D88" i="7" l="1"/>
  <c r="AX88" i="7" l="1"/>
  <c r="E90" i="6" s="1"/>
  <c r="F90" i="6" s="1"/>
  <c r="E88" i="7"/>
  <c r="Q90" i="6" l="1"/>
  <c r="I90" i="6"/>
  <c r="J90" i="6" s="1"/>
  <c r="S90" i="6" l="1"/>
  <c r="K90" i="6"/>
  <c r="L90" i="6" l="1"/>
  <c r="AD88" i="7" l="1"/>
  <c r="AE88" i="7" s="1"/>
  <c r="Z89" i="7" s="1"/>
  <c r="F88" i="7"/>
  <c r="V88" i="7"/>
  <c r="W88" i="7" s="1"/>
  <c r="R89" i="7" s="1"/>
  <c r="N88" i="7"/>
  <c r="O88" i="7" s="1"/>
  <c r="J89" i="7" s="1"/>
  <c r="K89" i="7" l="1"/>
  <c r="L89" i="7" s="1"/>
  <c r="AY88" i="7"/>
  <c r="M90" i="6" s="1"/>
  <c r="N90" i="6" s="1"/>
  <c r="O90" i="6" s="1"/>
  <c r="G88" i="7"/>
  <c r="S89" i="7"/>
  <c r="AA89" i="7"/>
  <c r="AB89" i="7" s="1"/>
  <c r="AC89" i="7" s="1"/>
  <c r="M89" i="7" l="1"/>
  <c r="T89" i="7"/>
  <c r="U89" i="7" s="1"/>
  <c r="B89" i="7"/>
  <c r="AZ88" i="7"/>
  <c r="P90" i="6" s="1"/>
  <c r="T90" i="6" s="1"/>
  <c r="C89" i="7" l="1"/>
  <c r="BA89" i="7" s="1"/>
  <c r="D89" i="7" l="1"/>
  <c r="AX89" i="7" s="1"/>
  <c r="E91" i="6" s="1"/>
  <c r="F91" i="6" s="1"/>
  <c r="E89" i="7" l="1"/>
  <c r="I91" i="6"/>
  <c r="J91" i="6" s="1"/>
  <c r="Q91" i="6"/>
  <c r="K91" i="6" l="1"/>
  <c r="L91" i="6" s="1"/>
  <c r="S91" i="6"/>
  <c r="AD89" i="7" l="1"/>
  <c r="AE89" i="7" s="1"/>
  <c r="Z90" i="7" s="1"/>
  <c r="F89" i="7"/>
  <c r="V89" i="7"/>
  <c r="W89" i="7" s="1"/>
  <c r="R90" i="7" s="1"/>
  <c r="N89" i="7"/>
  <c r="O89" i="7" s="1"/>
  <c r="J90" i="7" s="1"/>
  <c r="S90" i="7" l="1"/>
  <c r="T90" i="7" s="1"/>
  <c r="U90" i="7" s="1"/>
  <c r="K90" i="7"/>
  <c r="L90" i="7" s="1"/>
  <c r="M90" i="7" s="1"/>
  <c r="AA90" i="7"/>
  <c r="AY89" i="7"/>
  <c r="M91" i="6" s="1"/>
  <c r="N91" i="6" s="1"/>
  <c r="O91" i="6" s="1"/>
  <c r="G89" i="7"/>
  <c r="B90" i="7" l="1"/>
  <c r="AZ89" i="7"/>
  <c r="P91" i="6" s="1"/>
  <c r="T91" i="6" s="1"/>
  <c r="AB90" i="7"/>
  <c r="AC90" i="7" s="1"/>
  <c r="C90" i="7" l="1"/>
  <c r="BA90" i="7" s="1"/>
  <c r="D90" i="7" l="1"/>
  <c r="AX90" i="7" l="1"/>
  <c r="E92" i="6" s="1"/>
  <c r="F92" i="6" s="1"/>
  <c r="E90" i="7"/>
  <c r="Q92" i="6" l="1"/>
  <c r="I92" i="6"/>
  <c r="J92" i="6" s="1"/>
  <c r="S92" i="6" l="1"/>
  <c r="K92" i="6"/>
  <c r="L92" i="6" l="1"/>
  <c r="AD90" i="7" l="1"/>
  <c r="AE90" i="7" s="1"/>
  <c r="Z91" i="7" s="1"/>
  <c r="F90" i="7"/>
  <c r="V90" i="7"/>
  <c r="W90" i="7" s="1"/>
  <c r="R91" i="7" s="1"/>
  <c r="N90" i="7"/>
  <c r="O90" i="7" s="1"/>
  <c r="J91" i="7" s="1"/>
  <c r="K91" i="7" l="1"/>
  <c r="S91" i="7"/>
  <c r="AA91" i="7"/>
  <c r="AB91" i="7" s="1"/>
  <c r="AC91" i="7" s="1"/>
  <c r="AY90" i="7"/>
  <c r="M92" i="6" s="1"/>
  <c r="N92" i="6" s="1"/>
  <c r="O92" i="6" s="1"/>
  <c r="G90" i="7"/>
  <c r="B91" i="7" l="1"/>
  <c r="AZ90" i="7"/>
  <c r="P92" i="6" s="1"/>
  <c r="T92" i="6" s="1"/>
  <c r="T91" i="7"/>
  <c r="U91" i="7" s="1"/>
  <c r="L91" i="7"/>
  <c r="M91" i="7" s="1"/>
  <c r="C91" i="7" l="1"/>
  <c r="BA91" i="7" s="1"/>
  <c r="D91" i="7" l="1"/>
  <c r="AX91" i="7" s="1"/>
  <c r="E93" i="6" s="1"/>
  <c r="F93" i="6" s="1"/>
  <c r="E91" i="7" l="1"/>
  <c r="I93" i="6"/>
  <c r="J93" i="6" s="1"/>
  <c r="Q93" i="6"/>
  <c r="K93" i="6" l="1"/>
  <c r="S93" i="6"/>
  <c r="L93" i="6" l="1"/>
  <c r="AD91" i="7" l="1"/>
  <c r="AE91" i="7" s="1"/>
  <c r="Z92" i="7" s="1"/>
  <c r="V91" i="7"/>
  <c r="W91" i="7" s="1"/>
  <c r="R92" i="7" s="1"/>
  <c r="N91" i="7"/>
  <c r="O91" i="7" s="1"/>
  <c r="J92" i="7" s="1"/>
  <c r="F91" i="7"/>
  <c r="AY91" i="7" l="1"/>
  <c r="M93" i="6" s="1"/>
  <c r="N93" i="6" s="1"/>
  <c r="O93" i="6" s="1"/>
  <c r="G91" i="7"/>
  <c r="S92" i="7"/>
  <c r="K92" i="7"/>
  <c r="L92" i="7" s="1"/>
  <c r="AA92" i="7"/>
  <c r="M92" i="7" l="1"/>
  <c r="AB92" i="7"/>
  <c r="AC92" i="7" s="1"/>
  <c r="T92" i="7"/>
  <c r="U92" i="7" s="1"/>
  <c r="AZ91" i="7"/>
  <c r="P93" i="6" s="1"/>
  <c r="T93" i="6" s="1"/>
  <c r="B92" i="7"/>
  <c r="C92" i="7" l="1"/>
  <c r="BA92" i="7" s="1"/>
  <c r="D92" i="7" l="1"/>
  <c r="AX92" i="7" l="1"/>
  <c r="E94" i="6" s="1"/>
  <c r="F94" i="6" s="1"/>
  <c r="E92" i="7"/>
  <c r="Q94" i="6" l="1"/>
  <c r="I94" i="6"/>
  <c r="J94" i="6" s="1"/>
  <c r="S94" i="6" l="1"/>
  <c r="K94" i="6"/>
  <c r="L94" i="6" l="1"/>
  <c r="AD92" i="7" l="1"/>
  <c r="AE92" i="7" s="1"/>
  <c r="Z93" i="7" s="1"/>
  <c r="F92" i="7"/>
  <c r="N92" i="7"/>
  <c r="O92" i="7" s="1"/>
  <c r="J93" i="7" s="1"/>
  <c r="V92" i="7"/>
  <c r="W92" i="7" s="1"/>
  <c r="R93" i="7" s="1"/>
  <c r="K93" i="7" l="1"/>
  <c r="AY92" i="7"/>
  <c r="M94" i="6" s="1"/>
  <c r="N94" i="6" s="1"/>
  <c r="O94" i="6" s="1"/>
  <c r="G92" i="7"/>
  <c r="S93" i="7"/>
  <c r="T93" i="7" s="1"/>
  <c r="AA93" i="7"/>
  <c r="AB93" i="7" s="1"/>
  <c r="U93" i="7" l="1"/>
  <c r="AZ92" i="7"/>
  <c r="P94" i="6" s="1"/>
  <c r="T94" i="6" s="1"/>
  <c r="B93" i="7"/>
  <c r="L93" i="7"/>
  <c r="M93" i="7" s="1"/>
  <c r="AC93" i="7"/>
  <c r="C93" i="7" l="1"/>
  <c r="BA93" i="7" s="1"/>
  <c r="D93" i="7" l="1"/>
  <c r="AX93" i="7" s="1"/>
  <c r="E95" i="6" s="1"/>
  <c r="F95" i="6" s="1"/>
  <c r="E93" i="7" l="1"/>
  <c r="I95" i="6"/>
  <c r="J95" i="6" s="1"/>
  <c r="Q95" i="6"/>
  <c r="K95" i="6" l="1"/>
  <c r="L95" i="6" s="1"/>
  <c r="S95" i="6"/>
  <c r="AD93" i="7" l="1"/>
  <c r="AE93" i="7" s="1"/>
  <c r="Z94" i="7" s="1"/>
  <c r="N93" i="7"/>
  <c r="O93" i="7" s="1"/>
  <c r="J94" i="7" s="1"/>
  <c r="F93" i="7"/>
  <c r="V93" i="7"/>
  <c r="W93" i="7" s="1"/>
  <c r="R94" i="7" s="1"/>
  <c r="AY93" i="7" l="1"/>
  <c r="M95" i="6" s="1"/>
  <c r="N95" i="6" s="1"/>
  <c r="O95" i="6" s="1"/>
  <c r="G93" i="7"/>
  <c r="S94" i="7"/>
  <c r="AA94" i="7"/>
  <c r="AB94" i="7" s="1"/>
  <c r="K94" i="7"/>
  <c r="L94" i="7" s="1"/>
  <c r="T94" i="7" l="1"/>
  <c r="U94" i="7" s="1"/>
  <c r="M94" i="7"/>
  <c r="AC94" i="7"/>
  <c r="B94" i="7"/>
  <c r="AZ93" i="7"/>
  <c r="P95" i="6" s="1"/>
  <c r="T95" i="6" s="1"/>
  <c r="C94" i="7" l="1"/>
  <c r="BA94" i="7" s="1"/>
  <c r="D94" i="7" l="1"/>
  <c r="AX94" i="7" s="1"/>
  <c r="E96" i="6" s="1"/>
  <c r="F96" i="6" s="1"/>
  <c r="E94" i="7" l="1"/>
  <c r="Q96" i="6"/>
  <c r="I96" i="6"/>
  <c r="J96" i="6" s="1"/>
  <c r="K96" i="6" l="1"/>
  <c r="S96" i="6"/>
  <c r="L96" i="6" l="1"/>
  <c r="AD94" i="7" l="1"/>
  <c r="AE94" i="7" s="1"/>
  <c r="Z95" i="7" s="1"/>
  <c r="F94" i="7"/>
  <c r="N94" i="7"/>
  <c r="O94" i="7" s="1"/>
  <c r="J95" i="7" s="1"/>
  <c r="V94" i="7"/>
  <c r="W94" i="7" s="1"/>
  <c r="R95" i="7" s="1"/>
  <c r="K95" i="7" l="1"/>
  <c r="L95" i="7" s="1"/>
  <c r="M95" i="7" s="1"/>
  <c r="S95" i="7"/>
  <c r="T95" i="7" s="1"/>
  <c r="U95" i="7" s="1"/>
  <c r="AY94" i="7"/>
  <c r="M96" i="6" s="1"/>
  <c r="N96" i="6" s="1"/>
  <c r="O96" i="6" s="1"/>
  <c r="G94" i="7"/>
  <c r="AA95" i="7"/>
  <c r="AB95" i="7" s="1"/>
  <c r="AC95" i="7" s="1"/>
  <c r="B95" i="7" l="1"/>
  <c r="AZ94" i="7"/>
  <c r="P96" i="6" s="1"/>
  <c r="T96" i="6" s="1"/>
  <c r="C95" i="7" l="1"/>
  <c r="BA95" i="7" s="1"/>
  <c r="D95" i="7" l="1"/>
  <c r="AX95" i="7" s="1"/>
  <c r="E97" i="6" s="1"/>
  <c r="F97" i="6" s="1"/>
  <c r="Q97" i="6" s="1"/>
  <c r="E95" i="7" l="1"/>
  <c r="I97" i="6"/>
  <c r="J97" i="6" s="1"/>
  <c r="S97" i="6" s="1"/>
  <c r="K97" i="6" l="1"/>
  <c r="L97" i="6" s="1"/>
  <c r="AD95" i="7" l="1"/>
  <c r="AE95" i="7" s="1"/>
  <c r="Z96" i="7" s="1"/>
  <c r="F95" i="7"/>
  <c r="V95" i="7"/>
  <c r="W95" i="7" s="1"/>
  <c r="R96" i="7" s="1"/>
  <c r="N95" i="7"/>
  <c r="O95" i="7" s="1"/>
  <c r="J96" i="7" s="1"/>
  <c r="S96" i="7" l="1"/>
  <c r="T96" i="7" s="1"/>
  <c r="AY95" i="7"/>
  <c r="M97" i="6" s="1"/>
  <c r="N97" i="6" s="1"/>
  <c r="O97" i="6" s="1"/>
  <c r="G95" i="7"/>
  <c r="K96" i="7"/>
  <c r="L96" i="7" s="1"/>
  <c r="AA96" i="7"/>
  <c r="AB96" i="7" s="1"/>
  <c r="U96" i="7" l="1"/>
  <c r="M96" i="7"/>
  <c r="AC96" i="7"/>
  <c r="B96" i="7"/>
  <c r="AZ95" i="7"/>
  <c r="P97" i="6" s="1"/>
  <c r="T97" i="6" s="1"/>
  <c r="C96" i="7" l="1"/>
  <c r="BA96" i="7" s="1"/>
  <c r="D96" i="7" l="1"/>
  <c r="AX96" i="7" s="1"/>
  <c r="E98" i="6" s="1"/>
  <c r="F98" i="6" s="1"/>
  <c r="I98" i="6" s="1"/>
  <c r="J98" i="6" s="1"/>
  <c r="E96" i="7" l="1"/>
  <c r="Q98" i="6"/>
  <c r="S98" i="6"/>
  <c r="K98" i="6"/>
  <c r="L98" i="6" l="1"/>
  <c r="AD96" i="7" l="1"/>
  <c r="AE96" i="7" s="1"/>
  <c r="Z97" i="7" s="1"/>
  <c r="V96" i="7"/>
  <c r="W96" i="7" s="1"/>
  <c r="R97" i="7" s="1"/>
  <c r="F96" i="7"/>
  <c r="N96" i="7"/>
  <c r="O96" i="7" s="1"/>
  <c r="J97" i="7" s="1"/>
  <c r="AY96" i="7" l="1"/>
  <c r="M98" i="6" s="1"/>
  <c r="N98" i="6" s="1"/>
  <c r="O98" i="6" s="1"/>
  <c r="G96" i="7"/>
  <c r="AA97" i="7"/>
  <c r="K97" i="7"/>
  <c r="S97" i="7"/>
  <c r="T97" i="7" s="1"/>
  <c r="U97" i="7" l="1"/>
  <c r="AB97" i="7"/>
  <c r="AC97" i="7" s="1"/>
  <c r="L97" i="7"/>
  <c r="M97" i="7" s="1"/>
  <c r="B97" i="7"/>
  <c r="AZ96" i="7"/>
  <c r="P98" i="6" s="1"/>
  <c r="T98" i="6" s="1"/>
  <c r="C97" i="7" l="1"/>
  <c r="BA97" i="7" s="1"/>
  <c r="D97" i="7" l="1"/>
  <c r="AX97" i="7" s="1"/>
  <c r="E99" i="6" s="1"/>
  <c r="F99" i="6" s="1"/>
  <c r="I99" i="6" l="1"/>
  <c r="J99" i="6" s="1"/>
  <c r="Q99" i="6"/>
  <c r="E97" i="7"/>
  <c r="S99" i="6" l="1"/>
  <c r="K99" i="6"/>
  <c r="L99" i="6" l="1"/>
  <c r="AD97" i="7" l="1"/>
  <c r="AE97" i="7" s="1"/>
  <c r="Z98" i="7" s="1"/>
  <c r="N97" i="7"/>
  <c r="O97" i="7" s="1"/>
  <c r="J98" i="7" s="1"/>
  <c r="V97" i="7"/>
  <c r="W97" i="7" s="1"/>
  <c r="R98" i="7" s="1"/>
  <c r="F97" i="7"/>
  <c r="AY97" i="7" l="1"/>
  <c r="M99" i="6" s="1"/>
  <c r="N99" i="6" s="1"/>
  <c r="O99" i="6" s="1"/>
  <c r="G97" i="7"/>
  <c r="S98" i="7"/>
  <c r="T98" i="7" s="1"/>
  <c r="K98" i="7"/>
  <c r="AA98" i="7"/>
  <c r="AB98" i="7" l="1"/>
  <c r="AC98" i="7" s="1"/>
  <c r="L98" i="7"/>
  <c r="M98" i="7" s="1"/>
  <c r="U98" i="7"/>
  <c r="B98" i="7"/>
  <c r="AZ97" i="7"/>
  <c r="P99" i="6" s="1"/>
  <c r="T99" i="6" s="1"/>
  <c r="C98" i="7" l="1"/>
  <c r="BA98" i="7" s="1"/>
  <c r="D98" i="7" l="1"/>
  <c r="AX98" i="7" s="1"/>
  <c r="E100" i="6" s="1"/>
  <c r="F100" i="6" s="1"/>
  <c r="Q100" i="6" l="1"/>
  <c r="I100" i="6"/>
  <c r="J100" i="6" s="1"/>
  <c r="E98" i="7"/>
  <c r="S100" i="6" l="1"/>
  <c r="K100" i="6"/>
  <c r="L100" i="6" l="1"/>
  <c r="AD98" i="7" l="1"/>
  <c r="AE98" i="7" s="1"/>
  <c r="Z99" i="7" s="1"/>
  <c r="V98" i="7"/>
  <c r="W98" i="7" s="1"/>
  <c r="R99" i="7" s="1"/>
  <c r="F98" i="7"/>
  <c r="N98" i="7"/>
  <c r="O98" i="7" s="1"/>
  <c r="J99" i="7" s="1"/>
  <c r="K99" i="7" l="1"/>
  <c r="AY98" i="7"/>
  <c r="M100" i="6" s="1"/>
  <c r="N100" i="6" s="1"/>
  <c r="O100" i="6" s="1"/>
  <c r="G98" i="7"/>
  <c r="AA99" i="7"/>
  <c r="AB99" i="7" s="1"/>
  <c r="S99" i="7"/>
  <c r="AC99" i="7" l="1"/>
  <c r="T99" i="7"/>
  <c r="U99" i="7" s="1"/>
  <c r="AZ98" i="7"/>
  <c r="P100" i="6" s="1"/>
  <c r="T100" i="6" s="1"/>
  <c r="B99" i="7"/>
  <c r="L99" i="7"/>
  <c r="M99" i="7" s="1"/>
  <c r="C99" i="7" l="1"/>
  <c r="BA99" i="7" s="1"/>
  <c r="D99" i="7" l="1"/>
  <c r="AX99" i="7" s="1"/>
  <c r="E101" i="6" s="1"/>
  <c r="F101" i="6" s="1"/>
  <c r="I101" i="6" s="1"/>
  <c r="J101" i="6" s="1"/>
  <c r="E99" i="7" l="1"/>
  <c r="Q101" i="6"/>
  <c r="S101" i="6"/>
  <c r="K101" i="6"/>
  <c r="L101" i="6" l="1"/>
  <c r="AD99" i="7" l="1"/>
  <c r="AE99" i="7" s="1"/>
  <c r="Z100" i="7" s="1"/>
  <c r="V99" i="7"/>
  <c r="W99" i="7" s="1"/>
  <c r="R100" i="7" s="1"/>
  <c r="N99" i="7"/>
  <c r="O99" i="7" s="1"/>
  <c r="J100" i="7" s="1"/>
  <c r="F99" i="7"/>
  <c r="AY99" i="7" l="1"/>
  <c r="M101" i="6" s="1"/>
  <c r="N101" i="6" s="1"/>
  <c r="O101" i="6" s="1"/>
  <c r="G99" i="7"/>
  <c r="K100" i="7"/>
  <c r="S100" i="7"/>
  <c r="T100" i="7" s="1"/>
  <c r="AA100" i="7"/>
  <c r="AB100" i="7" s="1"/>
  <c r="AC100" i="7" s="1"/>
  <c r="L100" i="7" l="1"/>
  <c r="M100" i="7" s="1"/>
  <c r="B100" i="7"/>
  <c r="AZ99" i="7"/>
  <c r="P101" i="6" s="1"/>
  <c r="T101" i="6" s="1"/>
  <c r="U100" i="7"/>
  <c r="C100" i="7" l="1"/>
  <c r="BA100" i="7" s="1"/>
  <c r="D100" i="7" l="1"/>
  <c r="AX100" i="7" s="1"/>
  <c r="E102" i="6" s="1"/>
  <c r="F102" i="6" s="1"/>
  <c r="E100" i="7" l="1"/>
  <c r="I102" i="6"/>
  <c r="J102" i="6" s="1"/>
  <c r="Q102" i="6"/>
  <c r="K102" i="6" l="1"/>
  <c r="L102" i="6" s="1"/>
  <c r="S102" i="6"/>
  <c r="AD100" i="7" l="1"/>
  <c r="AE100" i="7" s="1"/>
  <c r="Z101" i="7" s="1"/>
  <c r="F100" i="7"/>
  <c r="V100" i="7"/>
  <c r="W100" i="7" s="1"/>
  <c r="R101" i="7" s="1"/>
  <c r="N100" i="7"/>
  <c r="O100" i="7" s="1"/>
  <c r="J101" i="7" s="1"/>
  <c r="S101" i="7" l="1"/>
  <c r="AY100" i="7"/>
  <c r="M102" i="6" s="1"/>
  <c r="N102" i="6" s="1"/>
  <c r="O102" i="6" s="1"/>
  <c r="G100" i="7"/>
  <c r="K101" i="7"/>
  <c r="L101" i="7" s="1"/>
  <c r="M101" i="7" s="1"/>
  <c r="AA101" i="7"/>
  <c r="AB101" i="7" l="1"/>
  <c r="AC101" i="7" s="1"/>
  <c r="B101" i="7"/>
  <c r="AZ100" i="7"/>
  <c r="P102" i="6" s="1"/>
  <c r="T102" i="6" s="1"/>
  <c r="T101" i="7"/>
  <c r="U101" i="7" s="1"/>
  <c r="C101" i="7" l="1"/>
  <c r="BA101" i="7" s="1"/>
  <c r="D101" i="7" l="1"/>
  <c r="AX101" i="7" s="1"/>
  <c r="E103" i="6" s="1"/>
  <c r="F103" i="6" s="1"/>
  <c r="E101" i="7" l="1"/>
  <c r="Q103" i="6"/>
  <c r="I103" i="6"/>
  <c r="J103" i="6" s="1"/>
  <c r="S103" i="6" l="1"/>
  <c r="K103" i="6"/>
  <c r="L103" i="6" l="1"/>
  <c r="AD101" i="7" l="1"/>
  <c r="AE101" i="7" s="1"/>
  <c r="Z102" i="7" s="1"/>
  <c r="N101" i="7"/>
  <c r="O101" i="7" s="1"/>
  <c r="J102" i="7" s="1"/>
  <c r="F101" i="7"/>
  <c r="V101" i="7"/>
  <c r="W101" i="7" s="1"/>
  <c r="R102" i="7" s="1"/>
  <c r="AY101" i="7" l="1"/>
  <c r="M103" i="6" s="1"/>
  <c r="N103" i="6" s="1"/>
  <c r="O103" i="6" s="1"/>
  <c r="G101" i="7"/>
  <c r="S102" i="7"/>
  <c r="T102" i="7" s="1"/>
  <c r="U102" i="7" s="1"/>
  <c r="AA102" i="7"/>
  <c r="AB102" i="7" s="1"/>
  <c r="K102" i="7"/>
  <c r="AC102" i="7" l="1"/>
  <c r="L102" i="7"/>
  <c r="M102" i="7" s="1"/>
  <c r="B102" i="7"/>
  <c r="AZ101" i="7"/>
  <c r="P103" i="6" s="1"/>
  <c r="T103" i="6" s="1"/>
  <c r="C102" i="7" l="1"/>
  <c r="BA102" i="7" s="1"/>
  <c r="D102" i="7" l="1"/>
  <c r="AX102" i="7" l="1"/>
  <c r="E104" i="6" s="1"/>
  <c r="F104" i="6" s="1"/>
  <c r="E102" i="7"/>
  <c r="I104" i="6" l="1"/>
  <c r="J104" i="6" s="1"/>
  <c r="Q104" i="6"/>
  <c r="K104" i="6" l="1"/>
  <c r="S104" i="6"/>
  <c r="L104" i="6" l="1"/>
  <c r="AD102" i="7" l="1"/>
  <c r="AE102" i="7" s="1"/>
  <c r="Z103" i="7" s="1"/>
  <c r="F102" i="7"/>
  <c r="N102" i="7"/>
  <c r="O102" i="7" s="1"/>
  <c r="J103" i="7" s="1"/>
  <c r="V102" i="7"/>
  <c r="W102" i="7" s="1"/>
  <c r="R103" i="7" s="1"/>
  <c r="K103" i="7" l="1"/>
  <c r="AA103" i="7"/>
  <c r="S103" i="7"/>
  <c r="T103" i="7" s="1"/>
  <c r="AY102" i="7"/>
  <c r="M104" i="6" s="1"/>
  <c r="N104" i="6" s="1"/>
  <c r="O104" i="6" s="1"/>
  <c r="G102" i="7"/>
  <c r="AZ102" i="7" l="1"/>
  <c r="P104" i="6" s="1"/>
  <c r="T104" i="6" s="1"/>
  <c r="B103" i="7"/>
  <c r="U103" i="7"/>
  <c r="AB103" i="7"/>
  <c r="AC103" i="7" s="1"/>
  <c r="L103" i="7"/>
  <c r="M103" i="7" s="1"/>
  <c r="C103" i="7" l="1"/>
  <c r="BA103" i="7" s="1"/>
  <c r="D103" i="7" l="1"/>
  <c r="AX103" i="7" s="1"/>
  <c r="E105" i="6" s="1"/>
  <c r="F105" i="6" s="1"/>
  <c r="I105" i="6" l="1"/>
  <c r="J105" i="6" s="1"/>
  <c r="Q105" i="6"/>
  <c r="E103" i="7"/>
  <c r="K105" i="6" l="1"/>
  <c r="L105" i="6" s="1"/>
  <c r="S105" i="6"/>
  <c r="AD103" i="7" l="1"/>
  <c r="AE103" i="7" s="1"/>
  <c r="Z104" i="7" s="1"/>
  <c r="V103" i="7"/>
  <c r="W103" i="7" s="1"/>
  <c r="R104" i="7" s="1"/>
  <c r="N103" i="7"/>
  <c r="O103" i="7" s="1"/>
  <c r="J104" i="7" s="1"/>
  <c r="F103" i="7"/>
  <c r="AY103" i="7" l="1"/>
  <c r="M105" i="6" s="1"/>
  <c r="N105" i="6" s="1"/>
  <c r="O105" i="6" s="1"/>
  <c r="G103" i="7"/>
  <c r="K104" i="7"/>
  <c r="L104" i="7" s="1"/>
  <c r="M104" i="7" s="1"/>
  <c r="S104" i="7"/>
  <c r="AA104" i="7"/>
  <c r="AB104" i="7" l="1"/>
  <c r="AC104" i="7" s="1"/>
  <c r="T104" i="7"/>
  <c r="U104" i="7" s="1"/>
  <c r="AZ103" i="7"/>
  <c r="P105" i="6" s="1"/>
  <c r="T105" i="6" s="1"/>
  <c r="B104" i="7"/>
  <c r="C104" i="7" l="1"/>
  <c r="BA104" i="7" s="1"/>
  <c r="D104" i="7" l="1"/>
  <c r="AX104" i="7" s="1"/>
  <c r="E106" i="6" s="1"/>
  <c r="F106" i="6" s="1"/>
  <c r="E104" i="7" l="1"/>
  <c r="Q106" i="6"/>
  <c r="I106" i="6"/>
  <c r="J106" i="6" s="1"/>
  <c r="S106" i="6" l="1"/>
  <c r="K106" i="6"/>
  <c r="L106" i="6" l="1"/>
  <c r="AD104" i="7" l="1"/>
  <c r="AE104" i="7" s="1"/>
  <c r="Z105" i="7" s="1"/>
  <c r="N104" i="7"/>
  <c r="O104" i="7" s="1"/>
  <c r="J105" i="7" s="1"/>
  <c r="F104" i="7"/>
  <c r="V104" i="7"/>
  <c r="W104" i="7" s="1"/>
  <c r="R105" i="7" s="1"/>
  <c r="AY104" i="7" l="1"/>
  <c r="M106" i="6" s="1"/>
  <c r="N106" i="6" s="1"/>
  <c r="O106" i="6" s="1"/>
  <c r="G104" i="7"/>
  <c r="K105" i="7"/>
  <c r="L105" i="7" s="1"/>
  <c r="M105" i="7" s="1"/>
  <c r="S105" i="7"/>
  <c r="AA105" i="7"/>
  <c r="AB105" i="7" l="1"/>
  <c r="AC105" i="7" s="1"/>
  <c r="T105" i="7"/>
  <c r="U105" i="7" s="1"/>
  <c r="B105" i="7"/>
  <c r="AZ104" i="7"/>
  <c r="P106" i="6" s="1"/>
  <c r="T106" i="6" s="1"/>
  <c r="C105" i="7" l="1"/>
  <c r="BA105" i="7" s="1"/>
  <c r="D105" i="7" l="1"/>
  <c r="AX105" i="7" s="1"/>
  <c r="E107" i="6" s="1"/>
  <c r="F107" i="6" s="1"/>
  <c r="E105" i="7" l="1"/>
  <c r="I107" i="6"/>
  <c r="J107" i="6" s="1"/>
  <c r="Q107" i="6"/>
  <c r="S107" i="6" l="1"/>
  <c r="K107" i="6"/>
  <c r="L107" i="6" l="1"/>
  <c r="AD105" i="7" l="1"/>
  <c r="AE105" i="7" s="1"/>
  <c r="Z106" i="7" s="1"/>
  <c r="V105" i="7"/>
  <c r="W105" i="7" s="1"/>
  <c r="R106" i="7" s="1"/>
  <c r="F105" i="7"/>
  <c r="N105" i="7"/>
  <c r="O105" i="7" s="1"/>
  <c r="J106" i="7" s="1"/>
  <c r="K106" i="7" l="1"/>
  <c r="AY105" i="7"/>
  <c r="M107" i="6" s="1"/>
  <c r="N107" i="6" s="1"/>
  <c r="O107" i="6" s="1"/>
  <c r="G105" i="7"/>
  <c r="AA106" i="7"/>
  <c r="AB106" i="7" s="1"/>
  <c r="S106" i="7"/>
  <c r="T106" i="7" l="1"/>
  <c r="U106" i="7" s="1"/>
  <c r="AC106" i="7"/>
  <c r="AZ105" i="7"/>
  <c r="P107" i="6" s="1"/>
  <c r="T107" i="6" s="1"/>
  <c r="B106" i="7"/>
  <c r="L106" i="7"/>
  <c r="M106" i="7" s="1"/>
  <c r="C106" i="7" l="1"/>
  <c r="BA106" i="7" s="1"/>
  <c r="D106" i="7" l="1"/>
  <c r="AX106" i="7" s="1"/>
  <c r="E108" i="6" s="1"/>
  <c r="F108" i="6" s="1"/>
  <c r="E106" i="7" l="1"/>
  <c r="I108" i="6"/>
  <c r="J108" i="6" s="1"/>
  <c r="Q108" i="6"/>
  <c r="K108" i="6" l="1"/>
  <c r="L108" i="6" s="1"/>
  <c r="S108" i="6"/>
  <c r="AD106" i="7" l="1"/>
  <c r="AE106" i="7" s="1"/>
  <c r="Z107" i="7" s="1"/>
  <c r="N106" i="7"/>
  <c r="O106" i="7" s="1"/>
  <c r="J107" i="7" s="1"/>
  <c r="V106" i="7"/>
  <c r="W106" i="7" s="1"/>
  <c r="R107" i="7" s="1"/>
  <c r="F106" i="7"/>
  <c r="AY106" i="7" l="1"/>
  <c r="M108" i="6" s="1"/>
  <c r="N108" i="6" s="1"/>
  <c r="O108" i="6" s="1"/>
  <c r="G106" i="7"/>
  <c r="S107" i="7"/>
  <c r="AA107" i="7"/>
  <c r="K107" i="7"/>
  <c r="L107" i="7" l="1"/>
  <c r="M107" i="7" s="1"/>
  <c r="AB107" i="7"/>
  <c r="AC107" i="7" s="1"/>
  <c r="T107" i="7"/>
  <c r="U107" i="7" s="1"/>
  <c r="AZ106" i="7"/>
  <c r="P108" i="6" s="1"/>
  <c r="T108" i="6" s="1"/>
  <c r="B107" i="7"/>
  <c r="C107" i="7" l="1"/>
  <c r="BA107" i="7" s="1"/>
  <c r="D107" i="7" l="1"/>
  <c r="AX107" i="7" s="1"/>
  <c r="E109" i="6" s="1"/>
  <c r="F109" i="6" s="1"/>
  <c r="Q109" i="6" l="1"/>
  <c r="I109" i="6"/>
  <c r="J109" i="6" s="1"/>
  <c r="E107" i="7"/>
  <c r="S109" i="6" l="1"/>
  <c r="K109" i="6"/>
  <c r="L109" i="6" l="1"/>
  <c r="AD107" i="7" l="1"/>
  <c r="AE107" i="7" s="1"/>
  <c r="Z108" i="7" s="1"/>
  <c r="V107" i="7"/>
  <c r="W107" i="7" s="1"/>
  <c r="R108" i="7" s="1"/>
  <c r="F107" i="7"/>
  <c r="N107" i="7"/>
  <c r="O107" i="7" s="1"/>
  <c r="J108" i="7" s="1"/>
  <c r="AY107" i="7" l="1"/>
  <c r="M109" i="6" s="1"/>
  <c r="N109" i="6" s="1"/>
  <c r="O109" i="6" s="1"/>
  <c r="G107" i="7"/>
  <c r="S108" i="7"/>
  <c r="K108" i="7"/>
  <c r="AA108" i="7"/>
  <c r="L108" i="7" l="1"/>
  <c r="M108" i="7" s="1"/>
  <c r="T108" i="7"/>
  <c r="U108" i="7" s="1"/>
  <c r="B108" i="7"/>
  <c r="AZ107" i="7"/>
  <c r="P109" i="6" s="1"/>
  <c r="T109" i="6" s="1"/>
  <c r="AB108" i="7"/>
  <c r="AC108" i="7" s="1"/>
  <c r="C108" i="7" l="1"/>
  <c r="BA108" i="7" s="1"/>
  <c r="D108" i="7" l="1"/>
  <c r="AX108" i="7" s="1"/>
  <c r="E110" i="6" s="1"/>
  <c r="F110" i="6" s="1"/>
  <c r="E108" i="7" l="1"/>
  <c r="Q110" i="6"/>
  <c r="I110" i="6"/>
  <c r="J110" i="6" s="1"/>
  <c r="S110" i="6" l="1"/>
  <c r="K110" i="6"/>
  <c r="L110" i="6" l="1"/>
  <c r="AD108" i="7" l="1"/>
  <c r="AE108" i="7" s="1"/>
  <c r="Z109" i="7" s="1"/>
  <c r="F108" i="7"/>
  <c r="N108" i="7"/>
  <c r="O108" i="7" s="1"/>
  <c r="J109" i="7" s="1"/>
  <c r="V108" i="7"/>
  <c r="W108" i="7" s="1"/>
  <c r="R109" i="7" s="1"/>
  <c r="K109" i="7" l="1"/>
  <c r="AY108" i="7"/>
  <c r="M110" i="6" s="1"/>
  <c r="N110" i="6" s="1"/>
  <c r="O110" i="6" s="1"/>
  <c r="G108" i="7"/>
  <c r="S109" i="7"/>
  <c r="AA109" i="7"/>
  <c r="AB109" i="7" l="1"/>
  <c r="AC109" i="7" s="1"/>
  <c r="AZ108" i="7"/>
  <c r="P110" i="6" s="1"/>
  <c r="T110" i="6" s="1"/>
  <c r="B109" i="7"/>
  <c r="T109" i="7"/>
  <c r="U109" i="7" s="1"/>
  <c r="L109" i="7"/>
  <c r="M109" i="7" s="1"/>
  <c r="C109" i="7" l="1"/>
  <c r="BA109" i="7" s="1"/>
  <c r="D109" i="7" l="1"/>
  <c r="AX109" i="7" s="1"/>
  <c r="E111" i="6" s="1"/>
  <c r="F111" i="6" s="1"/>
  <c r="I111" i="6" l="1"/>
  <c r="J111" i="6" s="1"/>
  <c r="Q111" i="6"/>
  <c r="E109" i="7"/>
  <c r="S111" i="6" l="1"/>
  <c r="K111" i="6"/>
  <c r="L111" i="6" l="1"/>
  <c r="AD109" i="7" l="1"/>
  <c r="AE109" i="7" s="1"/>
  <c r="Z110" i="7" s="1"/>
  <c r="F109" i="7"/>
  <c r="N109" i="7"/>
  <c r="O109" i="7" s="1"/>
  <c r="J110" i="7" s="1"/>
  <c r="V109" i="7"/>
  <c r="W109" i="7" s="1"/>
  <c r="R110" i="7" s="1"/>
  <c r="S110" i="7" l="1"/>
  <c r="T110" i="7" s="1"/>
  <c r="U110" i="7" s="1"/>
  <c r="K110" i="7"/>
  <c r="L110" i="7" s="1"/>
  <c r="M110" i="7" s="1"/>
  <c r="AY109" i="7"/>
  <c r="M111" i="6" s="1"/>
  <c r="N111" i="6" s="1"/>
  <c r="O111" i="6" s="1"/>
  <c r="G109" i="7"/>
  <c r="AA110" i="7"/>
  <c r="AB110" i="7" s="1"/>
  <c r="AC110" i="7" l="1"/>
  <c r="AZ109" i="7"/>
  <c r="P111" i="6" s="1"/>
  <c r="T111" i="6" s="1"/>
  <c r="B110" i="7"/>
  <c r="C110" i="7" l="1"/>
  <c r="BA110" i="7" s="1"/>
  <c r="D110" i="7" l="1"/>
  <c r="AX110" i="7" s="1"/>
  <c r="E112" i="6" s="1"/>
  <c r="F112" i="6" s="1"/>
  <c r="E110" i="7" l="1"/>
  <c r="Q112" i="6"/>
  <c r="I112" i="6"/>
  <c r="J112" i="6" s="1"/>
  <c r="K112" i="6" l="1"/>
  <c r="S112" i="6"/>
  <c r="L112" i="6" l="1"/>
  <c r="AD110" i="7" l="1"/>
  <c r="AE110" i="7" s="1"/>
  <c r="Z111" i="7" s="1"/>
  <c r="N110" i="7"/>
  <c r="O110" i="7" s="1"/>
  <c r="J111" i="7" s="1"/>
  <c r="V110" i="7"/>
  <c r="W110" i="7" s="1"/>
  <c r="R111" i="7" s="1"/>
  <c r="F110" i="7"/>
  <c r="S111" i="7" l="1"/>
  <c r="K111" i="7"/>
  <c r="AY110" i="7"/>
  <c r="M112" i="6" s="1"/>
  <c r="N112" i="6" s="1"/>
  <c r="O112" i="6" s="1"/>
  <c r="G110" i="7"/>
  <c r="AA111" i="7"/>
  <c r="AB111" i="7" s="1"/>
  <c r="AC111" i="7" l="1"/>
  <c r="B111" i="7"/>
  <c r="AZ110" i="7"/>
  <c r="P112" i="6" s="1"/>
  <c r="T112" i="6" s="1"/>
  <c r="L111" i="7"/>
  <c r="M111" i="7" s="1"/>
  <c r="T111" i="7"/>
  <c r="U111" i="7" s="1"/>
  <c r="C111" i="7" l="1"/>
  <c r="BA111" i="7" s="1"/>
  <c r="D111" i="7" l="1"/>
  <c r="AX111" i="7" s="1"/>
  <c r="E113" i="6" s="1"/>
  <c r="F113" i="6" s="1"/>
  <c r="E111" i="7" l="1"/>
  <c r="Q113" i="6"/>
  <c r="I113" i="6"/>
  <c r="J113" i="6" s="1"/>
  <c r="S113" i="6" l="1"/>
  <c r="K113" i="6"/>
  <c r="L113" i="6" l="1"/>
  <c r="AD111" i="7" l="1"/>
  <c r="AE111" i="7" s="1"/>
  <c r="Z112" i="7" s="1"/>
  <c r="N111" i="7"/>
  <c r="O111" i="7" s="1"/>
  <c r="J112" i="7" s="1"/>
  <c r="V111" i="7"/>
  <c r="W111" i="7" s="1"/>
  <c r="R112" i="7" s="1"/>
  <c r="F111" i="7"/>
  <c r="AY111" i="7" l="1"/>
  <c r="M113" i="6" s="1"/>
  <c r="N113" i="6" s="1"/>
  <c r="O113" i="6" s="1"/>
  <c r="G111" i="7"/>
  <c r="S112" i="7"/>
  <c r="K112" i="7"/>
  <c r="L112" i="7" s="1"/>
  <c r="AA112" i="7"/>
  <c r="AB112" i="7" l="1"/>
  <c r="AC112" i="7" s="1"/>
  <c r="M112" i="7"/>
  <c r="T112" i="7"/>
  <c r="U112" i="7" s="1"/>
  <c r="B112" i="7"/>
  <c r="AZ111" i="7"/>
  <c r="P113" i="6" s="1"/>
  <c r="T113" i="6" s="1"/>
  <c r="C112" i="7" l="1"/>
  <c r="BA112" i="7" s="1"/>
  <c r="D112" i="7" l="1"/>
  <c r="AX112" i="7" s="1"/>
  <c r="E114" i="6" s="1"/>
  <c r="F114" i="6" s="1"/>
  <c r="E112" i="7" l="1"/>
  <c r="I114" i="6"/>
  <c r="J114" i="6" s="1"/>
  <c r="Q114" i="6"/>
  <c r="K114" i="6" l="1"/>
  <c r="S114" i="6"/>
  <c r="L114" i="6" l="1"/>
  <c r="AD112" i="7" l="1"/>
  <c r="AE112" i="7" s="1"/>
  <c r="Z113" i="7" s="1"/>
  <c r="F112" i="7"/>
  <c r="V112" i="7"/>
  <c r="W112" i="7" s="1"/>
  <c r="R113" i="7" s="1"/>
  <c r="N112" i="7"/>
  <c r="O112" i="7" s="1"/>
  <c r="J113" i="7" s="1"/>
  <c r="K113" i="7" l="1"/>
  <c r="S113" i="7"/>
  <c r="AA113" i="7"/>
  <c r="AY112" i="7"/>
  <c r="M114" i="6" s="1"/>
  <c r="N114" i="6" s="1"/>
  <c r="O114" i="6" s="1"/>
  <c r="G112" i="7"/>
  <c r="B113" i="7" l="1"/>
  <c r="AZ112" i="7"/>
  <c r="P114" i="6" s="1"/>
  <c r="T114" i="6" s="1"/>
  <c r="T113" i="7"/>
  <c r="U113" i="7" s="1"/>
  <c r="L113" i="7"/>
  <c r="M113" i="7" s="1"/>
  <c r="AB113" i="7"/>
  <c r="AC113" i="7" s="1"/>
  <c r="C113" i="7" l="1"/>
  <c r="BA113" i="7" s="1"/>
  <c r="D113" i="7" l="1"/>
  <c r="AX113" i="7" s="1"/>
  <c r="E115" i="6" s="1"/>
  <c r="F115" i="6" s="1"/>
  <c r="E113" i="7" l="1"/>
  <c r="Q115" i="6"/>
  <c r="I115" i="6"/>
  <c r="J115" i="6" s="1"/>
  <c r="S115" i="6" l="1"/>
  <c r="K115" i="6"/>
  <c r="L115" i="6" l="1"/>
  <c r="AD113" i="7" l="1"/>
  <c r="AE113" i="7" s="1"/>
  <c r="Z114" i="7" s="1"/>
  <c r="N113" i="7"/>
  <c r="O113" i="7" s="1"/>
  <c r="J114" i="7" s="1"/>
  <c r="V113" i="7"/>
  <c r="W113" i="7" s="1"/>
  <c r="R114" i="7" s="1"/>
  <c r="F113" i="7"/>
  <c r="AY113" i="7" l="1"/>
  <c r="M115" i="6" s="1"/>
  <c r="N115" i="6" s="1"/>
  <c r="O115" i="6" s="1"/>
  <c r="G113" i="7"/>
  <c r="S114" i="7"/>
  <c r="T114" i="7" s="1"/>
  <c r="U114" i="7" s="1"/>
  <c r="AA114" i="7"/>
  <c r="AB114" i="7" s="1"/>
  <c r="K114" i="7"/>
  <c r="AC114" i="7" l="1"/>
  <c r="L114" i="7"/>
  <c r="M114" i="7" s="1"/>
  <c r="B114" i="7"/>
  <c r="AZ113" i="7"/>
  <c r="P115" i="6" s="1"/>
  <c r="T115" i="6" s="1"/>
  <c r="C114" i="7" l="1"/>
  <c r="BA114" i="7" s="1"/>
  <c r="D114" i="7" l="1"/>
  <c r="AX114" i="7" s="1"/>
  <c r="E116" i="6" s="1"/>
  <c r="F116" i="6" s="1"/>
  <c r="E114" i="7" l="1"/>
  <c r="Q116" i="6"/>
  <c r="I116" i="6"/>
  <c r="J116" i="6" s="1"/>
  <c r="K116" i="6" l="1"/>
  <c r="S116" i="6"/>
  <c r="L116" i="6" l="1"/>
  <c r="AD114" i="7" l="1"/>
  <c r="AE114" i="7" s="1"/>
  <c r="Z115" i="7" s="1"/>
  <c r="V114" i="7"/>
  <c r="W114" i="7" s="1"/>
  <c r="R115" i="7" s="1"/>
  <c r="F114" i="7"/>
  <c r="N114" i="7"/>
  <c r="O114" i="7" s="1"/>
  <c r="J115" i="7" s="1"/>
  <c r="AY114" i="7" l="1"/>
  <c r="M116" i="6" s="1"/>
  <c r="N116" i="6" s="1"/>
  <c r="O116" i="6" s="1"/>
  <c r="G114" i="7"/>
  <c r="K115" i="7"/>
  <c r="AA115" i="7"/>
  <c r="S115" i="7"/>
  <c r="T115" i="7" l="1"/>
  <c r="U115" i="7" s="1"/>
  <c r="AB115" i="7"/>
  <c r="AC115" i="7" s="1"/>
  <c r="L115" i="7"/>
  <c r="M115" i="7" s="1"/>
  <c r="B115" i="7"/>
  <c r="AZ114" i="7"/>
  <c r="P116" i="6" s="1"/>
  <c r="T116" i="6" s="1"/>
  <c r="C115" i="7" l="1"/>
  <c r="BA115" i="7" s="1"/>
  <c r="D115" i="7" l="1"/>
  <c r="AX115" i="7" s="1"/>
  <c r="E117" i="6" s="1"/>
  <c r="F117" i="6" s="1"/>
  <c r="E115" i="7" l="1"/>
  <c r="I117" i="6"/>
  <c r="J117" i="6" s="1"/>
  <c r="Q117" i="6"/>
  <c r="K117" i="6" l="1"/>
  <c r="S117" i="6"/>
  <c r="L117" i="6" l="1"/>
  <c r="AD115" i="7" l="1"/>
  <c r="AE115" i="7" s="1"/>
  <c r="Z116" i="7" s="1"/>
  <c r="N115" i="7"/>
  <c r="O115" i="7" s="1"/>
  <c r="J116" i="7" s="1"/>
  <c r="V115" i="7"/>
  <c r="W115" i="7" s="1"/>
  <c r="R116" i="7" s="1"/>
  <c r="F115" i="7"/>
  <c r="S116" i="7" l="1"/>
  <c r="T116" i="7" s="1"/>
  <c r="U116" i="7" s="1"/>
  <c r="AA116" i="7"/>
  <c r="AB116" i="7" s="1"/>
  <c r="AC116" i="7" s="1"/>
  <c r="AY115" i="7"/>
  <c r="M117" i="6" s="1"/>
  <c r="N117" i="6" s="1"/>
  <c r="O117" i="6" s="1"/>
  <c r="G115" i="7"/>
  <c r="K116" i="7"/>
  <c r="B116" i="7" l="1"/>
  <c r="AZ115" i="7"/>
  <c r="P117" i="6" s="1"/>
  <c r="T117" i="6" s="1"/>
  <c r="L116" i="7"/>
  <c r="M116" i="7" s="1"/>
  <c r="C116" i="7" l="1"/>
  <c r="BA116" i="7" s="1"/>
  <c r="D116" i="7" l="1"/>
  <c r="AX116" i="7" s="1"/>
  <c r="E118" i="6" s="1"/>
  <c r="F118" i="6" s="1"/>
  <c r="Q118" i="6" s="1"/>
  <c r="I118" i="6" l="1"/>
  <c r="J118" i="6" s="1"/>
  <c r="S118" i="6" s="1"/>
  <c r="E116" i="7"/>
  <c r="K118" i="6" l="1"/>
  <c r="L118" i="6" s="1"/>
  <c r="AD116" i="7" l="1"/>
  <c r="AE116" i="7" s="1"/>
  <c r="Z117" i="7" s="1"/>
  <c r="V116" i="7"/>
  <c r="W116" i="7" s="1"/>
  <c r="R117" i="7" s="1"/>
  <c r="F116" i="7"/>
  <c r="N116" i="7"/>
  <c r="O116" i="7" s="1"/>
  <c r="J117" i="7" s="1"/>
  <c r="K117" i="7" l="1"/>
  <c r="AY116" i="7"/>
  <c r="M118" i="6" s="1"/>
  <c r="N118" i="6" s="1"/>
  <c r="O118" i="6" s="1"/>
  <c r="G116" i="7"/>
  <c r="S117" i="7"/>
  <c r="AA117" i="7"/>
  <c r="AB117" i="7" s="1"/>
  <c r="AC117" i="7" l="1"/>
  <c r="T117" i="7"/>
  <c r="U117" i="7" s="1"/>
  <c r="AZ116" i="7"/>
  <c r="P118" i="6" s="1"/>
  <c r="T118" i="6" s="1"/>
  <c r="B117" i="7"/>
  <c r="L117" i="7"/>
  <c r="M117" i="7" s="1"/>
  <c r="C117" i="7" l="1"/>
  <c r="BA117" i="7" s="1"/>
  <c r="D117" i="7" l="1"/>
  <c r="AX117" i="7" s="1"/>
  <c r="E119" i="6" s="1"/>
  <c r="F119" i="6" s="1"/>
  <c r="E117" i="7" l="1"/>
  <c r="Q119" i="6"/>
  <c r="I119" i="6"/>
  <c r="J119" i="6" s="1"/>
  <c r="K119" i="6" l="1"/>
  <c r="L119" i="6" s="1"/>
  <c r="S119" i="6"/>
  <c r="AD117" i="7" l="1"/>
  <c r="AE117" i="7" s="1"/>
  <c r="Z118" i="7" s="1"/>
  <c r="N117" i="7"/>
  <c r="O117" i="7" s="1"/>
  <c r="J118" i="7" s="1"/>
  <c r="F117" i="7"/>
  <c r="V117" i="7"/>
  <c r="W117" i="7" s="1"/>
  <c r="R118" i="7" s="1"/>
  <c r="S118" i="7" l="1"/>
  <c r="T118" i="7" s="1"/>
  <c r="AY117" i="7"/>
  <c r="M119" i="6" s="1"/>
  <c r="N119" i="6" s="1"/>
  <c r="O119" i="6" s="1"/>
  <c r="G117" i="7"/>
  <c r="AA118" i="7"/>
  <c r="AB118" i="7" s="1"/>
  <c r="AC118" i="7" s="1"/>
  <c r="K118" i="7"/>
  <c r="L118" i="7" s="1"/>
  <c r="M118" i="7" s="1"/>
  <c r="B118" i="7" l="1"/>
  <c r="AZ117" i="7"/>
  <c r="P119" i="6" s="1"/>
  <c r="T119" i="6" s="1"/>
  <c r="U118" i="7"/>
  <c r="C118" i="7" l="1"/>
  <c r="BA118" i="7" s="1"/>
  <c r="D118" i="7" l="1"/>
  <c r="AX118" i="7" s="1"/>
  <c r="E120" i="6" s="1"/>
  <c r="F120" i="6" s="1"/>
  <c r="E118" i="7" l="1"/>
  <c r="I120" i="6"/>
  <c r="J120" i="6" s="1"/>
  <c r="Q120" i="6"/>
  <c r="S120" i="6" l="1"/>
  <c r="K120" i="6"/>
  <c r="L120" i="6" l="1"/>
  <c r="AD118" i="7" l="1"/>
  <c r="AE118" i="7" s="1"/>
  <c r="Z119" i="7" s="1"/>
  <c r="V118" i="7"/>
  <c r="W118" i="7" s="1"/>
  <c r="R119" i="7" s="1"/>
  <c r="N118" i="7"/>
  <c r="O118" i="7" s="1"/>
  <c r="J119" i="7" s="1"/>
  <c r="F118" i="7"/>
  <c r="K119" i="7" l="1"/>
  <c r="L119" i="7" s="1"/>
  <c r="AY118" i="7"/>
  <c r="M120" i="6" s="1"/>
  <c r="N120" i="6" s="1"/>
  <c r="O120" i="6" s="1"/>
  <c r="G118" i="7"/>
  <c r="AA119" i="7"/>
  <c r="AB119" i="7" s="1"/>
  <c r="AC119" i="7" s="1"/>
  <c r="S119" i="7"/>
  <c r="T119" i="7" s="1"/>
  <c r="M119" i="7" l="1"/>
  <c r="U119" i="7"/>
  <c r="AZ118" i="7"/>
  <c r="P120" i="6" s="1"/>
  <c r="T120" i="6" s="1"/>
  <c r="B119" i="7"/>
  <c r="C119" i="7" l="1"/>
  <c r="BA119" i="7" s="1"/>
  <c r="D119" i="7" l="1"/>
  <c r="AX119" i="7" l="1"/>
  <c r="E121" i="6" s="1"/>
  <c r="F121" i="6" s="1"/>
  <c r="E119" i="7"/>
  <c r="I121" i="6" l="1"/>
  <c r="J121" i="6" s="1"/>
  <c r="Q121" i="6"/>
  <c r="K121" i="6" l="1"/>
  <c r="L121" i="6" s="1"/>
  <c r="S121" i="6"/>
  <c r="AD119" i="7" l="1"/>
  <c r="AE119" i="7" s="1"/>
  <c r="Z120" i="7" s="1"/>
  <c r="F119" i="7"/>
  <c r="N119" i="7"/>
  <c r="O119" i="7" s="1"/>
  <c r="J120" i="7" s="1"/>
  <c r="V119" i="7"/>
  <c r="W119" i="7" s="1"/>
  <c r="R120" i="7" s="1"/>
  <c r="K120" i="7" l="1"/>
  <c r="L120" i="7" s="1"/>
  <c r="M120" i="7" s="1"/>
  <c r="AY119" i="7"/>
  <c r="M121" i="6" s="1"/>
  <c r="N121" i="6" s="1"/>
  <c r="O121" i="6" s="1"/>
  <c r="G119" i="7"/>
  <c r="S120" i="7"/>
  <c r="AA120" i="7"/>
  <c r="AB120" i="7" l="1"/>
  <c r="AC120" i="7" s="1"/>
  <c r="T120" i="7"/>
  <c r="U120" i="7" s="1"/>
  <c r="AZ119" i="7"/>
  <c r="P121" i="6" s="1"/>
  <c r="T121" i="6" s="1"/>
  <c r="B120" i="7"/>
  <c r="C120" i="7" l="1"/>
  <c r="BA120" i="7" s="1"/>
  <c r="D120" i="7" l="1"/>
  <c r="AX120" i="7" s="1"/>
  <c r="E122" i="6" s="1"/>
  <c r="F122" i="6" s="1"/>
  <c r="Q122" i="6" s="1"/>
  <c r="I122" i="6" l="1"/>
  <c r="J122" i="6" s="1"/>
  <c r="S122" i="6" s="1"/>
  <c r="E120" i="7"/>
  <c r="K122" i="6" l="1"/>
  <c r="L122" i="6" s="1"/>
  <c r="AD120" i="7" l="1"/>
  <c r="AE120" i="7" s="1"/>
  <c r="Z121" i="7" s="1"/>
  <c r="V120" i="7"/>
  <c r="W120" i="7" s="1"/>
  <c r="R121" i="7" s="1"/>
  <c r="N120" i="7"/>
  <c r="O120" i="7" s="1"/>
  <c r="J121" i="7" s="1"/>
  <c r="F120" i="7"/>
  <c r="K121" i="7" l="1"/>
  <c r="S121" i="7"/>
  <c r="AY120" i="7"/>
  <c r="M122" i="6" s="1"/>
  <c r="N122" i="6" s="1"/>
  <c r="O122" i="6" s="1"/>
  <c r="G120" i="7"/>
  <c r="AA121" i="7"/>
  <c r="B121" i="7" l="1"/>
  <c r="AZ120" i="7"/>
  <c r="P122" i="6" s="1"/>
  <c r="T122" i="6" s="1"/>
  <c r="T121" i="7"/>
  <c r="U121" i="7" s="1"/>
  <c r="L121" i="7"/>
  <c r="M121" i="7" s="1"/>
  <c r="AB121" i="7"/>
  <c r="AC121" i="7" s="1"/>
  <c r="C121" i="7" l="1"/>
  <c r="BA121" i="7" s="1"/>
  <c r="D121" i="7" l="1"/>
  <c r="AX121" i="7" s="1"/>
  <c r="E123" i="6" s="1"/>
  <c r="F123" i="6" s="1"/>
  <c r="E121" i="7" l="1"/>
  <c r="I123" i="6"/>
  <c r="J123" i="6" s="1"/>
  <c r="Q123" i="6"/>
  <c r="K123" i="6" l="1"/>
  <c r="S123" i="6"/>
  <c r="L123" i="6" l="1"/>
  <c r="AD121" i="7" l="1"/>
  <c r="AE121" i="7" s="1"/>
  <c r="Z122" i="7" s="1"/>
  <c r="F121" i="7"/>
  <c r="V121" i="7"/>
  <c r="W121" i="7" s="1"/>
  <c r="R122" i="7" s="1"/>
  <c r="N121" i="7"/>
  <c r="O121" i="7" s="1"/>
  <c r="J122" i="7" s="1"/>
  <c r="S122" i="7" l="1"/>
  <c r="K122" i="7"/>
  <c r="AY121" i="7"/>
  <c r="M123" i="6" s="1"/>
  <c r="N123" i="6" s="1"/>
  <c r="O123" i="6" s="1"/>
  <c r="G121" i="7"/>
  <c r="AA122" i="7"/>
  <c r="AB122" i="7" s="1"/>
  <c r="AC122" i="7" l="1"/>
  <c r="AZ121" i="7"/>
  <c r="P123" i="6" s="1"/>
  <c r="T123" i="6" s="1"/>
  <c r="B122" i="7"/>
  <c r="L122" i="7"/>
  <c r="M122" i="7" s="1"/>
  <c r="T122" i="7"/>
  <c r="U122" i="7" s="1"/>
  <c r="C122" i="7" l="1"/>
  <c r="BA122" i="7" s="1"/>
  <c r="D122" i="7" l="1"/>
  <c r="AX122" i="7" s="1"/>
  <c r="E124" i="6" s="1"/>
  <c r="F124" i="6" s="1"/>
  <c r="E122" i="7" l="1"/>
  <c r="I124" i="6"/>
  <c r="J124" i="6" s="1"/>
  <c r="Q124" i="6"/>
  <c r="K124" i="6" l="1"/>
  <c r="L124" i="6" s="1"/>
  <c r="S124" i="6"/>
  <c r="AD122" i="7" l="1"/>
  <c r="AE122" i="7" s="1"/>
  <c r="Z123" i="7" s="1"/>
  <c r="F122" i="7"/>
  <c r="V122" i="7"/>
  <c r="W122" i="7" s="1"/>
  <c r="R123" i="7" s="1"/>
  <c r="N122" i="7"/>
  <c r="O122" i="7" s="1"/>
  <c r="J123" i="7" s="1"/>
  <c r="S123" i="7" l="1"/>
  <c r="AA123" i="7"/>
  <c r="K123" i="7"/>
  <c r="L123" i="7" s="1"/>
  <c r="M123" i="7" s="1"/>
  <c r="AY122" i="7"/>
  <c r="M124" i="6" s="1"/>
  <c r="N124" i="6" s="1"/>
  <c r="O124" i="6" s="1"/>
  <c r="G122" i="7"/>
  <c r="AZ122" i="7" l="1"/>
  <c r="P124" i="6" s="1"/>
  <c r="T124" i="6" s="1"/>
  <c r="B123" i="7"/>
  <c r="AB123" i="7"/>
  <c r="AC123" i="7" s="1"/>
  <c r="T123" i="7"/>
  <c r="U123" i="7" s="1"/>
  <c r="C123" i="7" l="1"/>
  <c r="BA123" i="7" s="1"/>
  <c r="D123" i="7" l="1"/>
  <c r="AX123" i="7" s="1"/>
  <c r="E125" i="6" s="1"/>
  <c r="F125" i="6" s="1"/>
  <c r="E123" i="7" l="1"/>
  <c r="Q125" i="6"/>
  <c r="I125" i="6"/>
  <c r="J125" i="6" s="1"/>
  <c r="K125" i="6" l="1"/>
  <c r="L125" i="6" s="1"/>
  <c r="S125" i="6"/>
  <c r="AD123" i="7" l="1"/>
  <c r="AE123" i="7" s="1"/>
  <c r="Z124" i="7" s="1"/>
  <c r="V123" i="7"/>
  <c r="W123" i="7" s="1"/>
  <c r="R124" i="7" s="1"/>
  <c r="F123" i="7"/>
  <c r="N123" i="7"/>
  <c r="O123" i="7" s="1"/>
  <c r="J124" i="7" s="1"/>
  <c r="K124" i="7" l="1"/>
  <c r="L124" i="7" s="1"/>
  <c r="M124" i="7" s="1"/>
  <c r="AY123" i="7"/>
  <c r="M125" i="6" s="1"/>
  <c r="N125" i="6" s="1"/>
  <c r="O125" i="6" s="1"/>
  <c r="G123" i="7"/>
  <c r="AA124" i="7"/>
  <c r="AB124" i="7" s="1"/>
  <c r="AC124" i="7" s="1"/>
  <c r="S124" i="7"/>
  <c r="T124" i="7" s="1"/>
  <c r="U124" i="7" s="1"/>
  <c r="AZ123" i="7" l="1"/>
  <c r="P125" i="6" s="1"/>
  <c r="T125" i="6" s="1"/>
  <c r="B124" i="7"/>
  <c r="C124" i="7" l="1"/>
  <c r="BA124" i="7" s="1"/>
  <c r="D124" i="7" l="1"/>
  <c r="AX124" i="7" s="1"/>
  <c r="E126" i="6" s="1"/>
  <c r="F126" i="6" s="1"/>
  <c r="Q126" i="6" l="1"/>
  <c r="I126" i="6"/>
  <c r="J126" i="6" s="1"/>
  <c r="E124" i="7"/>
  <c r="S126" i="6" l="1"/>
  <c r="K126" i="6"/>
  <c r="L126" i="6" l="1"/>
  <c r="AD124" i="7" l="1"/>
  <c r="AE124" i="7" s="1"/>
  <c r="Z125" i="7" s="1"/>
  <c r="V124" i="7"/>
  <c r="W124" i="7" s="1"/>
  <c r="R125" i="7" s="1"/>
  <c r="N124" i="7"/>
  <c r="O124" i="7" s="1"/>
  <c r="J125" i="7" s="1"/>
  <c r="F124" i="7"/>
  <c r="K125" i="7" l="1"/>
  <c r="AY124" i="7"/>
  <c r="M126" i="6" s="1"/>
  <c r="N126" i="6" s="1"/>
  <c r="O126" i="6" s="1"/>
  <c r="G124" i="7"/>
  <c r="AA125" i="7"/>
  <c r="S125" i="7"/>
  <c r="L125" i="7" l="1"/>
  <c r="M125" i="7" s="1"/>
  <c r="T125" i="7"/>
  <c r="U125" i="7" s="1"/>
  <c r="AB125" i="7"/>
  <c r="AC125" i="7" s="1"/>
  <c r="B125" i="7"/>
  <c r="AZ124" i="7"/>
  <c r="P126" i="6" s="1"/>
  <c r="T126" i="6" s="1"/>
  <c r="C125" i="7" l="1"/>
  <c r="BA125" i="7" s="1"/>
  <c r="D125" i="7" l="1"/>
  <c r="AX125" i="7" s="1"/>
  <c r="E127" i="6" s="1"/>
  <c r="F127" i="6" s="1"/>
  <c r="I127" i="6" l="1"/>
  <c r="J127" i="6" s="1"/>
  <c r="Q127" i="6"/>
  <c r="E125" i="7"/>
  <c r="S127" i="6" l="1"/>
  <c r="K127" i="6"/>
  <c r="L127" i="6" l="1"/>
  <c r="AD125" i="7" l="1"/>
  <c r="AE125" i="7" s="1"/>
  <c r="Z126" i="7" s="1"/>
  <c r="V125" i="7"/>
  <c r="W125" i="7" s="1"/>
  <c r="R126" i="7" s="1"/>
  <c r="F125" i="7"/>
  <c r="N125" i="7"/>
  <c r="O125" i="7" s="1"/>
  <c r="J126" i="7" s="1"/>
  <c r="AY125" i="7" l="1"/>
  <c r="M127" i="6" s="1"/>
  <c r="N127" i="6" s="1"/>
  <c r="O127" i="6" s="1"/>
  <c r="G125" i="7"/>
  <c r="K126" i="7"/>
  <c r="S126" i="7"/>
  <c r="T126" i="7" s="1"/>
  <c r="AA126" i="7"/>
  <c r="U126" i="7" l="1"/>
  <c r="L126" i="7"/>
  <c r="M126" i="7" s="1"/>
  <c r="B126" i="7"/>
  <c r="AZ125" i="7"/>
  <c r="P127" i="6" s="1"/>
  <c r="T127" i="6" s="1"/>
  <c r="AB126" i="7"/>
  <c r="AC126" i="7" s="1"/>
  <c r="C126" i="7" l="1"/>
  <c r="BA126" i="7" s="1"/>
  <c r="D126" i="7" l="1"/>
  <c r="AX126" i="7" s="1"/>
  <c r="E128" i="6" s="1"/>
  <c r="F128" i="6" s="1"/>
  <c r="E126" i="7" l="1"/>
  <c r="Q128" i="6"/>
  <c r="I128" i="6"/>
  <c r="J128" i="6" s="1"/>
  <c r="S128" i="6" l="1"/>
  <c r="K128" i="6"/>
  <c r="L128" i="6" l="1"/>
  <c r="AD126" i="7" l="1"/>
  <c r="AE126" i="7" s="1"/>
  <c r="Z127" i="7" s="1"/>
  <c r="N126" i="7"/>
  <c r="O126" i="7" s="1"/>
  <c r="J127" i="7" s="1"/>
  <c r="F126" i="7"/>
  <c r="V126" i="7"/>
  <c r="W126" i="7" s="1"/>
  <c r="R127" i="7" s="1"/>
  <c r="S127" i="7" l="1"/>
  <c r="AY126" i="7"/>
  <c r="M128" i="6" s="1"/>
  <c r="N128" i="6" s="1"/>
  <c r="O128" i="6" s="1"/>
  <c r="G126" i="7"/>
  <c r="K127" i="7"/>
  <c r="L127" i="7" s="1"/>
  <c r="AA127" i="7"/>
  <c r="AB127" i="7" s="1"/>
  <c r="AC127" i="7" s="1"/>
  <c r="B127" i="7" l="1"/>
  <c r="AZ126" i="7"/>
  <c r="P128" i="6" s="1"/>
  <c r="T128" i="6" s="1"/>
  <c r="T127" i="7"/>
  <c r="U127" i="7" s="1"/>
  <c r="M127" i="7"/>
  <c r="C127" i="7" l="1"/>
  <c r="BA127" i="7" s="1"/>
  <c r="D127" i="7" l="1"/>
  <c r="AX127" i="7" s="1"/>
  <c r="E129" i="6" s="1"/>
  <c r="F129" i="6" s="1"/>
  <c r="E127" i="7" l="1"/>
  <c r="Q129" i="6"/>
  <c r="I129" i="6"/>
  <c r="J129" i="6" s="1"/>
  <c r="S129" i="6" l="1"/>
  <c r="K129" i="6"/>
  <c r="L129" i="6" l="1"/>
  <c r="AD127" i="7" l="1"/>
  <c r="AE127" i="7" s="1"/>
  <c r="Z128" i="7" s="1"/>
  <c r="F127" i="7"/>
  <c r="N127" i="7"/>
  <c r="O127" i="7" s="1"/>
  <c r="J128" i="7" s="1"/>
  <c r="V127" i="7"/>
  <c r="W127" i="7" s="1"/>
  <c r="R128" i="7" s="1"/>
  <c r="S128" i="7" l="1"/>
  <c r="T128" i="7" s="1"/>
  <c r="K128" i="7"/>
  <c r="L128" i="7" s="1"/>
  <c r="AY127" i="7"/>
  <c r="M129" i="6" s="1"/>
  <c r="N129" i="6" s="1"/>
  <c r="O129" i="6" s="1"/>
  <c r="G127" i="7"/>
  <c r="AA128" i="7"/>
  <c r="U128" i="7" l="1"/>
  <c r="AB128" i="7"/>
  <c r="AC128" i="7" s="1"/>
  <c r="B128" i="7"/>
  <c r="AZ127" i="7"/>
  <c r="P129" i="6" s="1"/>
  <c r="T129" i="6" s="1"/>
  <c r="M128" i="7"/>
  <c r="C128" i="7" l="1"/>
  <c r="BA128" i="7" s="1"/>
  <c r="D128" i="7" l="1"/>
  <c r="AX128" i="7" s="1"/>
  <c r="E130" i="6" s="1"/>
  <c r="F130" i="6" s="1"/>
  <c r="Q130" i="6" s="1"/>
  <c r="E128" i="7" l="1"/>
  <c r="I130" i="6"/>
  <c r="J130" i="6" s="1"/>
  <c r="S130" i="6" s="1"/>
  <c r="K130" i="6" l="1"/>
  <c r="L130" i="6" s="1"/>
  <c r="AD128" i="7" l="1"/>
  <c r="AE128" i="7" s="1"/>
  <c r="Z129" i="7" s="1"/>
  <c r="N128" i="7"/>
  <c r="O128" i="7" s="1"/>
  <c r="J129" i="7" s="1"/>
  <c r="F128" i="7"/>
  <c r="V128" i="7"/>
  <c r="W128" i="7" s="1"/>
  <c r="R129" i="7" s="1"/>
  <c r="S129" i="7" l="1"/>
  <c r="AY128" i="7"/>
  <c r="M130" i="6" s="1"/>
  <c r="N130" i="6" s="1"/>
  <c r="O130" i="6" s="1"/>
  <c r="G128" i="7"/>
  <c r="K129" i="7"/>
  <c r="AA129" i="7"/>
  <c r="AB129" i="7" l="1"/>
  <c r="AC129" i="7" s="1"/>
  <c r="L129" i="7"/>
  <c r="M129" i="7" s="1"/>
  <c r="B129" i="7"/>
  <c r="AZ128" i="7"/>
  <c r="P130" i="6" s="1"/>
  <c r="T130" i="6" s="1"/>
  <c r="T129" i="7"/>
  <c r="U129" i="7" s="1"/>
  <c r="C129" i="7" l="1"/>
  <c r="BA129" i="7" s="1"/>
  <c r="D129" i="7" l="1"/>
  <c r="AX129" i="7" s="1"/>
  <c r="E131" i="6" s="1"/>
  <c r="F131" i="6" s="1"/>
  <c r="E129" i="7" l="1"/>
  <c r="Q131" i="6"/>
  <c r="I131" i="6"/>
  <c r="J131" i="6" s="1"/>
  <c r="S131" i="6" l="1"/>
  <c r="K131" i="6"/>
  <c r="L131" i="6" l="1"/>
  <c r="AD129" i="7" l="1"/>
  <c r="AE129" i="7" s="1"/>
  <c r="Z130" i="7" s="1"/>
  <c r="N129" i="7"/>
  <c r="O129" i="7" s="1"/>
  <c r="J130" i="7" s="1"/>
  <c r="V129" i="7"/>
  <c r="W129" i="7" s="1"/>
  <c r="R130" i="7" s="1"/>
  <c r="F129" i="7"/>
  <c r="S130" i="7" l="1"/>
  <c r="K130" i="7"/>
  <c r="L130" i="7" s="1"/>
  <c r="AY129" i="7"/>
  <c r="M131" i="6" s="1"/>
  <c r="N131" i="6" s="1"/>
  <c r="O131" i="6" s="1"/>
  <c r="G129" i="7"/>
  <c r="AA130" i="7"/>
  <c r="AB130" i="7" l="1"/>
  <c r="AC130" i="7" s="1"/>
  <c r="M130" i="7"/>
  <c r="B130" i="7"/>
  <c r="AZ129" i="7"/>
  <c r="P131" i="6" s="1"/>
  <c r="T131" i="6" s="1"/>
  <c r="T130" i="7"/>
  <c r="U130" i="7" s="1"/>
  <c r="C130" i="7" l="1"/>
  <c r="BA130" i="7" s="1"/>
  <c r="D130" i="7" l="1"/>
  <c r="AX130" i="7" s="1"/>
  <c r="E132" i="6" s="1"/>
  <c r="F132" i="6" s="1"/>
  <c r="E130" i="7" l="1"/>
  <c r="Q132" i="6"/>
  <c r="I132" i="6"/>
  <c r="J132" i="6" s="1"/>
  <c r="K132" i="6" l="1"/>
  <c r="L132" i="6" s="1"/>
  <c r="S132" i="6"/>
  <c r="AD130" i="7" l="1"/>
  <c r="AE130" i="7" s="1"/>
  <c r="Z131" i="7" s="1"/>
  <c r="V130" i="7"/>
  <c r="W130" i="7" s="1"/>
  <c r="R131" i="7" s="1"/>
  <c r="F130" i="7"/>
  <c r="N130" i="7"/>
  <c r="O130" i="7" s="1"/>
  <c r="J131" i="7" s="1"/>
  <c r="K131" i="7" l="1"/>
  <c r="L131" i="7" s="1"/>
  <c r="M131" i="7" s="1"/>
  <c r="AY130" i="7"/>
  <c r="M132" i="6" s="1"/>
  <c r="N132" i="6" s="1"/>
  <c r="O132" i="6" s="1"/>
  <c r="G130" i="7"/>
  <c r="AA131" i="7"/>
  <c r="S131" i="7"/>
  <c r="T131" i="7" l="1"/>
  <c r="U131" i="7" s="1"/>
  <c r="AB131" i="7"/>
  <c r="AC131" i="7" s="1"/>
  <c r="B131" i="7"/>
  <c r="AZ130" i="7"/>
  <c r="P132" i="6" s="1"/>
  <c r="T132" i="6" s="1"/>
  <c r="C131" i="7" l="1"/>
  <c r="BA131" i="7" s="1"/>
  <c r="D131" i="7" l="1"/>
  <c r="AX131" i="7" s="1"/>
  <c r="E133" i="6" s="1"/>
  <c r="F133" i="6" s="1"/>
  <c r="I133" i="6" l="1"/>
  <c r="J133" i="6" s="1"/>
  <c r="Q133" i="6"/>
  <c r="E131" i="7"/>
  <c r="S133" i="6" l="1"/>
  <c r="K133" i="6"/>
  <c r="L133" i="6" l="1"/>
  <c r="AD131" i="7" l="1"/>
  <c r="AE131" i="7" s="1"/>
  <c r="Z132" i="7" s="1"/>
  <c r="F131" i="7"/>
  <c r="N131" i="7"/>
  <c r="O131" i="7" s="1"/>
  <c r="J132" i="7" s="1"/>
  <c r="V131" i="7"/>
  <c r="W131" i="7" s="1"/>
  <c r="R132" i="7" s="1"/>
  <c r="K132" i="7" l="1"/>
  <c r="AY131" i="7"/>
  <c r="M133" i="6" s="1"/>
  <c r="N133" i="6" s="1"/>
  <c r="O133" i="6" s="1"/>
  <c r="G131" i="7"/>
  <c r="S132" i="7"/>
  <c r="AA132" i="7"/>
  <c r="T132" i="7" l="1"/>
  <c r="U132" i="7" s="1"/>
  <c r="B132" i="7"/>
  <c r="AZ131" i="7"/>
  <c r="P133" i="6" s="1"/>
  <c r="T133" i="6" s="1"/>
  <c r="AB132" i="7"/>
  <c r="AC132" i="7" s="1"/>
  <c r="L132" i="7"/>
  <c r="M132" i="7" s="1"/>
  <c r="C132" i="7" l="1"/>
  <c r="BA132" i="7" s="1"/>
  <c r="D132" i="7" l="1"/>
  <c r="AX132" i="7" s="1"/>
  <c r="E134" i="6" s="1"/>
  <c r="F134" i="6" s="1"/>
  <c r="Q134" i="6" s="1"/>
  <c r="I134" i="6" l="1"/>
  <c r="J134" i="6" s="1"/>
  <c r="S134" i="6" s="1"/>
  <c r="E132" i="7"/>
  <c r="K134" i="6" l="1"/>
  <c r="L134" i="6" s="1"/>
  <c r="AD132" i="7" l="1"/>
  <c r="AE132" i="7" s="1"/>
  <c r="Z133" i="7" s="1"/>
  <c r="N132" i="7"/>
  <c r="O132" i="7" s="1"/>
  <c r="J133" i="7" s="1"/>
  <c r="F132" i="7"/>
  <c r="V132" i="7"/>
  <c r="W132" i="7" s="1"/>
  <c r="R133" i="7" s="1"/>
  <c r="AY132" i="7" l="1"/>
  <c r="M134" i="6" s="1"/>
  <c r="N134" i="6" s="1"/>
  <c r="O134" i="6" s="1"/>
  <c r="G132" i="7"/>
  <c r="K133" i="7"/>
  <c r="S133" i="7"/>
  <c r="T133" i="7" s="1"/>
  <c r="AA133" i="7"/>
  <c r="U133" i="7" l="1"/>
  <c r="AB133" i="7"/>
  <c r="AC133" i="7" s="1"/>
  <c r="B133" i="7"/>
  <c r="AZ132" i="7"/>
  <c r="P134" i="6" s="1"/>
  <c r="T134" i="6" s="1"/>
  <c r="L133" i="7"/>
  <c r="M133" i="7" s="1"/>
  <c r="C133" i="7" l="1"/>
  <c r="BA133" i="7" s="1"/>
  <c r="D133" i="7" l="1"/>
  <c r="AX133" i="7" s="1"/>
  <c r="E135" i="6" s="1"/>
  <c r="F135" i="6" s="1"/>
  <c r="E133" i="7" l="1"/>
  <c r="Q135" i="6"/>
  <c r="I135" i="6"/>
  <c r="J135" i="6" s="1"/>
  <c r="K135" i="6" l="1"/>
  <c r="S135" i="6"/>
  <c r="L135" i="6" l="1"/>
  <c r="AD133" i="7" l="1"/>
  <c r="AE133" i="7" s="1"/>
  <c r="Z134" i="7" s="1"/>
  <c r="F133" i="7"/>
  <c r="N133" i="7"/>
  <c r="O133" i="7" s="1"/>
  <c r="J134" i="7" s="1"/>
  <c r="V133" i="7"/>
  <c r="W133" i="7" s="1"/>
  <c r="R134" i="7" s="1"/>
  <c r="K134" i="7" l="1"/>
  <c r="L134" i="7" s="1"/>
  <c r="AY133" i="7"/>
  <c r="M135" i="6" s="1"/>
  <c r="N135" i="6" s="1"/>
  <c r="O135" i="6" s="1"/>
  <c r="G133" i="7"/>
  <c r="S134" i="7"/>
  <c r="T134" i="7" s="1"/>
  <c r="AA134" i="7"/>
  <c r="M134" i="7" l="1"/>
  <c r="U134" i="7"/>
  <c r="AB134" i="7"/>
  <c r="AC134" i="7" s="1"/>
  <c r="B134" i="7"/>
  <c r="AZ133" i="7"/>
  <c r="P135" i="6" s="1"/>
  <c r="T135" i="6" s="1"/>
  <c r="C134" i="7" l="1"/>
  <c r="BA134" i="7" s="1"/>
  <c r="D134" i="7" l="1"/>
  <c r="AX134" i="7" s="1"/>
  <c r="E136" i="6" s="1"/>
  <c r="F136" i="6" s="1"/>
  <c r="E134" i="7" l="1"/>
  <c r="I136" i="6"/>
  <c r="J136" i="6" s="1"/>
  <c r="Q136" i="6"/>
  <c r="S136" i="6" l="1"/>
  <c r="K136" i="6"/>
  <c r="L136" i="6" l="1"/>
  <c r="AD134" i="7" l="1"/>
  <c r="AE134" i="7" s="1"/>
  <c r="Z135" i="7" s="1"/>
  <c r="F134" i="7"/>
  <c r="N134" i="7"/>
  <c r="O134" i="7" s="1"/>
  <c r="J135" i="7" s="1"/>
  <c r="V134" i="7"/>
  <c r="W134" i="7" s="1"/>
  <c r="R135" i="7" s="1"/>
  <c r="K135" i="7" l="1"/>
  <c r="AY134" i="7"/>
  <c r="M136" i="6" s="1"/>
  <c r="N136" i="6" s="1"/>
  <c r="O136" i="6" s="1"/>
  <c r="G134" i="7"/>
  <c r="S135" i="7"/>
  <c r="AA135" i="7"/>
  <c r="AB135" i="7" l="1"/>
  <c r="AC135" i="7" s="1"/>
  <c r="T135" i="7"/>
  <c r="U135" i="7" s="1"/>
  <c r="B135" i="7"/>
  <c r="AZ134" i="7"/>
  <c r="P136" i="6" s="1"/>
  <c r="T136" i="6" s="1"/>
  <c r="L135" i="7"/>
  <c r="M135" i="7" s="1"/>
  <c r="C135" i="7" l="1"/>
  <c r="BA135" i="7" s="1"/>
  <c r="D135" i="7" l="1"/>
  <c r="AX135" i="7" s="1"/>
  <c r="E137" i="6" s="1"/>
  <c r="F137" i="6" s="1"/>
  <c r="I137" i="6" l="1"/>
  <c r="J137" i="6" s="1"/>
  <c r="Q137" i="6"/>
  <c r="E135" i="7"/>
  <c r="K137" i="6" l="1"/>
  <c r="S137" i="6"/>
  <c r="L137" i="6" l="1"/>
  <c r="AD135" i="7" l="1"/>
  <c r="AE135" i="7" s="1"/>
  <c r="Z136" i="7" s="1"/>
  <c r="F135" i="7"/>
  <c r="N135" i="7"/>
  <c r="O135" i="7" s="1"/>
  <c r="J136" i="7" s="1"/>
  <c r="V135" i="7"/>
  <c r="W135" i="7" s="1"/>
  <c r="R136" i="7" s="1"/>
  <c r="K136" i="7" l="1"/>
  <c r="L136" i="7" s="1"/>
  <c r="AA136" i="7"/>
  <c r="AB136" i="7" s="1"/>
  <c r="S136" i="7"/>
  <c r="AY135" i="7"/>
  <c r="M137" i="6" s="1"/>
  <c r="N137" i="6" s="1"/>
  <c r="O137" i="6" s="1"/>
  <c r="G135" i="7"/>
  <c r="AC136" i="7" l="1"/>
  <c r="M136" i="7"/>
  <c r="AZ135" i="7"/>
  <c r="P137" i="6" s="1"/>
  <c r="T137" i="6" s="1"/>
  <c r="B136" i="7"/>
  <c r="T136" i="7"/>
  <c r="U136" i="7" s="1"/>
  <c r="C136" i="7" l="1"/>
  <c r="BA136" i="7" s="1"/>
  <c r="D136" i="7" l="1"/>
  <c r="AX136" i="7" s="1"/>
  <c r="E138" i="6" s="1"/>
  <c r="F138" i="6" s="1"/>
  <c r="Q138" i="6" s="1"/>
  <c r="I138" i="6" l="1"/>
  <c r="J138" i="6" s="1"/>
  <c r="S138" i="6" s="1"/>
  <c r="E136" i="7"/>
  <c r="K138" i="6" l="1"/>
  <c r="L138" i="6" s="1"/>
  <c r="AD136" i="7" l="1"/>
  <c r="AE136" i="7" s="1"/>
  <c r="Z137" i="7" s="1"/>
  <c r="V136" i="7"/>
  <c r="W136" i="7" s="1"/>
  <c r="R137" i="7" s="1"/>
  <c r="F136" i="7"/>
  <c r="N136" i="7"/>
  <c r="O136" i="7" s="1"/>
  <c r="J137" i="7" s="1"/>
  <c r="AY136" i="7" l="1"/>
  <c r="M138" i="6" s="1"/>
  <c r="N138" i="6" s="1"/>
  <c r="O138" i="6" s="1"/>
  <c r="G136" i="7"/>
  <c r="S137" i="7"/>
  <c r="K137" i="7"/>
  <c r="AA137" i="7"/>
  <c r="AB137" i="7" s="1"/>
  <c r="AC137" i="7" s="1"/>
  <c r="T137" i="7" l="1"/>
  <c r="U137" i="7" s="1"/>
  <c r="L137" i="7"/>
  <c r="M137" i="7" s="1"/>
  <c r="AZ136" i="7"/>
  <c r="P138" i="6" s="1"/>
  <c r="T138" i="6" s="1"/>
  <c r="B137" i="7"/>
  <c r="C137" i="7" l="1"/>
  <c r="BA137" i="7" s="1"/>
  <c r="D137" i="7" l="1"/>
  <c r="AX137" i="7" s="1"/>
  <c r="E139" i="6" s="1"/>
  <c r="F139" i="6" s="1"/>
  <c r="E137" i="7" l="1"/>
  <c r="I139" i="6"/>
  <c r="J139" i="6" s="1"/>
  <c r="Q139" i="6"/>
  <c r="S139" i="6" l="1"/>
  <c r="K139" i="6"/>
  <c r="L139" i="6" l="1"/>
  <c r="AD137" i="7" l="1"/>
  <c r="AE137" i="7" s="1"/>
  <c r="Z138" i="7" s="1"/>
  <c r="N137" i="7"/>
  <c r="O137" i="7" s="1"/>
  <c r="J138" i="7" s="1"/>
  <c r="F137" i="7"/>
  <c r="V137" i="7"/>
  <c r="W137" i="7" s="1"/>
  <c r="R138" i="7" s="1"/>
  <c r="AY137" i="7" l="1"/>
  <c r="M139" i="6" s="1"/>
  <c r="N139" i="6" s="1"/>
  <c r="O139" i="6" s="1"/>
  <c r="G137" i="7"/>
  <c r="K138" i="7"/>
  <c r="L138" i="7" s="1"/>
  <c r="S138" i="7"/>
  <c r="AA138" i="7"/>
  <c r="AB138" i="7" s="1"/>
  <c r="AC138" i="7" l="1"/>
  <c r="M138" i="7"/>
  <c r="AZ137" i="7"/>
  <c r="P139" i="6" s="1"/>
  <c r="T139" i="6" s="1"/>
  <c r="B138" i="7"/>
  <c r="T138" i="7"/>
  <c r="U138" i="7" s="1"/>
  <c r="C138" i="7" l="1"/>
  <c r="BA138" i="7" s="1"/>
  <c r="D138" i="7" l="1"/>
  <c r="AX138" i="7" s="1"/>
  <c r="E140" i="6" s="1"/>
  <c r="F140" i="6" s="1"/>
  <c r="E138" i="7" l="1"/>
  <c r="I140" i="6"/>
  <c r="J140" i="6" s="1"/>
  <c r="Q140" i="6"/>
  <c r="K140" i="6" l="1"/>
  <c r="L140" i="6" s="1"/>
  <c r="S140" i="6"/>
  <c r="AD138" i="7" l="1"/>
  <c r="AE138" i="7" s="1"/>
  <c r="Z139" i="7" s="1"/>
  <c r="F138" i="7"/>
  <c r="N138" i="7"/>
  <c r="O138" i="7" s="1"/>
  <c r="J139" i="7" s="1"/>
  <c r="V138" i="7"/>
  <c r="W138" i="7" s="1"/>
  <c r="R139" i="7" s="1"/>
  <c r="S139" i="7" l="1"/>
  <c r="K139" i="7"/>
  <c r="L139" i="7" s="1"/>
  <c r="M139" i="7" s="1"/>
  <c r="AA139" i="7"/>
  <c r="AB139" i="7" s="1"/>
  <c r="AC139" i="7" s="1"/>
  <c r="AY138" i="7"/>
  <c r="M140" i="6" s="1"/>
  <c r="N140" i="6" s="1"/>
  <c r="O140" i="6" s="1"/>
  <c r="G138" i="7"/>
  <c r="AZ138" i="7" l="1"/>
  <c r="P140" i="6" s="1"/>
  <c r="T140" i="6" s="1"/>
  <c r="B139" i="7"/>
  <c r="T139" i="7"/>
  <c r="U139" i="7" s="1"/>
  <c r="C139" i="7" l="1"/>
  <c r="BA139" i="7" s="1"/>
  <c r="D139" i="7" l="1"/>
  <c r="AX139" i="7" s="1"/>
  <c r="E141" i="6" s="1"/>
  <c r="F141" i="6" s="1"/>
  <c r="Q141" i="6" s="1"/>
  <c r="E139" i="7" l="1"/>
  <c r="I141" i="6"/>
  <c r="J141" i="6" s="1"/>
  <c r="S141" i="6" s="1"/>
  <c r="K141" i="6" l="1"/>
  <c r="L141" i="6" s="1"/>
  <c r="AD139" i="7" l="1"/>
  <c r="AE139" i="7" s="1"/>
  <c r="Z140" i="7" s="1"/>
  <c r="F139" i="7"/>
  <c r="V139" i="7"/>
  <c r="W139" i="7" s="1"/>
  <c r="R140" i="7" s="1"/>
  <c r="N139" i="7"/>
  <c r="O139" i="7" s="1"/>
  <c r="J140" i="7" s="1"/>
  <c r="S140" i="7" l="1"/>
  <c r="T140" i="7" s="1"/>
  <c r="AY139" i="7"/>
  <c r="M141" i="6" s="1"/>
  <c r="N141" i="6" s="1"/>
  <c r="O141" i="6" s="1"/>
  <c r="G139" i="7"/>
  <c r="K140" i="7"/>
  <c r="L140" i="7" s="1"/>
  <c r="AA140" i="7"/>
  <c r="AB140" i="7" s="1"/>
  <c r="AC140" i="7" s="1"/>
  <c r="U140" i="7" l="1"/>
  <c r="M140" i="7"/>
  <c r="B140" i="7"/>
  <c r="AZ139" i="7"/>
  <c r="P141" i="6" s="1"/>
  <c r="T141" i="6" s="1"/>
  <c r="C140" i="7" l="1"/>
  <c r="BA140" i="7" s="1"/>
  <c r="D140" i="7" l="1"/>
  <c r="AX140" i="7" s="1"/>
  <c r="E142" i="6" s="1"/>
  <c r="F142" i="6" s="1"/>
  <c r="Q142" i="6" s="1"/>
  <c r="E140" i="7" l="1"/>
  <c r="I142" i="6"/>
  <c r="J142" i="6" s="1"/>
  <c r="S142" i="6" s="1"/>
  <c r="K142" i="6" l="1"/>
  <c r="L142" i="6" s="1"/>
  <c r="AD140" i="7" l="1"/>
  <c r="AE140" i="7" s="1"/>
  <c r="Z141" i="7" s="1"/>
  <c r="V140" i="7"/>
  <c r="W140" i="7" s="1"/>
  <c r="R141" i="7" s="1"/>
  <c r="N140" i="7"/>
  <c r="O140" i="7" s="1"/>
  <c r="J141" i="7" s="1"/>
  <c r="F140" i="7"/>
  <c r="S141" i="7" l="1"/>
  <c r="AY140" i="7"/>
  <c r="M142" i="6" s="1"/>
  <c r="N142" i="6" s="1"/>
  <c r="O142" i="6" s="1"/>
  <c r="G140" i="7"/>
  <c r="K141" i="7"/>
  <c r="AA141" i="7"/>
  <c r="L141" i="7" l="1"/>
  <c r="M141" i="7" s="1"/>
  <c r="AB141" i="7"/>
  <c r="AC141" i="7" s="1"/>
  <c r="B141" i="7"/>
  <c r="AZ140" i="7"/>
  <c r="P142" i="6" s="1"/>
  <c r="T142" i="6" s="1"/>
  <c r="T141" i="7"/>
  <c r="U141" i="7" s="1"/>
  <c r="C141" i="7" l="1"/>
  <c r="BA141" i="7" s="1"/>
  <c r="D141" i="7" l="1"/>
  <c r="AX141" i="7" s="1"/>
  <c r="E143" i="6" s="1"/>
  <c r="F143" i="6" s="1"/>
  <c r="E141" i="7" l="1"/>
  <c r="I143" i="6"/>
  <c r="J143" i="6" s="1"/>
  <c r="Q143" i="6"/>
  <c r="S143" i="6" l="1"/>
  <c r="K143" i="6"/>
  <c r="L143" i="6" l="1"/>
  <c r="AD141" i="7" l="1"/>
  <c r="AE141" i="7" s="1"/>
  <c r="Z142" i="7" s="1"/>
  <c r="V141" i="7"/>
  <c r="W141" i="7" s="1"/>
  <c r="R142" i="7" s="1"/>
  <c r="N141" i="7"/>
  <c r="O141" i="7" s="1"/>
  <c r="J142" i="7" s="1"/>
  <c r="F141" i="7"/>
  <c r="K142" i="7" l="1"/>
  <c r="AY141" i="7"/>
  <c r="M143" i="6" s="1"/>
  <c r="N143" i="6" s="1"/>
  <c r="O143" i="6" s="1"/>
  <c r="G141" i="7"/>
  <c r="AA142" i="7"/>
  <c r="AB142" i="7" s="1"/>
  <c r="S142" i="7"/>
  <c r="T142" i="7" s="1"/>
  <c r="AC142" i="7" l="1"/>
  <c r="U142" i="7"/>
  <c r="AZ141" i="7"/>
  <c r="P143" i="6" s="1"/>
  <c r="T143" i="6" s="1"/>
  <c r="B142" i="7"/>
  <c r="L142" i="7"/>
  <c r="M142" i="7" s="1"/>
  <c r="C142" i="7" l="1"/>
  <c r="BA142" i="7" s="1"/>
  <c r="D142" i="7" l="1"/>
  <c r="AX142" i="7" s="1"/>
  <c r="E144" i="6" s="1"/>
  <c r="F144" i="6" s="1"/>
  <c r="E142" i="7" l="1"/>
  <c r="Q144" i="6"/>
  <c r="I144" i="6"/>
  <c r="J144" i="6" s="1"/>
  <c r="S144" i="6" l="1"/>
  <c r="K144" i="6"/>
  <c r="L144" i="6" l="1"/>
  <c r="AD142" i="7" l="1"/>
  <c r="AE142" i="7" s="1"/>
  <c r="Z143" i="7" s="1"/>
  <c r="N142" i="7"/>
  <c r="O142" i="7" s="1"/>
  <c r="J143" i="7" s="1"/>
  <c r="V142" i="7"/>
  <c r="W142" i="7" s="1"/>
  <c r="R143" i="7" s="1"/>
  <c r="F142" i="7"/>
  <c r="AY142" i="7" l="1"/>
  <c r="M144" i="6" s="1"/>
  <c r="N144" i="6" s="1"/>
  <c r="O144" i="6" s="1"/>
  <c r="G142" i="7"/>
  <c r="S143" i="7"/>
  <c r="K143" i="7"/>
  <c r="AA143" i="7"/>
  <c r="AB143" i="7" s="1"/>
  <c r="AC143" i="7" s="1"/>
  <c r="L143" i="7" l="1"/>
  <c r="M143" i="7" s="1"/>
  <c r="T143" i="7"/>
  <c r="U143" i="7" s="1"/>
  <c r="B143" i="7"/>
  <c r="AZ142" i="7"/>
  <c r="P144" i="6" s="1"/>
  <c r="T144" i="6" s="1"/>
  <c r="C143" i="7" l="1"/>
  <c r="BA143" i="7" s="1"/>
  <c r="D143" i="7" l="1"/>
  <c r="AX143" i="7" s="1"/>
  <c r="E145" i="6" s="1"/>
  <c r="F145" i="6" s="1"/>
  <c r="I145" i="6" s="1"/>
  <c r="J145" i="6" s="1"/>
  <c r="Q145" i="6" l="1"/>
  <c r="E143" i="7"/>
  <c r="S145" i="6"/>
  <c r="K145" i="6"/>
  <c r="L145" i="6" l="1"/>
  <c r="AD143" i="7" l="1"/>
  <c r="AE143" i="7" s="1"/>
  <c r="Z144" i="7" s="1"/>
  <c r="N143" i="7"/>
  <c r="O143" i="7" s="1"/>
  <c r="J144" i="7" s="1"/>
  <c r="V143" i="7"/>
  <c r="W143" i="7" s="1"/>
  <c r="R144" i="7" s="1"/>
  <c r="F143" i="7"/>
  <c r="S144" i="7" l="1"/>
  <c r="T144" i="7" s="1"/>
  <c r="K144" i="7"/>
  <c r="L144" i="7" s="1"/>
  <c r="AY143" i="7"/>
  <c r="M145" i="6" s="1"/>
  <c r="N145" i="6" s="1"/>
  <c r="O145" i="6" s="1"/>
  <c r="G143" i="7"/>
  <c r="AA144" i="7"/>
  <c r="AB144" i="7" s="1"/>
  <c r="U144" i="7" l="1"/>
  <c r="B144" i="7"/>
  <c r="AZ143" i="7"/>
  <c r="P145" i="6" s="1"/>
  <c r="T145" i="6" s="1"/>
  <c r="AC144" i="7"/>
  <c r="M144" i="7"/>
  <c r="C144" i="7" l="1"/>
  <c r="BA144" i="7" s="1"/>
  <c r="D144" i="7" l="1"/>
  <c r="AX144" i="7" s="1"/>
  <c r="E146" i="6" s="1"/>
  <c r="F146" i="6" s="1"/>
  <c r="Q146" i="6" s="1"/>
  <c r="E144" i="7" l="1"/>
  <c r="I146" i="6"/>
  <c r="J146" i="6" s="1"/>
  <c r="S146" i="6" s="1"/>
  <c r="K146" i="6" l="1"/>
  <c r="L146" i="6" s="1"/>
  <c r="AD144" i="7" l="1"/>
  <c r="AE144" i="7" s="1"/>
  <c r="Z145" i="7" s="1"/>
  <c r="V144" i="7"/>
  <c r="W144" i="7" s="1"/>
  <c r="R145" i="7" s="1"/>
  <c r="F144" i="7"/>
  <c r="N144" i="7"/>
  <c r="O144" i="7" s="1"/>
  <c r="J145" i="7" s="1"/>
  <c r="AY144" i="7" l="1"/>
  <c r="M146" i="6" s="1"/>
  <c r="N146" i="6" s="1"/>
  <c r="O146" i="6" s="1"/>
  <c r="G144" i="7"/>
  <c r="S145" i="7"/>
  <c r="K145" i="7"/>
  <c r="AA145" i="7"/>
  <c r="AB145" i="7" l="1"/>
  <c r="AC145" i="7" s="1"/>
  <c r="L145" i="7"/>
  <c r="M145" i="7" s="1"/>
  <c r="T145" i="7"/>
  <c r="U145" i="7" s="1"/>
  <c r="B145" i="7"/>
  <c r="AZ144" i="7"/>
  <c r="P146" i="6" s="1"/>
  <c r="T146" i="6" s="1"/>
  <c r="C145" i="7" l="1"/>
  <c r="BA145" i="7" s="1"/>
  <c r="D145" i="7" l="1"/>
  <c r="AX145" i="7" s="1"/>
  <c r="E147" i="6" s="1"/>
  <c r="F147" i="6" s="1"/>
  <c r="Q147" i="6" s="1"/>
  <c r="E145" i="7" l="1"/>
  <c r="I147" i="6"/>
  <c r="J147" i="6" s="1"/>
  <c r="S147" i="6" s="1"/>
  <c r="K147" i="6" l="1"/>
  <c r="L147" i="6" s="1"/>
  <c r="AD145" i="7" l="1"/>
  <c r="AE145" i="7" s="1"/>
  <c r="Z146" i="7" s="1"/>
  <c r="N145" i="7"/>
  <c r="O145" i="7" s="1"/>
  <c r="J146" i="7" s="1"/>
  <c r="V145" i="7"/>
  <c r="W145" i="7" s="1"/>
  <c r="R146" i="7" s="1"/>
  <c r="F145" i="7"/>
  <c r="AY145" i="7" l="1"/>
  <c r="M147" i="6" s="1"/>
  <c r="N147" i="6" s="1"/>
  <c r="O147" i="6" s="1"/>
  <c r="G145" i="7"/>
  <c r="S146" i="7"/>
  <c r="T146" i="7" s="1"/>
  <c r="AA146" i="7"/>
  <c r="K146" i="7"/>
  <c r="L146" i="7" s="1"/>
  <c r="M146" i="7" l="1"/>
  <c r="U146" i="7"/>
  <c r="AB146" i="7"/>
  <c r="AC146" i="7" s="1"/>
  <c r="B146" i="7"/>
  <c r="AZ145" i="7"/>
  <c r="P147" i="6" s="1"/>
  <c r="T147" i="6" s="1"/>
  <c r="C146" i="7" l="1"/>
  <c r="BA146" i="7" s="1"/>
  <c r="D146" i="7" l="1"/>
  <c r="AX146" i="7" s="1"/>
  <c r="E148" i="6" s="1"/>
  <c r="F148" i="6" s="1"/>
  <c r="E146" i="7" l="1"/>
  <c r="Q148" i="6"/>
  <c r="I148" i="6"/>
  <c r="J148" i="6" s="1"/>
  <c r="S148" i="6" l="1"/>
  <c r="K148" i="6"/>
  <c r="L148" i="6" l="1"/>
  <c r="AD146" i="7" l="1"/>
  <c r="AE146" i="7" s="1"/>
  <c r="Z147" i="7" s="1"/>
  <c r="V146" i="7"/>
  <c r="W146" i="7" s="1"/>
  <c r="R147" i="7" s="1"/>
  <c r="F146" i="7"/>
  <c r="N146" i="7"/>
  <c r="O146" i="7" s="1"/>
  <c r="J147" i="7" s="1"/>
  <c r="K147" i="7" l="1"/>
  <c r="L147" i="7" s="1"/>
  <c r="S147" i="7"/>
  <c r="T147" i="7" s="1"/>
  <c r="U147" i="7" s="1"/>
  <c r="AY146" i="7"/>
  <c r="M148" i="6" s="1"/>
  <c r="N148" i="6" s="1"/>
  <c r="O148" i="6" s="1"/>
  <c r="G146" i="7"/>
  <c r="AA147" i="7"/>
  <c r="M147" i="7" l="1"/>
  <c r="B147" i="7"/>
  <c r="AZ146" i="7"/>
  <c r="P148" i="6" s="1"/>
  <c r="T148" i="6" s="1"/>
  <c r="AB147" i="7"/>
  <c r="AC147" i="7" s="1"/>
  <c r="C147" i="7" l="1"/>
  <c r="BA147" i="7" s="1"/>
  <c r="D147" i="7" l="1"/>
  <c r="AX147" i="7" s="1"/>
  <c r="E149" i="6" s="1"/>
  <c r="F149" i="6" s="1"/>
  <c r="I149" i="6" l="1"/>
  <c r="J149" i="6" s="1"/>
  <c r="Q149" i="6"/>
  <c r="E147" i="7"/>
  <c r="S149" i="6" l="1"/>
  <c r="K149" i="6"/>
  <c r="L149" i="6" l="1"/>
  <c r="AD147" i="7" l="1"/>
  <c r="AE147" i="7" s="1"/>
  <c r="Z148" i="7" s="1"/>
  <c r="F147" i="7"/>
  <c r="N147" i="7"/>
  <c r="O147" i="7" s="1"/>
  <c r="J148" i="7" s="1"/>
  <c r="V147" i="7"/>
  <c r="W147" i="7" s="1"/>
  <c r="R148" i="7" s="1"/>
  <c r="K148" i="7" l="1"/>
  <c r="S148" i="7"/>
  <c r="AA148" i="7"/>
  <c r="AY147" i="7"/>
  <c r="M149" i="6" s="1"/>
  <c r="N149" i="6" s="1"/>
  <c r="O149" i="6" s="1"/>
  <c r="G147" i="7"/>
  <c r="B148" i="7" l="1"/>
  <c r="AZ147" i="7"/>
  <c r="P149" i="6" s="1"/>
  <c r="T149" i="6" s="1"/>
  <c r="AB148" i="7"/>
  <c r="AC148" i="7" s="1"/>
  <c r="T148" i="7"/>
  <c r="U148" i="7" s="1"/>
  <c r="L148" i="7"/>
  <c r="M148" i="7" s="1"/>
  <c r="C148" i="7" l="1"/>
  <c r="BA148" i="7" s="1"/>
  <c r="D148" i="7" l="1"/>
  <c r="AX148" i="7" s="1"/>
  <c r="E150" i="6" s="1"/>
  <c r="F150" i="6" s="1"/>
  <c r="I150" i="6" s="1"/>
  <c r="J150" i="6" s="1"/>
  <c r="Q150" i="6" l="1"/>
  <c r="E148" i="7"/>
  <c r="K150" i="6"/>
  <c r="L150" i="6" s="1"/>
  <c r="S150" i="6"/>
  <c r="AD148" i="7" l="1"/>
  <c r="AE148" i="7" s="1"/>
  <c r="Z149" i="7" s="1"/>
  <c r="N148" i="7"/>
  <c r="O148" i="7" s="1"/>
  <c r="J149" i="7" s="1"/>
  <c r="V148" i="7"/>
  <c r="W148" i="7" s="1"/>
  <c r="R149" i="7" s="1"/>
  <c r="F148" i="7"/>
  <c r="AY148" i="7" l="1"/>
  <c r="M150" i="6" s="1"/>
  <c r="N150" i="6" s="1"/>
  <c r="O150" i="6" s="1"/>
  <c r="G148" i="7"/>
  <c r="S149" i="7"/>
  <c r="T149" i="7" s="1"/>
  <c r="K149" i="7"/>
  <c r="L149" i="7" s="1"/>
  <c r="AA149" i="7"/>
  <c r="AB149" i="7" s="1"/>
  <c r="AC149" i="7" l="1"/>
  <c r="M149" i="7"/>
  <c r="U149" i="7"/>
  <c r="B149" i="7"/>
  <c r="AZ148" i="7"/>
  <c r="P150" i="6" s="1"/>
  <c r="T150" i="6" s="1"/>
  <c r="C149" i="7" l="1"/>
  <c r="BA149" i="7" s="1"/>
  <c r="D149" i="7" l="1"/>
  <c r="AX149" i="7" l="1"/>
  <c r="E151" i="6" s="1"/>
  <c r="F151" i="6" s="1"/>
  <c r="E149" i="7"/>
  <c r="Q151" i="6" l="1"/>
  <c r="I151" i="6"/>
  <c r="J151" i="6" s="1"/>
  <c r="K151" i="6" l="1"/>
  <c r="S151" i="6"/>
  <c r="L151" i="6" l="1"/>
  <c r="AD149" i="7" l="1"/>
  <c r="AE149" i="7" s="1"/>
  <c r="Z150" i="7" s="1"/>
  <c r="N149" i="7"/>
  <c r="O149" i="7" s="1"/>
  <c r="J150" i="7" s="1"/>
  <c r="F149" i="7"/>
  <c r="V149" i="7"/>
  <c r="W149" i="7" s="1"/>
  <c r="R150" i="7" s="1"/>
  <c r="S150" i="7" l="1"/>
  <c r="AY149" i="7"/>
  <c r="M151" i="6" s="1"/>
  <c r="N151" i="6" s="1"/>
  <c r="O151" i="6" s="1"/>
  <c r="G149" i="7"/>
  <c r="AA150" i="7"/>
  <c r="K150" i="7"/>
  <c r="L150" i="7" s="1"/>
  <c r="M150" i="7" s="1"/>
  <c r="AB150" i="7" l="1"/>
  <c r="AC150" i="7" s="1"/>
  <c r="B150" i="7"/>
  <c r="AZ149" i="7"/>
  <c r="P151" i="6" s="1"/>
  <c r="T151" i="6" s="1"/>
  <c r="T150" i="7"/>
  <c r="U150" i="7" s="1"/>
  <c r="C150" i="7" l="1"/>
  <c r="BA150" i="7" s="1"/>
  <c r="D150" i="7" l="1"/>
  <c r="AX150" i="7" s="1"/>
  <c r="E152" i="6" s="1"/>
  <c r="F152" i="6" s="1"/>
  <c r="E150" i="7" l="1"/>
  <c r="I152" i="6"/>
  <c r="J152" i="6" s="1"/>
  <c r="Q152" i="6"/>
  <c r="S152" i="6" l="1"/>
  <c r="K152" i="6"/>
  <c r="L152" i="6" l="1"/>
  <c r="AD150" i="7" l="1"/>
  <c r="AE150" i="7" s="1"/>
  <c r="Z151" i="7" s="1"/>
  <c r="V150" i="7"/>
  <c r="W150" i="7" s="1"/>
  <c r="R151" i="7" s="1"/>
  <c r="F150" i="7"/>
  <c r="N150" i="7"/>
  <c r="O150" i="7" s="1"/>
  <c r="J151" i="7" s="1"/>
  <c r="AY150" i="7" l="1"/>
  <c r="M152" i="6" s="1"/>
  <c r="N152" i="6" s="1"/>
  <c r="O152" i="6" s="1"/>
  <c r="G150" i="7"/>
  <c r="S151" i="7"/>
  <c r="K151" i="7"/>
  <c r="L151" i="7" s="1"/>
  <c r="M151" i="7" s="1"/>
  <c r="AA151" i="7"/>
  <c r="AB151" i="7" s="1"/>
  <c r="AC151" i="7" s="1"/>
  <c r="T151" i="7" l="1"/>
  <c r="U151" i="7" s="1"/>
  <c r="B151" i="7"/>
  <c r="AZ150" i="7"/>
  <c r="P152" i="6" s="1"/>
  <c r="T152" i="6" s="1"/>
  <c r="C151" i="7" l="1"/>
  <c r="BA151" i="7" s="1"/>
  <c r="D151" i="7" l="1"/>
  <c r="AX151" i="7" s="1"/>
  <c r="E153" i="6" s="1"/>
  <c r="F153" i="6" s="1"/>
  <c r="E151" i="7" l="1"/>
  <c r="I153" i="6"/>
  <c r="J153" i="6" s="1"/>
  <c r="Q153" i="6"/>
  <c r="S153" i="6" l="1"/>
  <c r="K153" i="6"/>
  <c r="L153" i="6" l="1"/>
  <c r="AD151" i="7" l="1"/>
  <c r="AE151" i="7" s="1"/>
  <c r="Z152" i="7" s="1"/>
  <c r="V151" i="7"/>
  <c r="W151" i="7" s="1"/>
  <c r="R152" i="7" s="1"/>
  <c r="F151" i="7"/>
  <c r="N151" i="7"/>
  <c r="O151" i="7" s="1"/>
  <c r="J152" i="7" s="1"/>
  <c r="AY151" i="7" l="1"/>
  <c r="M153" i="6" s="1"/>
  <c r="N153" i="6" s="1"/>
  <c r="O153" i="6" s="1"/>
  <c r="G151" i="7"/>
  <c r="K152" i="7"/>
  <c r="S152" i="7"/>
  <c r="T152" i="7" s="1"/>
  <c r="AA152" i="7"/>
  <c r="AB152" i="7" s="1"/>
  <c r="AC152" i="7" l="1"/>
  <c r="U152" i="7"/>
  <c r="L152" i="7"/>
  <c r="M152" i="7" s="1"/>
  <c r="B152" i="7"/>
  <c r="AZ151" i="7"/>
  <c r="P153" i="6" s="1"/>
  <c r="T153" i="6" s="1"/>
  <c r="C152" i="7" l="1"/>
  <c r="BA152" i="7" s="1"/>
  <c r="D152" i="7" l="1"/>
  <c r="AX152" i="7" s="1"/>
  <c r="E154" i="6" s="1"/>
  <c r="F154" i="6" s="1"/>
  <c r="E152" i="7" l="1"/>
  <c r="Q154" i="6"/>
  <c r="I154" i="6"/>
  <c r="J154" i="6" s="1"/>
  <c r="K154" i="6" l="1"/>
  <c r="L154" i="6" s="1"/>
  <c r="S154" i="6"/>
  <c r="AD152" i="7" l="1"/>
  <c r="AE152" i="7" s="1"/>
  <c r="Z153" i="7" s="1"/>
  <c r="F152" i="7"/>
  <c r="N152" i="7"/>
  <c r="O152" i="7" s="1"/>
  <c r="J153" i="7" s="1"/>
  <c r="V152" i="7"/>
  <c r="W152" i="7" s="1"/>
  <c r="R153" i="7" s="1"/>
  <c r="S153" i="7" l="1"/>
  <c r="K153" i="7"/>
  <c r="L153" i="7" s="1"/>
  <c r="AA153" i="7"/>
  <c r="AB153" i="7" s="1"/>
  <c r="AC153" i="7" s="1"/>
  <c r="AY152" i="7"/>
  <c r="M154" i="6" s="1"/>
  <c r="N154" i="6" s="1"/>
  <c r="O154" i="6" s="1"/>
  <c r="G152" i="7"/>
  <c r="B153" i="7" l="1"/>
  <c r="AZ152" i="7"/>
  <c r="P154" i="6" s="1"/>
  <c r="T154" i="6" s="1"/>
  <c r="M153" i="7"/>
  <c r="T153" i="7"/>
  <c r="U153" i="7" s="1"/>
  <c r="C153" i="7" l="1"/>
  <c r="BA153" i="7" s="1"/>
  <c r="D153" i="7" l="1"/>
  <c r="AX153" i="7" s="1"/>
  <c r="E155" i="6" s="1"/>
  <c r="F155" i="6" s="1"/>
  <c r="E153" i="7" l="1"/>
  <c r="I155" i="6"/>
  <c r="J155" i="6" s="1"/>
  <c r="Q155" i="6"/>
  <c r="K155" i="6" l="1"/>
  <c r="S155" i="6"/>
  <c r="L155" i="6" l="1"/>
  <c r="AD153" i="7" l="1"/>
  <c r="AE153" i="7" s="1"/>
  <c r="Z154" i="7" s="1"/>
  <c r="V153" i="7"/>
  <c r="W153" i="7" s="1"/>
  <c r="R154" i="7" s="1"/>
  <c r="F153" i="7"/>
  <c r="N153" i="7"/>
  <c r="O153" i="7" s="1"/>
  <c r="J154" i="7" s="1"/>
  <c r="AY153" i="7" l="1"/>
  <c r="M155" i="6" s="1"/>
  <c r="N155" i="6" s="1"/>
  <c r="O155" i="6" s="1"/>
  <c r="G153" i="7"/>
  <c r="S154" i="7"/>
  <c r="T154" i="7" s="1"/>
  <c r="K154" i="7"/>
  <c r="AA154" i="7"/>
  <c r="AB154" i="7" l="1"/>
  <c r="AC154" i="7" s="1"/>
  <c r="L154" i="7"/>
  <c r="M154" i="7" s="1"/>
  <c r="U154" i="7"/>
  <c r="B154" i="7"/>
  <c r="AZ153" i="7"/>
  <c r="P155" i="6" s="1"/>
  <c r="T155" i="6" s="1"/>
  <c r="C154" i="7" l="1"/>
  <c r="BA154" i="7" s="1"/>
  <c r="D154" i="7" l="1"/>
  <c r="AX154" i="7" s="1"/>
  <c r="E156" i="6" s="1"/>
  <c r="F156" i="6" s="1"/>
  <c r="E154" i="7" l="1"/>
  <c r="I156" i="6"/>
  <c r="J156" i="6" s="1"/>
  <c r="Q156" i="6"/>
  <c r="K156" i="6" l="1"/>
  <c r="L156" i="6" s="1"/>
  <c r="S156" i="6"/>
  <c r="AD154" i="7" l="1"/>
  <c r="AE154" i="7" s="1"/>
  <c r="Z155" i="7" s="1"/>
  <c r="N154" i="7"/>
  <c r="O154" i="7" s="1"/>
  <c r="J155" i="7" s="1"/>
  <c r="V154" i="7"/>
  <c r="W154" i="7" s="1"/>
  <c r="R155" i="7" s="1"/>
  <c r="F154" i="7"/>
  <c r="S155" i="7" l="1"/>
  <c r="T155" i="7" s="1"/>
  <c r="AY154" i="7"/>
  <c r="M156" i="6" s="1"/>
  <c r="N156" i="6" s="1"/>
  <c r="O156" i="6" s="1"/>
  <c r="G154" i="7"/>
  <c r="K155" i="7"/>
  <c r="AA155" i="7"/>
  <c r="AB155" i="7" l="1"/>
  <c r="AC155" i="7" s="1"/>
  <c r="L155" i="7"/>
  <c r="M155" i="7" s="1"/>
  <c r="B155" i="7"/>
  <c r="AZ154" i="7"/>
  <c r="P156" i="6" s="1"/>
  <c r="T156" i="6" s="1"/>
  <c r="U155" i="7"/>
  <c r="C155" i="7" l="1"/>
  <c r="BA155" i="7" s="1"/>
  <c r="D155" i="7" l="1"/>
  <c r="AX155" i="7" s="1"/>
  <c r="E157" i="6" s="1"/>
  <c r="F157" i="6" s="1"/>
  <c r="Q157" i="6" l="1"/>
  <c r="I157" i="6"/>
  <c r="J157" i="6" s="1"/>
  <c r="E155" i="7"/>
  <c r="S157" i="6" l="1"/>
  <c r="K157" i="6"/>
  <c r="L157" i="6" l="1"/>
  <c r="AD155" i="7" l="1"/>
  <c r="AE155" i="7" s="1"/>
  <c r="Z156" i="7" s="1"/>
  <c r="F155" i="7"/>
  <c r="V155" i="7"/>
  <c r="W155" i="7" s="1"/>
  <c r="R156" i="7" s="1"/>
  <c r="N155" i="7"/>
  <c r="O155" i="7" s="1"/>
  <c r="J156" i="7" s="1"/>
  <c r="S156" i="7" l="1"/>
  <c r="T156" i="7" s="1"/>
  <c r="AY155" i="7"/>
  <c r="M157" i="6" s="1"/>
  <c r="N157" i="6" s="1"/>
  <c r="O157" i="6" s="1"/>
  <c r="G155" i="7"/>
  <c r="K156" i="7"/>
  <c r="L156" i="7" s="1"/>
  <c r="AA156" i="7"/>
  <c r="M156" i="7" l="1"/>
  <c r="U156" i="7"/>
  <c r="B156" i="7"/>
  <c r="AZ155" i="7"/>
  <c r="P157" i="6" s="1"/>
  <c r="T157" i="6" s="1"/>
  <c r="AB156" i="7"/>
  <c r="AC156" i="7" s="1"/>
  <c r="C156" i="7" l="1"/>
  <c r="BA156" i="7" s="1"/>
  <c r="D156" i="7" l="1"/>
  <c r="AX156" i="7" s="1"/>
  <c r="E158" i="6" s="1"/>
  <c r="F158" i="6" s="1"/>
  <c r="Q158" i="6" s="1"/>
  <c r="E156" i="7" l="1"/>
  <c r="I158" i="6"/>
  <c r="J158" i="6" s="1"/>
  <c r="S158" i="6" s="1"/>
  <c r="K158" i="6" l="1"/>
  <c r="L158" i="6" s="1"/>
  <c r="AD156" i="7" l="1"/>
  <c r="AE156" i="7" s="1"/>
  <c r="Z157" i="7" s="1"/>
  <c r="N156" i="7"/>
  <c r="O156" i="7" s="1"/>
  <c r="J157" i="7" s="1"/>
  <c r="F156" i="7"/>
  <c r="V156" i="7"/>
  <c r="W156" i="7" s="1"/>
  <c r="R157" i="7" s="1"/>
  <c r="AY156" i="7" l="1"/>
  <c r="M158" i="6" s="1"/>
  <c r="N158" i="6" s="1"/>
  <c r="O158" i="6" s="1"/>
  <c r="G156" i="7"/>
  <c r="AA157" i="7"/>
  <c r="K157" i="7"/>
  <c r="S157" i="7"/>
  <c r="L157" i="7" l="1"/>
  <c r="M157" i="7" s="1"/>
  <c r="T157" i="7"/>
  <c r="U157" i="7" s="1"/>
  <c r="AB157" i="7"/>
  <c r="AC157" i="7" s="1"/>
  <c r="B157" i="7"/>
  <c r="AZ156" i="7"/>
  <c r="P158" i="6" s="1"/>
  <c r="T158" i="6" s="1"/>
  <c r="C157" i="7" l="1"/>
  <c r="BA157" i="7" s="1"/>
  <c r="D157" i="7" l="1"/>
  <c r="AX157" i="7" s="1"/>
  <c r="E159" i="6" s="1"/>
  <c r="F159" i="6" s="1"/>
  <c r="I159" i="6" s="1"/>
  <c r="J159" i="6" s="1"/>
  <c r="E157" i="7" l="1"/>
  <c r="Q159" i="6"/>
  <c r="S159" i="6"/>
  <c r="K159" i="6"/>
  <c r="L159" i="6" l="1"/>
  <c r="AD157" i="7" l="1"/>
  <c r="AE157" i="7" s="1"/>
  <c r="Z158" i="7" s="1"/>
  <c r="V157" i="7"/>
  <c r="W157" i="7" s="1"/>
  <c r="R158" i="7" s="1"/>
  <c r="N157" i="7"/>
  <c r="O157" i="7" s="1"/>
  <c r="J158" i="7" s="1"/>
  <c r="F157" i="7"/>
  <c r="AY157" i="7" l="1"/>
  <c r="M159" i="6" s="1"/>
  <c r="N159" i="6" s="1"/>
  <c r="O159" i="6" s="1"/>
  <c r="G157" i="7"/>
  <c r="K158" i="7"/>
  <c r="S158" i="7"/>
  <c r="AA158" i="7"/>
  <c r="T158" i="7" l="1"/>
  <c r="U158" i="7" s="1"/>
  <c r="L158" i="7"/>
  <c r="M158" i="7" s="1"/>
  <c r="B158" i="7"/>
  <c r="AZ157" i="7"/>
  <c r="P159" i="6" s="1"/>
  <c r="T159" i="6" s="1"/>
  <c r="AB158" i="7"/>
  <c r="AC158" i="7" s="1"/>
  <c r="C158" i="7" l="1"/>
  <c r="BA158" i="7" s="1"/>
  <c r="D158" i="7" l="1"/>
  <c r="AX158" i="7" s="1"/>
  <c r="E160" i="6" s="1"/>
  <c r="F160" i="6" s="1"/>
  <c r="E158" i="7" l="1"/>
  <c r="Q160" i="6"/>
  <c r="I160" i="6"/>
  <c r="J160" i="6" s="1"/>
  <c r="S160" i="6" l="1"/>
  <c r="K160" i="6"/>
  <c r="L160" i="6" l="1"/>
  <c r="AD158" i="7" l="1"/>
  <c r="AE158" i="7" s="1"/>
  <c r="Z159" i="7" s="1"/>
  <c r="N158" i="7"/>
  <c r="O158" i="7" s="1"/>
  <c r="J159" i="7" s="1"/>
  <c r="V158" i="7"/>
  <c r="W158" i="7" s="1"/>
  <c r="R159" i="7" s="1"/>
  <c r="F158" i="7"/>
  <c r="AY158" i="7" l="1"/>
  <c r="M160" i="6" s="1"/>
  <c r="N160" i="6" s="1"/>
  <c r="O160" i="6" s="1"/>
  <c r="G158" i="7"/>
  <c r="S159" i="7"/>
  <c r="AA159" i="7"/>
  <c r="AB159" i="7" s="1"/>
  <c r="K159" i="7"/>
  <c r="AC159" i="7" l="1"/>
  <c r="T159" i="7"/>
  <c r="U159" i="7" s="1"/>
  <c r="B159" i="7"/>
  <c r="AZ158" i="7"/>
  <c r="P160" i="6" s="1"/>
  <c r="T160" i="6" s="1"/>
  <c r="L159" i="7"/>
  <c r="M159" i="7" s="1"/>
  <c r="C159" i="7" l="1"/>
  <c r="BA159" i="7" s="1"/>
  <c r="D159" i="7" l="1"/>
  <c r="AX159" i="7" s="1"/>
  <c r="E161" i="6" s="1"/>
  <c r="F161" i="6" s="1"/>
  <c r="E159" i="7" l="1"/>
  <c r="Q161" i="6"/>
  <c r="I161" i="6"/>
  <c r="J161" i="6" s="1"/>
  <c r="S161" i="6" l="1"/>
  <c r="K161" i="6"/>
  <c r="L161" i="6" l="1"/>
  <c r="AD159" i="7" l="1"/>
  <c r="AE159" i="7" s="1"/>
  <c r="Z160" i="7" s="1"/>
  <c r="F159" i="7"/>
  <c r="V159" i="7"/>
  <c r="W159" i="7" s="1"/>
  <c r="R160" i="7" s="1"/>
  <c r="N159" i="7"/>
  <c r="O159" i="7" s="1"/>
  <c r="J160" i="7" s="1"/>
  <c r="K160" i="7" l="1"/>
  <c r="L160" i="7" s="1"/>
  <c r="M160" i="7" s="1"/>
  <c r="S160" i="7"/>
  <c r="AY159" i="7"/>
  <c r="M161" i="6" s="1"/>
  <c r="N161" i="6" s="1"/>
  <c r="O161" i="6" s="1"/>
  <c r="G159" i="7"/>
  <c r="AA160" i="7"/>
  <c r="AB160" i="7" s="1"/>
  <c r="AC160" i="7" s="1"/>
  <c r="AZ159" i="7" l="1"/>
  <c r="P161" i="6" s="1"/>
  <c r="T161" i="6" s="1"/>
  <c r="B160" i="7"/>
  <c r="T160" i="7"/>
  <c r="U160" i="7" s="1"/>
  <c r="C160" i="7" l="1"/>
  <c r="BA160" i="7" s="1"/>
  <c r="D160" i="7" l="1"/>
  <c r="AX160" i="7" s="1"/>
  <c r="E162" i="6" s="1"/>
  <c r="F162" i="6" s="1"/>
  <c r="E160" i="7" l="1"/>
  <c r="I162" i="6"/>
  <c r="J162" i="6" s="1"/>
  <c r="Q162" i="6"/>
  <c r="S162" i="6" l="1"/>
  <c r="K162" i="6"/>
  <c r="L162" i="6" l="1"/>
  <c r="AD160" i="7" l="1"/>
  <c r="AE160" i="7" s="1"/>
  <c r="Z161" i="7" s="1"/>
  <c r="V160" i="7"/>
  <c r="W160" i="7" s="1"/>
  <c r="R161" i="7" s="1"/>
  <c r="N160" i="7"/>
  <c r="O160" i="7" s="1"/>
  <c r="J161" i="7" s="1"/>
  <c r="F160" i="7"/>
  <c r="AY160" i="7" l="1"/>
  <c r="M162" i="6" s="1"/>
  <c r="N162" i="6" s="1"/>
  <c r="O162" i="6" s="1"/>
  <c r="G160" i="7"/>
  <c r="K161" i="7"/>
  <c r="L161" i="7" s="1"/>
  <c r="S161" i="7"/>
  <c r="AA161" i="7"/>
  <c r="AB161" i="7" l="1"/>
  <c r="AC161" i="7" s="1"/>
  <c r="T161" i="7"/>
  <c r="U161" i="7" s="1"/>
  <c r="M161" i="7"/>
  <c r="B161" i="7"/>
  <c r="AZ160" i="7"/>
  <c r="P162" i="6" s="1"/>
  <c r="T162" i="6" s="1"/>
  <c r="C161" i="7" l="1"/>
  <c r="BA161" i="7" s="1"/>
  <c r="D161" i="7" l="1"/>
  <c r="AX161" i="7" s="1"/>
  <c r="E163" i="6" s="1"/>
  <c r="F163" i="6" s="1"/>
  <c r="Q163" i="6" l="1"/>
  <c r="I163" i="6"/>
  <c r="J163" i="6" s="1"/>
  <c r="E161" i="7"/>
  <c r="S163" i="6" l="1"/>
  <c r="K163" i="6"/>
  <c r="L163" i="6" l="1"/>
  <c r="AD161" i="7" l="1"/>
  <c r="AE161" i="7" s="1"/>
  <c r="Z162" i="7" s="1"/>
  <c r="V161" i="7"/>
  <c r="W161" i="7" s="1"/>
  <c r="R162" i="7" s="1"/>
  <c r="F161" i="7"/>
  <c r="N161" i="7"/>
  <c r="O161" i="7" s="1"/>
  <c r="J162" i="7" s="1"/>
  <c r="K162" i="7" l="1"/>
  <c r="L162" i="7" s="1"/>
  <c r="AY161" i="7"/>
  <c r="M163" i="6" s="1"/>
  <c r="N163" i="6" s="1"/>
  <c r="O163" i="6" s="1"/>
  <c r="G161" i="7"/>
  <c r="S162" i="7"/>
  <c r="T162" i="7" s="1"/>
  <c r="AA162" i="7"/>
  <c r="M162" i="7" l="1"/>
  <c r="AB162" i="7"/>
  <c r="AC162" i="7" s="1"/>
  <c r="U162" i="7"/>
  <c r="AZ161" i="7"/>
  <c r="P163" i="6" s="1"/>
  <c r="T163" i="6" s="1"/>
  <c r="B162" i="7"/>
  <c r="C162" i="7" l="1"/>
  <c r="BA162" i="7" s="1"/>
  <c r="D162" i="7" l="1"/>
  <c r="AX162" i="7" s="1"/>
  <c r="E164" i="6" s="1"/>
  <c r="F164" i="6" s="1"/>
  <c r="E162" i="7" l="1"/>
  <c r="Q164" i="6"/>
  <c r="I164" i="6"/>
  <c r="J164" i="6" s="1"/>
  <c r="S164" i="6" l="1"/>
  <c r="K164" i="6"/>
  <c r="L164" i="6" l="1"/>
  <c r="AD162" i="7" l="1"/>
  <c r="AE162" i="7" s="1"/>
  <c r="Z163" i="7" s="1"/>
  <c r="N162" i="7"/>
  <c r="O162" i="7" s="1"/>
  <c r="J163" i="7" s="1"/>
  <c r="V162" i="7"/>
  <c r="W162" i="7" s="1"/>
  <c r="R163" i="7" s="1"/>
  <c r="F162" i="7"/>
  <c r="AY162" i="7" l="1"/>
  <c r="M164" i="6" s="1"/>
  <c r="N164" i="6" s="1"/>
  <c r="O164" i="6" s="1"/>
  <c r="G162" i="7"/>
  <c r="S163" i="7"/>
  <c r="T163" i="7" s="1"/>
  <c r="U163" i="7" s="1"/>
  <c r="K163" i="7"/>
  <c r="L163" i="7" s="1"/>
  <c r="AA163" i="7"/>
  <c r="AB163" i="7" s="1"/>
  <c r="AC163" i="7" l="1"/>
  <c r="M163" i="7"/>
  <c r="AZ162" i="7"/>
  <c r="P164" i="6" s="1"/>
  <c r="T164" i="6" s="1"/>
  <c r="B163" i="7"/>
  <c r="C163" i="7" l="1"/>
  <c r="BA163" i="7" s="1"/>
  <c r="D163" i="7" l="1"/>
  <c r="AX163" i="7" s="1"/>
  <c r="E165" i="6" s="1"/>
  <c r="F165" i="6" s="1"/>
  <c r="E163" i="7" l="1"/>
  <c r="I165" i="6"/>
  <c r="J165" i="6" s="1"/>
  <c r="Q165" i="6"/>
  <c r="K165" i="6" l="1"/>
  <c r="S165" i="6"/>
  <c r="L165" i="6" l="1"/>
  <c r="AD163" i="7" l="1"/>
  <c r="AE163" i="7" s="1"/>
  <c r="Z164" i="7" s="1"/>
  <c r="V163" i="7"/>
  <c r="W163" i="7" s="1"/>
  <c r="R164" i="7" s="1"/>
  <c r="N163" i="7"/>
  <c r="O163" i="7" s="1"/>
  <c r="J164" i="7" s="1"/>
  <c r="F163" i="7"/>
  <c r="K164" i="7" l="1"/>
  <c r="L164" i="7" s="1"/>
  <c r="M164" i="7" s="1"/>
  <c r="AY163" i="7"/>
  <c r="M165" i="6" s="1"/>
  <c r="N165" i="6" s="1"/>
  <c r="O165" i="6" s="1"/>
  <c r="G163" i="7"/>
  <c r="S164" i="7"/>
  <c r="AA164" i="7"/>
  <c r="AB164" i="7" l="1"/>
  <c r="AC164" i="7" s="1"/>
  <c r="T164" i="7"/>
  <c r="U164" i="7" s="1"/>
  <c r="AZ163" i="7"/>
  <c r="P165" i="6" s="1"/>
  <c r="T165" i="6" s="1"/>
  <c r="B164" i="7"/>
  <c r="C164" i="7" l="1"/>
  <c r="BA164" i="7" s="1"/>
  <c r="D164" i="7" l="1"/>
  <c r="AX164" i="7" s="1"/>
  <c r="E166" i="6" s="1"/>
  <c r="F166" i="6" s="1"/>
  <c r="E164" i="7" l="1"/>
  <c r="I166" i="6"/>
  <c r="J166" i="6" s="1"/>
  <c r="Q166" i="6"/>
  <c r="S166" i="6" l="1"/>
  <c r="K166" i="6"/>
  <c r="L166" i="6" l="1"/>
  <c r="AD164" i="7" l="1"/>
  <c r="AE164" i="7" s="1"/>
  <c r="Z165" i="7" s="1"/>
  <c r="F164" i="7"/>
  <c r="N164" i="7"/>
  <c r="O164" i="7" s="1"/>
  <c r="J165" i="7" s="1"/>
  <c r="V164" i="7"/>
  <c r="W164" i="7" s="1"/>
  <c r="R165" i="7" s="1"/>
  <c r="S165" i="7" l="1"/>
  <c r="K165" i="7"/>
  <c r="L165" i="7" s="1"/>
  <c r="M165" i="7" s="1"/>
  <c r="AY164" i="7"/>
  <c r="M166" i="6" s="1"/>
  <c r="N166" i="6" s="1"/>
  <c r="O166" i="6" s="1"/>
  <c r="G164" i="7"/>
  <c r="AA165" i="7"/>
  <c r="AB165" i="7" l="1"/>
  <c r="AC165" i="7" s="1"/>
  <c r="B165" i="7"/>
  <c r="AZ164" i="7"/>
  <c r="P166" i="6" s="1"/>
  <c r="T166" i="6" s="1"/>
  <c r="T165" i="7"/>
  <c r="U165" i="7" s="1"/>
  <c r="C165" i="7" l="1"/>
  <c r="BA165" i="7" s="1"/>
  <c r="D165" i="7" l="1"/>
  <c r="AX165" i="7" s="1"/>
  <c r="E167" i="6" s="1"/>
  <c r="F167" i="6" s="1"/>
  <c r="E165" i="7" l="1"/>
  <c r="Q167" i="6"/>
  <c r="I167" i="6"/>
  <c r="J167" i="6" s="1"/>
  <c r="S167" i="6" l="1"/>
  <c r="K167" i="6"/>
  <c r="L167" i="6" l="1"/>
  <c r="AD165" i="7" l="1"/>
  <c r="AE165" i="7" s="1"/>
  <c r="Z166" i="7" s="1"/>
  <c r="V165" i="7"/>
  <c r="W165" i="7" s="1"/>
  <c r="R166" i="7" s="1"/>
  <c r="N165" i="7"/>
  <c r="O165" i="7" s="1"/>
  <c r="J166" i="7" s="1"/>
  <c r="F165" i="7"/>
  <c r="AY165" i="7" l="1"/>
  <c r="M167" i="6" s="1"/>
  <c r="N167" i="6" s="1"/>
  <c r="O167" i="6" s="1"/>
  <c r="G165" i="7"/>
  <c r="K166" i="7"/>
  <c r="S166" i="7"/>
  <c r="T166" i="7" s="1"/>
  <c r="AA166" i="7"/>
  <c r="AB166" i="7" l="1"/>
  <c r="AC166" i="7" s="1"/>
  <c r="U166" i="7"/>
  <c r="L166" i="7"/>
  <c r="M166" i="7" s="1"/>
  <c r="B166" i="7"/>
  <c r="AZ165" i="7"/>
  <c r="P167" i="6" s="1"/>
  <c r="T167" i="6" s="1"/>
  <c r="C166" i="7" l="1"/>
  <c r="BA166" i="7" s="1"/>
  <c r="D166" i="7" l="1"/>
  <c r="AX166" i="7" s="1"/>
  <c r="E168" i="6" s="1"/>
  <c r="F168" i="6" s="1"/>
  <c r="E166" i="7" l="1"/>
  <c r="I168" i="6"/>
  <c r="J168" i="6" s="1"/>
  <c r="Q168" i="6"/>
  <c r="K168" i="6" l="1"/>
  <c r="S168" i="6"/>
  <c r="L168" i="6" l="1"/>
  <c r="AD166" i="7" l="1"/>
  <c r="AE166" i="7" s="1"/>
  <c r="Z167" i="7" s="1"/>
  <c r="F166" i="7"/>
  <c r="N166" i="7"/>
  <c r="O166" i="7" s="1"/>
  <c r="J167" i="7" s="1"/>
  <c r="V166" i="7"/>
  <c r="W166" i="7" s="1"/>
  <c r="R167" i="7" s="1"/>
  <c r="S167" i="7" l="1"/>
  <c r="AY166" i="7"/>
  <c r="M168" i="6" s="1"/>
  <c r="N168" i="6" s="1"/>
  <c r="O168" i="6" s="1"/>
  <c r="G166" i="7"/>
  <c r="K167" i="7"/>
  <c r="L167" i="7" s="1"/>
  <c r="M167" i="7" s="1"/>
  <c r="AA167" i="7"/>
  <c r="AB167" i="7" s="1"/>
  <c r="AC167" i="7" l="1"/>
  <c r="B167" i="7"/>
  <c r="AZ166" i="7"/>
  <c r="P168" i="6" s="1"/>
  <c r="T168" i="6" s="1"/>
  <c r="T167" i="7"/>
  <c r="U167" i="7" s="1"/>
  <c r="C167" i="7" l="1"/>
  <c r="BA167" i="7" s="1"/>
  <c r="D167" i="7" l="1"/>
  <c r="AX167" i="7" s="1"/>
  <c r="E169" i="6" s="1"/>
  <c r="F169" i="6" s="1"/>
  <c r="E167" i="7" l="1"/>
  <c r="I169" i="6"/>
  <c r="J169" i="6" s="1"/>
  <c r="Q169" i="6"/>
  <c r="K169" i="6" l="1"/>
  <c r="L169" i="6" s="1"/>
  <c r="S169" i="6"/>
  <c r="AD167" i="7" l="1"/>
  <c r="AE167" i="7" s="1"/>
  <c r="Z168" i="7" s="1"/>
  <c r="F167" i="7"/>
  <c r="N167" i="7"/>
  <c r="O167" i="7" s="1"/>
  <c r="J168" i="7" s="1"/>
  <c r="V167" i="7"/>
  <c r="W167" i="7" s="1"/>
  <c r="R168" i="7" s="1"/>
  <c r="K168" i="7" l="1"/>
  <c r="L168" i="7" s="1"/>
  <c r="AA168" i="7"/>
  <c r="S168" i="7"/>
  <c r="T168" i="7" s="1"/>
  <c r="AY167" i="7"/>
  <c r="M169" i="6" s="1"/>
  <c r="N169" i="6" s="1"/>
  <c r="O169" i="6" s="1"/>
  <c r="G167" i="7"/>
  <c r="B168" i="7" l="1"/>
  <c r="AZ167" i="7"/>
  <c r="P169" i="6" s="1"/>
  <c r="T169" i="6" s="1"/>
  <c r="U168" i="7"/>
  <c r="AB168" i="7"/>
  <c r="AC168" i="7" s="1"/>
  <c r="M168" i="7"/>
  <c r="C168" i="7" l="1"/>
  <c r="BA168" i="7" s="1"/>
  <c r="D168" i="7" l="1"/>
  <c r="AX168" i="7" s="1"/>
  <c r="E170" i="6" s="1"/>
  <c r="F170" i="6" s="1"/>
  <c r="E168" i="7" l="1"/>
  <c r="Q170" i="6"/>
  <c r="I170" i="6"/>
  <c r="J170" i="6" s="1"/>
  <c r="S170" i="6" l="1"/>
  <c r="K170" i="6"/>
  <c r="L170" i="6" l="1"/>
  <c r="AD168" i="7" l="1"/>
  <c r="AE168" i="7" s="1"/>
  <c r="Z169" i="7" s="1"/>
  <c r="F168" i="7"/>
  <c r="N168" i="7"/>
  <c r="O168" i="7" s="1"/>
  <c r="J169" i="7" s="1"/>
  <c r="V168" i="7"/>
  <c r="W168" i="7" s="1"/>
  <c r="R169" i="7" s="1"/>
  <c r="S169" i="7" l="1"/>
  <c r="T169" i="7" s="1"/>
  <c r="U169" i="7" s="1"/>
  <c r="K169" i="7"/>
  <c r="L169" i="7" s="1"/>
  <c r="AY168" i="7"/>
  <c r="M170" i="6" s="1"/>
  <c r="N170" i="6" s="1"/>
  <c r="O170" i="6" s="1"/>
  <c r="G168" i="7"/>
  <c r="AA169" i="7"/>
  <c r="M169" i="7" l="1"/>
  <c r="AB169" i="7"/>
  <c r="AC169" i="7" s="1"/>
  <c r="B169" i="7"/>
  <c r="AZ168" i="7"/>
  <c r="P170" i="6" s="1"/>
  <c r="T170" i="6" s="1"/>
  <c r="C169" i="7" l="1"/>
  <c r="BA169" i="7" s="1"/>
  <c r="D169" i="7" l="1"/>
  <c r="AX169" i="7" s="1"/>
  <c r="E171" i="6" s="1"/>
  <c r="F171" i="6" s="1"/>
  <c r="I171" i="6" s="1"/>
  <c r="J171" i="6" s="1"/>
  <c r="E169" i="7" l="1"/>
  <c r="Q171" i="6"/>
  <c r="S171" i="6"/>
  <c r="K171" i="6"/>
  <c r="L171" i="6" l="1"/>
  <c r="AD169" i="7" l="1"/>
  <c r="AE169" i="7" s="1"/>
  <c r="Z170" i="7" s="1"/>
  <c r="N169" i="7"/>
  <c r="O169" i="7" s="1"/>
  <c r="J170" i="7" s="1"/>
  <c r="F169" i="7"/>
  <c r="V169" i="7"/>
  <c r="W169" i="7" s="1"/>
  <c r="R170" i="7" s="1"/>
  <c r="AY169" i="7" l="1"/>
  <c r="M171" i="6" s="1"/>
  <c r="N171" i="6" s="1"/>
  <c r="O171" i="6" s="1"/>
  <c r="G169" i="7"/>
  <c r="K170" i="7"/>
  <c r="S170" i="7"/>
  <c r="AA170" i="7"/>
  <c r="AB170" i="7" s="1"/>
  <c r="AC170" i="7" s="1"/>
  <c r="T170" i="7" l="1"/>
  <c r="U170" i="7" s="1"/>
  <c r="L170" i="7"/>
  <c r="M170" i="7" s="1"/>
  <c r="B170" i="7"/>
  <c r="AZ169" i="7"/>
  <c r="P171" i="6" s="1"/>
  <c r="T171" i="6" s="1"/>
  <c r="C170" i="7" l="1"/>
  <c r="BA170" i="7" s="1"/>
  <c r="D170" i="7" l="1"/>
  <c r="AX170" i="7" s="1"/>
  <c r="E172" i="6" s="1"/>
  <c r="F172" i="6" s="1"/>
  <c r="E170" i="7" l="1"/>
  <c r="I172" i="6"/>
  <c r="J172" i="6" s="1"/>
  <c r="Q172" i="6"/>
  <c r="K172" i="6" l="1"/>
  <c r="L172" i="6" s="1"/>
  <c r="S172" i="6"/>
  <c r="AD170" i="7" l="1"/>
  <c r="AE170" i="7" s="1"/>
  <c r="Z171" i="7" s="1"/>
  <c r="F170" i="7"/>
  <c r="N170" i="7"/>
  <c r="O170" i="7" s="1"/>
  <c r="J171" i="7" s="1"/>
  <c r="V170" i="7"/>
  <c r="W170" i="7" s="1"/>
  <c r="R171" i="7" s="1"/>
  <c r="S171" i="7" l="1"/>
  <c r="AY170" i="7"/>
  <c r="M172" i="6" s="1"/>
  <c r="N172" i="6" s="1"/>
  <c r="O172" i="6" s="1"/>
  <c r="G170" i="7"/>
  <c r="K171" i="7"/>
  <c r="AA171" i="7"/>
  <c r="AB171" i="7" l="1"/>
  <c r="AC171" i="7" s="1"/>
  <c r="L171" i="7"/>
  <c r="M171" i="7" s="1"/>
  <c r="AZ170" i="7"/>
  <c r="P172" i="6" s="1"/>
  <c r="T172" i="6" s="1"/>
  <c r="B171" i="7"/>
  <c r="T171" i="7"/>
  <c r="U171" i="7" s="1"/>
  <c r="C171" i="7" l="1"/>
  <c r="BA171" i="7" s="1"/>
  <c r="D171" i="7" l="1"/>
  <c r="AX171" i="7" s="1"/>
  <c r="E173" i="6" s="1"/>
  <c r="F173" i="6" s="1"/>
  <c r="Q173" i="6" l="1"/>
  <c r="I173" i="6"/>
  <c r="J173" i="6" s="1"/>
  <c r="E171" i="7"/>
  <c r="S173" i="6" l="1"/>
  <c r="K173" i="6"/>
  <c r="L173" i="6" l="1"/>
  <c r="AD171" i="7" l="1"/>
  <c r="AE171" i="7" s="1"/>
  <c r="Z172" i="7" s="1"/>
  <c r="N171" i="7"/>
  <c r="O171" i="7" s="1"/>
  <c r="J172" i="7" s="1"/>
  <c r="F171" i="7"/>
  <c r="V171" i="7"/>
  <c r="W171" i="7" s="1"/>
  <c r="R172" i="7" s="1"/>
  <c r="S172" i="7" l="1"/>
  <c r="AY171" i="7"/>
  <c r="M173" i="6" s="1"/>
  <c r="N173" i="6" s="1"/>
  <c r="O173" i="6" s="1"/>
  <c r="G171" i="7"/>
  <c r="K172" i="7"/>
  <c r="AA172" i="7"/>
  <c r="AB172" i="7" s="1"/>
  <c r="AC172" i="7" l="1"/>
  <c r="L172" i="7"/>
  <c r="M172" i="7" s="1"/>
  <c r="B172" i="7"/>
  <c r="AZ171" i="7"/>
  <c r="P173" i="6" s="1"/>
  <c r="T173" i="6" s="1"/>
  <c r="T172" i="7"/>
  <c r="U172" i="7" s="1"/>
  <c r="C172" i="7" l="1"/>
  <c r="BA172" i="7" s="1"/>
  <c r="D172" i="7" l="1"/>
  <c r="AX172" i="7" s="1"/>
  <c r="E174" i="6" s="1"/>
  <c r="F174" i="6" s="1"/>
  <c r="E172" i="7" l="1"/>
  <c r="Q174" i="6"/>
  <c r="I174" i="6"/>
  <c r="J174" i="6" s="1"/>
  <c r="S174" i="6" l="1"/>
  <c r="K174" i="6"/>
  <c r="L174" i="6" l="1"/>
  <c r="AD172" i="7" l="1"/>
  <c r="AE172" i="7" s="1"/>
  <c r="Z173" i="7" s="1"/>
  <c r="V172" i="7"/>
  <c r="W172" i="7" s="1"/>
  <c r="R173" i="7" s="1"/>
  <c r="F172" i="7"/>
  <c r="N172" i="7"/>
  <c r="O172" i="7" s="1"/>
  <c r="J173" i="7" s="1"/>
  <c r="AY172" i="7" l="1"/>
  <c r="M174" i="6" s="1"/>
  <c r="N174" i="6" s="1"/>
  <c r="O174" i="6" s="1"/>
  <c r="G172" i="7"/>
  <c r="K173" i="7"/>
  <c r="S173" i="7"/>
  <c r="T173" i="7" s="1"/>
  <c r="U173" i="7" s="1"/>
  <c r="AA173" i="7"/>
  <c r="AB173" i="7" l="1"/>
  <c r="AC173" i="7" s="1"/>
  <c r="L173" i="7"/>
  <c r="M173" i="7" s="1"/>
  <c r="B173" i="7"/>
  <c r="AZ172" i="7"/>
  <c r="P174" i="6" s="1"/>
  <c r="T174" i="6" s="1"/>
  <c r="C173" i="7" l="1"/>
  <c r="BA173" i="7" s="1"/>
  <c r="D173" i="7" l="1"/>
  <c r="AX173" i="7" s="1"/>
  <c r="E175" i="6" s="1"/>
  <c r="F175" i="6" s="1"/>
  <c r="I175" i="6" s="1"/>
  <c r="J175" i="6" s="1"/>
  <c r="Q175" i="6" l="1"/>
  <c r="E173" i="7"/>
  <c r="S175" i="6"/>
  <c r="K175" i="6"/>
  <c r="L175" i="6" l="1"/>
  <c r="AD173" i="7" l="1"/>
  <c r="AE173" i="7" s="1"/>
  <c r="Z174" i="7" s="1"/>
  <c r="V173" i="7"/>
  <c r="W173" i="7" s="1"/>
  <c r="R174" i="7" s="1"/>
  <c r="N173" i="7"/>
  <c r="O173" i="7" s="1"/>
  <c r="J174" i="7" s="1"/>
  <c r="F173" i="7"/>
  <c r="K174" i="7" l="1"/>
  <c r="S174" i="7"/>
  <c r="T174" i="7" s="1"/>
  <c r="U174" i="7" s="1"/>
  <c r="AY173" i="7"/>
  <c r="M175" i="6" s="1"/>
  <c r="N175" i="6" s="1"/>
  <c r="O175" i="6" s="1"/>
  <c r="G173" i="7"/>
  <c r="AA174" i="7"/>
  <c r="B174" i="7" l="1"/>
  <c r="AZ173" i="7"/>
  <c r="P175" i="6" s="1"/>
  <c r="T175" i="6" s="1"/>
  <c r="AB174" i="7"/>
  <c r="AC174" i="7" s="1"/>
  <c r="L174" i="7"/>
  <c r="M174" i="7" s="1"/>
  <c r="C174" i="7" l="1"/>
  <c r="BA174" i="7" s="1"/>
  <c r="D174" i="7" l="1"/>
  <c r="AX174" i="7" s="1"/>
  <c r="E176" i="6" s="1"/>
  <c r="F176" i="6" s="1"/>
  <c r="E174" i="7" l="1"/>
  <c r="Q176" i="6"/>
  <c r="I176" i="6"/>
  <c r="J176" i="6" s="1"/>
  <c r="K176" i="6" l="1"/>
  <c r="L176" i="6" s="1"/>
  <c r="S176" i="6"/>
  <c r="AD174" i="7" l="1"/>
  <c r="AE174" i="7" s="1"/>
  <c r="Z175" i="7" s="1"/>
  <c r="F174" i="7"/>
  <c r="N174" i="7"/>
  <c r="O174" i="7" s="1"/>
  <c r="J175" i="7" s="1"/>
  <c r="V174" i="7"/>
  <c r="W174" i="7" s="1"/>
  <c r="R175" i="7" s="1"/>
  <c r="K175" i="7" l="1"/>
  <c r="AY174" i="7"/>
  <c r="M176" i="6" s="1"/>
  <c r="N176" i="6" s="1"/>
  <c r="O176" i="6" s="1"/>
  <c r="G174" i="7"/>
  <c r="S175" i="7"/>
  <c r="AA175" i="7"/>
  <c r="AB175" i="7" l="1"/>
  <c r="AC175" i="7" s="1"/>
  <c r="T175" i="7"/>
  <c r="U175" i="7" s="1"/>
  <c r="B175" i="7"/>
  <c r="AZ174" i="7"/>
  <c r="P176" i="6" s="1"/>
  <c r="T176" i="6" s="1"/>
  <c r="L175" i="7"/>
  <c r="M175" i="7" s="1"/>
  <c r="C175" i="7" l="1"/>
  <c r="BA175" i="7" s="1"/>
  <c r="D175" i="7" l="1"/>
  <c r="AX175" i="7" s="1"/>
  <c r="E177" i="6" s="1"/>
  <c r="F177" i="6" s="1"/>
  <c r="E175" i="7" l="1"/>
  <c r="Q177" i="6"/>
  <c r="I177" i="6"/>
  <c r="J177" i="6" s="1"/>
  <c r="K177" i="6" l="1"/>
  <c r="L177" i="6" s="1"/>
  <c r="S177" i="6"/>
  <c r="AD175" i="7" l="1"/>
  <c r="AE175" i="7" s="1"/>
  <c r="Z176" i="7" s="1"/>
  <c r="V175" i="7"/>
  <c r="W175" i="7" s="1"/>
  <c r="R176" i="7" s="1"/>
  <c r="F175" i="7"/>
  <c r="N175" i="7"/>
  <c r="O175" i="7" s="1"/>
  <c r="J176" i="7" s="1"/>
  <c r="K176" i="7" l="1"/>
  <c r="AY175" i="7"/>
  <c r="M177" i="6" s="1"/>
  <c r="N177" i="6" s="1"/>
  <c r="O177" i="6" s="1"/>
  <c r="G175" i="7"/>
  <c r="S176" i="7"/>
  <c r="T176" i="7" s="1"/>
  <c r="U176" i="7" s="1"/>
  <c r="AA176" i="7"/>
  <c r="AB176" i="7" l="1"/>
  <c r="AC176" i="7" s="1"/>
  <c r="B176" i="7"/>
  <c r="AZ175" i="7"/>
  <c r="P177" i="6" s="1"/>
  <c r="T177" i="6" s="1"/>
  <c r="L176" i="7"/>
  <c r="M176" i="7" s="1"/>
  <c r="C176" i="7" l="1"/>
  <c r="BA176" i="7" s="1"/>
  <c r="D176" i="7" l="1"/>
  <c r="AX176" i="7" l="1"/>
  <c r="E178" i="6" s="1"/>
  <c r="F178" i="6" s="1"/>
  <c r="E176" i="7"/>
  <c r="I178" i="6" l="1"/>
  <c r="J178" i="6" s="1"/>
  <c r="Q178" i="6"/>
  <c r="K178" i="6" l="1"/>
  <c r="S178" i="6"/>
  <c r="L178" i="6" l="1"/>
  <c r="AD176" i="7" l="1"/>
  <c r="AE176" i="7" s="1"/>
  <c r="Z177" i="7" s="1"/>
  <c r="V176" i="7"/>
  <c r="W176" i="7" s="1"/>
  <c r="R177" i="7" s="1"/>
  <c r="F176" i="7"/>
  <c r="N176" i="7"/>
  <c r="O176" i="7" s="1"/>
  <c r="J177" i="7" s="1"/>
  <c r="AY176" i="7" l="1"/>
  <c r="M178" i="6" s="1"/>
  <c r="N178" i="6" s="1"/>
  <c r="O178" i="6" s="1"/>
  <c r="G176" i="7"/>
  <c r="K177" i="7"/>
  <c r="L177" i="7" s="1"/>
  <c r="S177" i="7"/>
  <c r="T177" i="7" s="1"/>
  <c r="AA177" i="7"/>
  <c r="AB177" i="7" s="1"/>
  <c r="AC177" i="7" l="1"/>
  <c r="U177" i="7"/>
  <c r="M177" i="7"/>
  <c r="AZ176" i="7"/>
  <c r="P178" i="6" s="1"/>
  <c r="T178" i="6" s="1"/>
  <c r="B177" i="7"/>
  <c r="C177" i="7" l="1"/>
  <c r="BA177" i="7" s="1"/>
  <c r="D177" i="7" l="1"/>
  <c r="AX177" i="7" s="1"/>
  <c r="E179" i="6" s="1"/>
  <c r="F179" i="6" s="1"/>
  <c r="Q179" i="6" s="1"/>
  <c r="I179" i="6" l="1"/>
  <c r="J179" i="6" s="1"/>
  <c r="S179" i="6" s="1"/>
  <c r="E177" i="7"/>
  <c r="K179" i="6" l="1"/>
  <c r="L179" i="6" s="1"/>
  <c r="AD177" i="7" l="1"/>
  <c r="AE177" i="7" s="1"/>
  <c r="Z178" i="7" s="1"/>
  <c r="N177" i="7"/>
  <c r="O177" i="7" s="1"/>
  <c r="J178" i="7" s="1"/>
  <c r="V177" i="7"/>
  <c r="W177" i="7" s="1"/>
  <c r="R178" i="7" s="1"/>
  <c r="F177" i="7"/>
  <c r="S178" i="7" l="1"/>
  <c r="K178" i="7"/>
  <c r="AY177" i="7"/>
  <c r="M179" i="6" s="1"/>
  <c r="N179" i="6" s="1"/>
  <c r="O179" i="6" s="1"/>
  <c r="G177" i="7"/>
  <c r="AA178" i="7"/>
  <c r="AB178" i="7" s="1"/>
  <c r="AC178" i="7" l="1"/>
  <c r="AZ177" i="7"/>
  <c r="P179" i="6" s="1"/>
  <c r="T179" i="6" s="1"/>
  <c r="B178" i="7"/>
  <c r="L178" i="7"/>
  <c r="M178" i="7" s="1"/>
  <c r="T178" i="7"/>
  <c r="U178" i="7" s="1"/>
  <c r="C178" i="7" l="1"/>
  <c r="BA178" i="7" s="1"/>
  <c r="D178" i="7" l="1"/>
  <c r="AX178" i="7" s="1"/>
  <c r="E180" i="6" s="1"/>
  <c r="F180" i="6" s="1"/>
  <c r="E178" i="7" l="1"/>
  <c r="Q180" i="6"/>
  <c r="I180" i="6"/>
  <c r="J180" i="6" s="1"/>
  <c r="K180" i="6" l="1"/>
  <c r="L180" i="6" s="1"/>
  <c r="S180" i="6"/>
  <c r="AD178" i="7" l="1"/>
  <c r="AE178" i="7" s="1"/>
  <c r="Z179" i="7" s="1"/>
  <c r="V178" i="7"/>
  <c r="W178" i="7" s="1"/>
  <c r="R179" i="7" s="1"/>
  <c r="N178" i="7"/>
  <c r="O178" i="7" s="1"/>
  <c r="J179" i="7" s="1"/>
  <c r="F178" i="7"/>
  <c r="K179" i="7" l="1"/>
  <c r="AY178" i="7"/>
  <c r="M180" i="6" s="1"/>
  <c r="N180" i="6" s="1"/>
  <c r="O180" i="6" s="1"/>
  <c r="G178" i="7"/>
  <c r="AA179" i="7"/>
  <c r="S179" i="7"/>
  <c r="T179" i="7" s="1"/>
  <c r="U179" i="7" l="1"/>
  <c r="L179" i="7"/>
  <c r="M179" i="7" s="1"/>
  <c r="AB179" i="7"/>
  <c r="AC179" i="7" s="1"/>
  <c r="B179" i="7"/>
  <c r="AZ178" i="7"/>
  <c r="P180" i="6" s="1"/>
  <c r="T180" i="6" s="1"/>
  <c r="C179" i="7" l="1"/>
  <c r="BA179" i="7" s="1"/>
  <c r="D179" i="7" l="1"/>
  <c r="AX179" i="7" s="1"/>
  <c r="E181" i="6" s="1"/>
  <c r="F181" i="6" s="1"/>
  <c r="E179" i="7" l="1"/>
  <c r="I181" i="6"/>
  <c r="J181" i="6" s="1"/>
  <c r="Q181" i="6"/>
  <c r="K181" i="6" l="1"/>
  <c r="S181" i="6"/>
  <c r="L181" i="6" l="1"/>
  <c r="AD179" i="7" l="1"/>
  <c r="AE179" i="7" s="1"/>
  <c r="Z180" i="7" s="1"/>
  <c r="F179" i="7"/>
  <c r="V179" i="7"/>
  <c r="W179" i="7" s="1"/>
  <c r="R180" i="7" s="1"/>
  <c r="N179" i="7"/>
  <c r="O179" i="7" s="1"/>
  <c r="J180" i="7" s="1"/>
  <c r="K180" i="7" l="1"/>
  <c r="S180" i="7"/>
  <c r="T180" i="7" s="1"/>
  <c r="U180" i="7" s="1"/>
  <c r="AA180" i="7"/>
  <c r="AY179" i="7"/>
  <c r="M181" i="6" s="1"/>
  <c r="N181" i="6" s="1"/>
  <c r="O181" i="6" s="1"/>
  <c r="G179" i="7"/>
  <c r="AZ179" i="7" l="1"/>
  <c r="P181" i="6" s="1"/>
  <c r="T181" i="6" s="1"/>
  <c r="B180" i="7"/>
  <c r="AB180" i="7"/>
  <c r="AC180" i="7" s="1"/>
  <c r="L180" i="7"/>
  <c r="M180" i="7" s="1"/>
  <c r="C180" i="7" l="1"/>
  <c r="BA180" i="7" s="1"/>
  <c r="D180" i="7" l="1"/>
  <c r="AX180" i="7" s="1"/>
  <c r="E182" i="6" s="1"/>
  <c r="F182" i="6" s="1"/>
  <c r="I182" i="6" s="1"/>
  <c r="J182" i="6" s="1"/>
  <c r="Q182" i="6" l="1"/>
  <c r="E180" i="7"/>
  <c r="S182" i="6"/>
  <c r="K182" i="6"/>
  <c r="L182" i="6" l="1"/>
  <c r="AD180" i="7" l="1"/>
  <c r="AE180" i="7" s="1"/>
  <c r="Z181" i="7" s="1"/>
  <c r="V180" i="7"/>
  <c r="W180" i="7" s="1"/>
  <c r="R181" i="7" s="1"/>
  <c r="N180" i="7"/>
  <c r="O180" i="7" s="1"/>
  <c r="J181" i="7" s="1"/>
  <c r="F180" i="7"/>
  <c r="K181" i="7" l="1"/>
  <c r="L181" i="7" s="1"/>
  <c r="M181" i="7" s="1"/>
  <c r="S181" i="7"/>
  <c r="AY180" i="7"/>
  <c r="M182" i="6" s="1"/>
  <c r="N182" i="6" s="1"/>
  <c r="O182" i="6" s="1"/>
  <c r="G180" i="7"/>
  <c r="AA181" i="7"/>
  <c r="AB181" i="7" s="1"/>
  <c r="AC181" i="7" s="1"/>
  <c r="B181" i="7" l="1"/>
  <c r="AZ180" i="7"/>
  <c r="P182" i="6" s="1"/>
  <c r="T182" i="6" s="1"/>
  <c r="T181" i="7"/>
  <c r="U181" i="7" s="1"/>
  <c r="C181" i="7" l="1"/>
  <c r="BA181" i="7" s="1"/>
  <c r="D181" i="7" l="1"/>
  <c r="AX181" i="7" s="1"/>
  <c r="E183" i="6" s="1"/>
  <c r="F183" i="6" s="1"/>
  <c r="E181" i="7" l="1"/>
  <c r="Q183" i="6"/>
  <c r="I183" i="6"/>
  <c r="J183" i="6" s="1"/>
  <c r="K183" i="6" l="1"/>
  <c r="S183" i="6"/>
  <c r="L183" i="6" l="1"/>
  <c r="AD181" i="7" l="1"/>
  <c r="AE181" i="7" s="1"/>
  <c r="Z182" i="7" s="1"/>
  <c r="F181" i="7"/>
  <c r="V181" i="7"/>
  <c r="W181" i="7" s="1"/>
  <c r="R182" i="7" s="1"/>
  <c r="N181" i="7"/>
  <c r="O181" i="7" s="1"/>
  <c r="J182" i="7" s="1"/>
  <c r="K182" i="7" l="1"/>
  <c r="L182" i="7" s="1"/>
  <c r="M182" i="7" s="1"/>
  <c r="S182" i="7"/>
  <c r="AA182" i="7"/>
  <c r="AY181" i="7"/>
  <c r="M183" i="6" s="1"/>
  <c r="N183" i="6" s="1"/>
  <c r="O183" i="6" s="1"/>
  <c r="G181" i="7"/>
  <c r="B182" i="7" l="1"/>
  <c r="AZ181" i="7"/>
  <c r="P183" i="6" s="1"/>
  <c r="T183" i="6" s="1"/>
  <c r="AB182" i="7"/>
  <c r="AC182" i="7" s="1"/>
  <c r="T182" i="7"/>
  <c r="U182" i="7" s="1"/>
  <c r="C182" i="7" l="1"/>
  <c r="BA182" i="7" s="1"/>
  <c r="D182" i="7" l="1"/>
  <c r="AX182" i="7" s="1"/>
  <c r="E184" i="6" s="1"/>
  <c r="F184" i="6" s="1"/>
  <c r="E182" i="7" l="1"/>
  <c r="I184" i="6"/>
  <c r="J184" i="6" s="1"/>
  <c r="Q184" i="6"/>
  <c r="K184" i="6" l="1"/>
  <c r="S184" i="6"/>
  <c r="L184" i="6" l="1"/>
  <c r="AD182" i="7" l="1"/>
  <c r="AE182" i="7" s="1"/>
  <c r="Z183" i="7" s="1"/>
  <c r="N182" i="7"/>
  <c r="O182" i="7" s="1"/>
  <c r="J183" i="7" s="1"/>
  <c r="F182" i="7"/>
  <c r="V182" i="7"/>
  <c r="W182" i="7" s="1"/>
  <c r="R183" i="7" s="1"/>
  <c r="AY182" i="7" l="1"/>
  <c r="M184" i="6" s="1"/>
  <c r="N184" i="6" s="1"/>
  <c r="O184" i="6" s="1"/>
  <c r="G182" i="7"/>
  <c r="S183" i="7"/>
  <c r="AA183" i="7"/>
  <c r="K183" i="7"/>
  <c r="L183" i="7" l="1"/>
  <c r="M183" i="7" s="1"/>
  <c r="AB183" i="7"/>
  <c r="AC183" i="7" s="1"/>
  <c r="T183" i="7"/>
  <c r="U183" i="7" s="1"/>
  <c r="AZ182" i="7"/>
  <c r="P184" i="6" s="1"/>
  <c r="T184" i="6" s="1"/>
  <c r="B183" i="7"/>
  <c r="C183" i="7" l="1"/>
  <c r="BA183" i="7" s="1"/>
  <c r="D183" i="7" l="1"/>
  <c r="AX183" i="7" s="1"/>
  <c r="E185" i="6" s="1"/>
  <c r="F185" i="6" s="1"/>
  <c r="E183" i="7" l="1"/>
  <c r="I185" i="6"/>
  <c r="J185" i="6" s="1"/>
  <c r="Q185" i="6"/>
  <c r="K185" i="6" l="1"/>
  <c r="L185" i="6" s="1"/>
  <c r="S185" i="6"/>
  <c r="AD183" i="7" l="1"/>
  <c r="AE183" i="7" s="1"/>
  <c r="Z184" i="7" s="1"/>
  <c r="N183" i="7"/>
  <c r="O183" i="7" s="1"/>
  <c r="J184" i="7" s="1"/>
  <c r="V183" i="7"/>
  <c r="W183" i="7" s="1"/>
  <c r="R184" i="7" s="1"/>
  <c r="F183" i="7"/>
  <c r="S184" i="7" l="1"/>
  <c r="AY183" i="7"/>
  <c r="M185" i="6" s="1"/>
  <c r="N185" i="6" s="1"/>
  <c r="O185" i="6" s="1"/>
  <c r="G183" i="7"/>
  <c r="K184" i="7"/>
  <c r="L184" i="7" s="1"/>
  <c r="M184" i="7" s="1"/>
  <c r="AA184" i="7"/>
  <c r="AB184" i="7" s="1"/>
  <c r="AC184" i="7" l="1"/>
  <c r="B184" i="7"/>
  <c r="AZ183" i="7"/>
  <c r="P185" i="6" s="1"/>
  <c r="T185" i="6" s="1"/>
  <c r="T184" i="7"/>
  <c r="U184" i="7" s="1"/>
  <c r="C184" i="7" l="1"/>
  <c r="BA184" i="7" s="1"/>
  <c r="D184" i="7" l="1"/>
  <c r="AX184" i="7" s="1"/>
  <c r="E186" i="6" s="1"/>
  <c r="F186" i="6" s="1"/>
  <c r="E184" i="7" l="1"/>
  <c r="Q186" i="6"/>
  <c r="I186" i="6"/>
  <c r="J186" i="6" s="1"/>
  <c r="S186" i="6" l="1"/>
  <c r="K186" i="6"/>
  <c r="L186" i="6" l="1"/>
  <c r="AD184" i="7" l="1"/>
  <c r="AE184" i="7" s="1"/>
  <c r="Z185" i="7" s="1"/>
  <c r="F184" i="7"/>
  <c r="N184" i="7"/>
  <c r="O184" i="7" s="1"/>
  <c r="J185" i="7" s="1"/>
  <c r="V184" i="7"/>
  <c r="W184" i="7" s="1"/>
  <c r="R185" i="7" s="1"/>
  <c r="S185" i="7" l="1"/>
  <c r="K185" i="7"/>
  <c r="AY184" i="7"/>
  <c r="M186" i="6" s="1"/>
  <c r="N186" i="6" s="1"/>
  <c r="O186" i="6" s="1"/>
  <c r="G184" i="7"/>
  <c r="AA185" i="7"/>
  <c r="AB185" i="7" s="1"/>
  <c r="AC185" i="7" s="1"/>
  <c r="B185" i="7" l="1"/>
  <c r="AZ184" i="7"/>
  <c r="P186" i="6" s="1"/>
  <c r="T186" i="6" s="1"/>
  <c r="L185" i="7"/>
  <c r="M185" i="7" s="1"/>
  <c r="T185" i="7"/>
  <c r="U185" i="7" s="1"/>
  <c r="C185" i="7" l="1"/>
  <c r="BA185" i="7" s="1"/>
  <c r="D185" i="7" l="1"/>
  <c r="AX185" i="7" s="1"/>
  <c r="E187" i="6" s="1"/>
  <c r="F187" i="6" s="1"/>
  <c r="E185" i="7" l="1"/>
  <c r="I187" i="6"/>
  <c r="J187" i="6" s="1"/>
  <c r="Q187" i="6"/>
  <c r="S187" i="6" l="1"/>
  <c r="K187" i="6"/>
  <c r="L187" i="6" l="1"/>
  <c r="AD185" i="7" l="1"/>
  <c r="AE185" i="7" s="1"/>
  <c r="Z186" i="7" s="1"/>
  <c r="F185" i="7"/>
  <c r="N185" i="7"/>
  <c r="O185" i="7" s="1"/>
  <c r="J186" i="7" s="1"/>
  <c r="V185" i="7"/>
  <c r="W185" i="7" s="1"/>
  <c r="R186" i="7" s="1"/>
  <c r="S186" i="7" l="1"/>
  <c r="K186" i="7"/>
  <c r="L186" i="7" s="1"/>
  <c r="M186" i="7" s="1"/>
  <c r="AA186" i="7"/>
  <c r="AB186" i="7" s="1"/>
  <c r="AY185" i="7"/>
  <c r="M187" i="6" s="1"/>
  <c r="N187" i="6" s="1"/>
  <c r="O187" i="6" s="1"/>
  <c r="G185" i="7"/>
  <c r="AC186" i="7" l="1"/>
  <c r="B186" i="7"/>
  <c r="AZ185" i="7"/>
  <c r="P187" i="6" s="1"/>
  <c r="T187" i="6" s="1"/>
  <c r="T186" i="7"/>
  <c r="U186" i="7" s="1"/>
  <c r="C186" i="7" l="1"/>
  <c r="BA186" i="7" s="1"/>
  <c r="D186" i="7" l="1"/>
  <c r="AX186" i="7" s="1"/>
  <c r="E188" i="6" s="1"/>
  <c r="F188" i="6" s="1"/>
  <c r="E186" i="7" l="1"/>
  <c r="I188" i="6"/>
  <c r="J188" i="6" s="1"/>
  <c r="Q188" i="6"/>
  <c r="K188" i="6" l="1"/>
  <c r="L188" i="6" s="1"/>
  <c r="S188" i="6"/>
  <c r="AD186" i="7" l="1"/>
  <c r="AE186" i="7" s="1"/>
  <c r="Z187" i="7" s="1"/>
  <c r="F186" i="7"/>
  <c r="V186" i="7"/>
  <c r="W186" i="7" s="1"/>
  <c r="R187" i="7" s="1"/>
  <c r="N186" i="7"/>
  <c r="O186" i="7" s="1"/>
  <c r="J187" i="7" s="1"/>
  <c r="K187" i="7" l="1"/>
  <c r="S187" i="7"/>
  <c r="T187" i="7" s="1"/>
  <c r="U187" i="7" s="1"/>
  <c r="AA187" i="7"/>
  <c r="AY186" i="7"/>
  <c r="M188" i="6" s="1"/>
  <c r="N188" i="6" s="1"/>
  <c r="O188" i="6" s="1"/>
  <c r="G186" i="7"/>
  <c r="B187" i="7" l="1"/>
  <c r="AZ186" i="7"/>
  <c r="P188" i="6" s="1"/>
  <c r="T188" i="6" s="1"/>
  <c r="AB187" i="7"/>
  <c r="AC187" i="7" s="1"/>
  <c r="L187" i="7"/>
  <c r="M187" i="7" s="1"/>
  <c r="C187" i="7" l="1"/>
  <c r="BA187" i="7" s="1"/>
  <c r="D187" i="7" l="1"/>
  <c r="AX187" i="7" s="1"/>
  <c r="E189" i="6" s="1"/>
  <c r="F189" i="6" s="1"/>
  <c r="Q189" i="6" s="1"/>
  <c r="E187" i="7" l="1"/>
  <c r="I189" i="6"/>
  <c r="J189" i="6" s="1"/>
  <c r="S189" i="6" s="1"/>
  <c r="K189" i="6" l="1"/>
  <c r="L189" i="6" s="1"/>
  <c r="AD187" i="7" l="1"/>
  <c r="AE187" i="7" s="1"/>
  <c r="Z188" i="7" s="1"/>
  <c r="V187" i="7"/>
  <c r="W187" i="7" s="1"/>
  <c r="R188" i="7" s="1"/>
  <c r="F187" i="7"/>
  <c r="N187" i="7"/>
  <c r="O187" i="7" s="1"/>
  <c r="J188" i="7" s="1"/>
  <c r="K188" i="7" l="1"/>
  <c r="L188" i="7" s="1"/>
  <c r="M188" i="7" s="1"/>
  <c r="AY187" i="7"/>
  <c r="M189" i="6" s="1"/>
  <c r="N189" i="6" s="1"/>
  <c r="O189" i="6" s="1"/>
  <c r="G187" i="7"/>
  <c r="S188" i="7"/>
  <c r="AA188" i="7"/>
  <c r="AB188" i="7" s="1"/>
  <c r="AC188" i="7" l="1"/>
  <c r="T188" i="7"/>
  <c r="U188" i="7" s="1"/>
  <c r="B188" i="7"/>
  <c r="AZ187" i="7"/>
  <c r="P189" i="6" s="1"/>
  <c r="T189" i="6" s="1"/>
  <c r="C188" i="7" l="1"/>
  <c r="BA188" i="7" s="1"/>
  <c r="D188" i="7" l="1"/>
  <c r="AX188" i="7" s="1"/>
  <c r="E190" i="6" s="1"/>
  <c r="F190" i="6" s="1"/>
  <c r="E188" i="7" l="1"/>
  <c r="Q190" i="6"/>
  <c r="I190" i="6"/>
  <c r="J190" i="6" s="1"/>
  <c r="S190" i="6" l="1"/>
  <c r="K190" i="6"/>
  <c r="L190" i="6" l="1"/>
  <c r="AD188" i="7" l="1"/>
  <c r="AE188" i="7" s="1"/>
  <c r="Z189" i="7" s="1"/>
  <c r="V188" i="7"/>
  <c r="W188" i="7" s="1"/>
  <c r="R189" i="7" s="1"/>
  <c r="N188" i="7"/>
  <c r="O188" i="7" s="1"/>
  <c r="J189" i="7" s="1"/>
  <c r="F188" i="7"/>
  <c r="AY188" i="7" l="1"/>
  <c r="M190" i="6" s="1"/>
  <c r="N190" i="6" s="1"/>
  <c r="O190" i="6" s="1"/>
  <c r="G188" i="7"/>
  <c r="K189" i="7"/>
  <c r="L189" i="7" s="1"/>
  <c r="M189" i="7" s="1"/>
  <c r="AA189" i="7"/>
  <c r="AB189" i="7" s="1"/>
  <c r="AC189" i="7" s="1"/>
  <c r="S189" i="7"/>
  <c r="T189" i="7" s="1"/>
  <c r="U189" i="7" l="1"/>
  <c r="B189" i="7"/>
  <c r="AZ188" i="7"/>
  <c r="P190" i="6" s="1"/>
  <c r="T190" i="6" s="1"/>
  <c r="C189" i="7" l="1"/>
  <c r="BA189" i="7" s="1"/>
  <c r="D189" i="7" l="1"/>
  <c r="AX189" i="7" s="1"/>
  <c r="E191" i="6" s="1"/>
  <c r="F191" i="6" s="1"/>
  <c r="E189" i="7" l="1"/>
  <c r="I191" i="6"/>
  <c r="J191" i="6" s="1"/>
  <c r="Q191" i="6"/>
  <c r="K191" i="6" l="1"/>
  <c r="L191" i="6" s="1"/>
  <c r="S191" i="6"/>
  <c r="AD189" i="7" l="1"/>
  <c r="AE189" i="7" s="1"/>
  <c r="Z190" i="7" s="1"/>
  <c r="N189" i="7"/>
  <c r="O189" i="7" s="1"/>
  <c r="J190" i="7" s="1"/>
  <c r="F189" i="7"/>
  <c r="V189" i="7"/>
  <c r="W189" i="7" s="1"/>
  <c r="R190" i="7" s="1"/>
  <c r="AY189" i="7" l="1"/>
  <c r="M191" i="6" s="1"/>
  <c r="N191" i="6" s="1"/>
  <c r="O191" i="6" s="1"/>
  <c r="G189" i="7"/>
  <c r="K190" i="7"/>
  <c r="S190" i="7"/>
  <c r="AA190" i="7"/>
  <c r="AB190" i="7" s="1"/>
  <c r="T190" i="7" l="1"/>
  <c r="U190" i="7" s="1"/>
  <c r="L190" i="7"/>
  <c r="M190" i="7" s="1"/>
  <c r="AZ189" i="7"/>
  <c r="P191" i="6" s="1"/>
  <c r="T191" i="6" s="1"/>
  <c r="B190" i="7"/>
  <c r="AC190" i="7"/>
  <c r="C190" i="7" l="1"/>
  <c r="BA190" i="7" s="1"/>
  <c r="D190" i="7" l="1"/>
  <c r="AX190" i="7" s="1"/>
  <c r="E192" i="6" s="1"/>
  <c r="F192" i="6" s="1"/>
  <c r="I192" i="6" s="1"/>
  <c r="J192" i="6" s="1"/>
  <c r="Q192" i="6" l="1"/>
  <c r="E190" i="7"/>
  <c r="S192" i="6"/>
  <c r="K192" i="6"/>
  <c r="L192" i="6" l="1"/>
  <c r="AD190" i="7" l="1"/>
  <c r="AE190" i="7" s="1"/>
  <c r="Z191" i="7" s="1"/>
  <c r="N190" i="7"/>
  <c r="O190" i="7" s="1"/>
  <c r="J191" i="7" s="1"/>
  <c r="V190" i="7"/>
  <c r="W190" i="7" s="1"/>
  <c r="R191" i="7" s="1"/>
  <c r="F190" i="7"/>
  <c r="AY190" i="7" l="1"/>
  <c r="M192" i="6" s="1"/>
  <c r="N192" i="6" s="1"/>
  <c r="O192" i="6" s="1"/>
  <c r="G190" i="7"/>
  <c r="S191" i="7"/>
  <c r="T191" i="7" s="1"/>
  <c r="K191" i="7"/>
  <c r="L191" i="7" s="1"/>
  <c r="M191" i="7" s="1"/>
  <c r="AA191" i="7"/>
  <c r="AB191" i="7" s="1"/>
  <c r="AC191" i="7" s="1"/>
  <c r="U191" i="7" l="1"/>
  <c r="B191" i="7"/>
  <c r="AZ190" i="7"/>
  <c r="P192" i="6" s="1"/>
  <c r="T192" i="6" s="1"/>
  <c r="C191" i="7" l="1"/>
  <c r="BA191" i="7" s="1"/>
  <c r="D191" i="7" l="1"/>
  <c r="AX191" i="7" s="1"/>
  <c r="E193" i="6" s="1"/>
  <c r="F193" i="6" s="1"/>
  <c r="E191" i="7" l="1"/>
  <c r="Q193" i="6"/>
  <c r="I193" i="6"/>
  <c r="J193" i="6" s="1"/>
  <c r="S193" i="6" l="1"/>
  <c r="K193" i="6"/>
  <c r="L193" i="6" l="1"/>
  <c r="AD191" i="7" l="1"/>
  <c r="AE191" i="7" s="1"/>
  <c r="Z192" i="7" s="1"/>
  <c r="N191" i="7"/>
  <c r="O191" i="7" s="1"/>
  <c r="J192" i="7" s="1"/>
  <c r="F191" i="7"/>
  <c r="V191" i="7"/>
  <c r="W191" i="7" s="1"/>
  <c r="R192" i="7" s="1"/>
  <c r="AY191" i="7" l="1"/>
  <c r="M193" i="6" s="1"/>
  <c r="N193" i="6" s="1"/>
  <c r="O193" i="6" s="1"/>
  <c r="G191" i="7"/>
  <c r="K192" i="7"/>
  <c r="S192" i="7"/>
  <c r="AA192" i="7"/>
  <c r="AB192" i="7" l="1"/>
  <c r="AC192" i="7" s="1"/>
  <c r="T192" i="7"/>
  <c r="U192" i="7" s="1"/>
  <c r="L192" i="7"/>
  <c r="M192" i="7" s="1"/>
  <c r="B192" i="7"/>
  <c r="AZ191" i="7"/>
  <c r="P193" i="6" s="1"/>
  <c r="T193" i="6" s="1"/>
  <c r="C192" i="7" l="1"/>
  <c r="BA192" i="7" s="1"/>
  <c r="D192" i="7" l="1"/>
  <c r="AX192" i="7" s="1"/>
  <c r="E194" i="6" s="1"/>
  <c r="F194" i="6" s="1"/>
  <c r="E192" i="7" l="1"/>
  <c r="I194" i="6"/>
  <c r="J194" i="6" s="1"/>
  <c r="Q194" i="6"/>
  <c r="S194" i="6" l="1"/>
  <c r="K194" i="6"/>
  <c r="L194" i="6" l="1"/>
  <c r="AD192" i="7" l="1"/>
  <c r="AE192" i="7" s="1"/>
  <c r="Z193" i="7" s="1"/>
  <c r="N192" i="7"/>
  <c r="O192" i="7" s="1"/>
  <c r="J193" i="7" s="1"/>
  <c r="V192" i="7"/>
  <c r="W192" i="7" s="1"/>
  <c r="R193" i="7" s="1"/>
  <c r="F192" i="7"/>
  <c r="AY192" i="7" l="1"/>
  <c r="M194" i="6" s="1"/>
  <c r="N194" i="6" s="1"/>
  <c r="O194" i="6" s="1"/>
  <c r="G192" i="7"/>
  <c r="S193" i="7"/>
  <c r="AA193" i="7"/>
  <c r="K193" i="7"/>
  <c r="L193" i="7" s="1"/>
  <c r="M193" i="7" l="1"/>
  <c r="AB193" i="7"/>
  <c r="AC193" i="7" s="1"/>
  <c r="T193" i="7"/>
  <c r="U193" i="7" s="1"/>
  <c r="B193" i="7"/>
  <c r="AZ192" i="7"/>
  <c r="P194" i="6" s="1"/>
  <c r="T194" i="6" s="1"/>
  <c r="C193" i="7" l="1"/>
  <c r="BA193" i="7" s="1"/>
  <c r="D193" i="7" l="1"/>
  <c r="AX193" i="7" s="1"/>
  <c r="E195" i="6" s="1"/>
  <c r="F195" i="6" s="1"/>
  <c r="Q195" i="6" s="1"/>
  <c r="E193" i="7" l="1"/>
  <c r="I195" i="6"/>
  <c r="J195" i="6" s="1"/>
  <c r="S195" i="6" s="1"/>
  <c r="K195" i="6" l="1"/>
  <c r="L195" i="6" s="1"/>
  <c r="AD193" i="7" l="1"/>
  <c r="AE193" i="7" s="1"/>
  <c r="Z194" i="7" s="1"/>
  <c r="V193" i="7"/>
  <c r="W193" i="7" s="1"/>
  <c r="R194" i="7" s="1"/>
  <c r="F193" i="7"/>
  <c r="N193" i="7"/>
  <c r="O193" i="7" s="1"/>
  <c r="J194" i="7" s="1"/>
  <c r="K194" i="7" l="1"/>
  <c r="AY193" i="7"/>
  <c r="M195" i="6" s="1"/>
  <c r="N195" i="6" s="1"/>
  <c r="O195" i="6" s="1"/>
  <c r="G193" i="7"/>
  <c r="AA194" i="7"/>
  <c r="S194" i="7"/>
  <c r="T194" i="7" l="1"/>
  <c r="U194" i="7" s="1"/>
  <c r="AB194" i="7"/>
  <c r="AC194" i="7" s="1"/>
  <c r="AZ193" i="7"/>
  <c r="P195" i="6" s="1"/>
  <c r="T195" i="6" s="1"/>
  <c r="B194" i="7"/>
  <c r="L194" i="7"/>
  <c r="M194" i="7" s="1"/>
  <c r="C194" i="7" l="1"/>
  <c r="BA194" i="7" s="1"/>
  <c r="D194" i="7" l="1"/>
  <c r="AX194" i="7" s="1"/>
  <c r="E196" i="6" s="1"/>
  <c r="F196" i="6" s="1"/>
  <c r="E194" i="7" l="1"/>
  <c r="Q196" i="6"/>
  <c r="I196" i="6"/>
  <c r="J196" i="6" s="1"/>
  <c r="S196" i="6" l="1"/>
  <c r="K196" i="6"/>
  <c r="L196" i="6" l="1"/>
  <c r="AD194" i="7" l="1"/>
  <c r="AE194" i="7" s="1"/>
  <c r="Z195" i="7" s="1"/>
  <c r="F194" i="7"/>
  <c r="N194" i="7"/>
  <c r="O194" i="7" s="1"/>
  <c r="J195" i="7" s="1"/>
  <c r="V194" i="7"/>
  <c r="W194" i="7" s="1"/>
  <c r="R195" i="7" s="1"/>
  <c r="S195" i="7" l="1"/>
  <c r="T195" i="7" s="1"/>
  <c r="K195" i="7"/>
  <c r="AY194" i="7"/>
  <c r="M196" i="6" s="1"/>
  <c r="N196" i="6" s="1"/>
  <c r="O196" i="6" s="1"/>
  <c r="G194" i="7"/>
  <c r="AA195" i="7"/>
  <c r="AB195" i="7" s="1"/>
  <c r="AC195" i="7" l="1"/>
  <c r="U195" i="7"/>
  <c r="B195" i="7"/>
  <c r="AZ194" i="7"/>
  <c r="P196" i="6" s="1"/>
  <c r="T196" i="6" s="1"/>
  <c r="L195" i="7"/>
  <c r="M195" i="7" s="1"/>
  <c r="C195" i="7" l="1"/>
  <c r="BA195" i="7" s="1"/>
  <c r="D195" i="7" l="1"/>
  <c r="AX195" i="7" s="1"/>
  <c r="E197" i="6" s="1"/>
  <c r="F197" i="6" s="1"/>
  <c r="I197" i="6" s="1"/>
  <c r="J197" i="6" s="1"/>
  <c r="E195" i="7" l="1"/>
  <c r="Q197" i="6"/>
  <c r="S197" i="6"/>
  <c r="K197" i="6"/>
  <c r="L197" i="6" l="1"/>
  <c r="AD195" i="7" l="1"/>
  <c r="AE195" i="7" s="1"/>
  <c r="Z196" i="7" s="1"/>
  <c r="V195" i="7"/>
  <c r="W195" i="7" s="1"/>
  <c r="R196" i="7" s="1"/>
  <c r="N195" i="7"/>
  <c r="O195" i="7" s="1"/>
  <c r="J196" i="7" s="1"/>
  <c r="F195" i="7"/>
  <c r="AY195" i="7" l="1"/>
  <c r="M197" i="6" s="1"/>
  <c r="N197" i="6" s="1"/>
  <c r="O197" i="6" s="1"/>
  <c r="G195" i="7"/>
  <c r="K196" i="7"/>
  <c r="S196" i="7"/>
  <c r="T196" i="7" s="1"/>
  <c r="AA196" i="7"/>
  <c r="U196" i="7" l="1"/>
  <c r="AB196" i="7"/>
  <c r="AC196" i="7" s="1"/>
  <c r="L196" i="7"/>
  <c r="M196" i="7" s="1"/>
  <c r="B196" i="7"/>
  <c r="AZ195" i="7"/>
  <c r="P197" i="6" s="1"/>
  <c r="T197" i="6" s="1"/>
  <c r="C196" i="7" l="1"/>
  <c r="BA196" i="7" s="1"/>
  <c r="D196" i="7" l="1"/>
  <c r="AX196" i="7" s="1"/>
  <c r="E198" i="6" s="1"/>
  <c r="F198" i="6" s="1"/>
  <c r="Q198" i="6" s="1"/>
  <c r="I198" i="6" l="1"/>
  <c r="J198" i="6" s="1"/>
  <c r="S198" i="6" s="1"/>
  <c r="E196" i="7"/>
  <c r="K198" i="6" l="1"/>
  <c r="L198" i="6" s="1"/>
  <c r="AD196" i="7" l="1"/>
  <c r="AE196" i="7" s="1"/>
  <c r="Z197" i="7" s="1"/>
  <c r="N196" i="7"/>
  <c r="O196" i="7" s="1"/>
  <c r="J197" i="7" s="1"/>
  <c r="F196" i="7"/>
  <c r="V196" i="7"/>
  <c r="W196" i="7" s="1"/>
  <c r="R197" i="7" s="1"/>
  <c r="AY196" i="7" l="1"/>
  <c r="M198" i="6" s="1"/>
  <c r="N198" i="6" s="1"/>
  <c r="O198" i="6" s="1"/>
  <c r="G196" i="7"/>
  <c r="S197" i="7"/>
  <c r="T197" i="7" s="1"/>
  <c r="U197" i="7" s="1"/>
  <c r="K197" i="7"/>
  <c r="L197" i="7" s="1"/>
  <c r="M197" i="7" s="1"/>
  <c r="AA197" i="7"/>
  <c r="AB197" i="7" l="1"/>
  <c r="AC197" i="7" s="1"/>
  <c r="B197" i="7"/>
  <c r="AZ196" i="7"/>
  <c r="P198" i="6" s="1"/>
  <c r="T198" i="6" s="1"/>
  <c r="C197" i="7" l="1"/>
  <c r="BA197" i="7" s="1"/>
  <c r="D197" i="7" l="1"/>
  <c r="AX197" i="7" s="1"/>
  <c r="E199" i="6" s="1"/>
  <c r="F199" i="6" s="1"/>
  <c r="Q199" i="6" l="1"/>
  <c r="I199" i="6"/>
  <c r="J199" i="6" s="1"/>
  <c r="E197" i="7"/>
  <c r="K199" i="6" l="1"/>
  <c r="S199" i="6"/>
  <c r="L199" i="6" l="1"/>
  <c r="AD197" i="7" l="1"/>
  <c r="AE197" i="7" s="1"/>
  <c r="Z198" i="7" s="1"/>
  <c r="V197" i="7"/>
  <c r="W197" i="7" s="1"/>
  <c r="R198" i="7" s="1"/>
  <c r="N197" i="7"/>
  <c r="O197" i="7" s="1"/>
  <c r="J198" i="7" s="1"/>
  <c r="F197" i="7"/>
  <c r="AY197" i="7" l="1"/>
  <c r="M199" i="6" s="1"/>
  <c r="N199" i="6" s="1"/>
  <c r="O199" i="6" s="1"/>
  <c r="G197" i="7"/>
  <c r="K198" i="7"/>
  <c r="L198" i="7" s="1"/>
  <c r="AA198" i="7"/>
  <c r="AB198" i="7" s="1"/>
  <c r="S198" i="7"/>
  <c r="T198" i="7" l="1"/>
  <c r="U198" i="7" s="1"/>
  <c r="M198" i="7"/>
  <c r="B198" i="7"/>
  <c r="AZ197" i="7"/>
  <c r="P199" i="6" s="1"/>
  <c r="T199" i="6" s="1"/>
  <c r="AC198" i="7"/>
  <c r="C198" i="7" l="1"/>
  <c r="BA198" i="7" s="1"/>
  <c r="D198" i="7" l="1"/>
  <c r="AX198" i="7" s="1"/>
  <c r="E200" i="6" s="1"/>
  <c r="F200" i="6" s="1"/>
  <c r="I200" i="6" s="1"/>
  <c r="J200" i="6" s="1"/>
  <c r="E198" i="7" l="1"/>
  <c r="Q200" i="6"/>
  <c r="S200" i="6"/>
  <c r="K200" i="6"/>
  <c r="L200" i="6" l="1"/>
  <c r="AD198" i="7" l="1"/>
  <c r="AE198" i="7" s="1"/>
  <c r="Z199" i="7" s="1"/>
  <c r="F198" i="7"/>
  <c r="N198" i="7"/>
  <c r="O198" i="7" s="1"/>
  <c r="J199" i="7" s="1"/>
  <c r="V198" i="7"/>
  <c r="W198" i="7" s="1"/>
  <c r="R199" i="7" s="1"/>
  <c r="K199" i="7" l="1"/>
  <c r="S199" i="7"/>
  <c r="T199" i="7" s="1"/>
  <c r="AY198" i="7"/>
  <c r="M200" i="6" s="1"/>
  <c r="N200" i="6" s="1"/>
  <c r="O200" i="6" s="1"/>
  <c r="G198" i="7"/>
  <c r="AA199" i="7"/>
  <c r="AB199" i="7" s="1"/>
  <c r="AC199" i="7" s="1"/>
  <c r="AZ198" i="7" l="1"/>
  <c r="P200" i="6" s="1"/>
  <c r="T200" i="6" s="1"/>
  <c r="B199" i="7"/>
  <c r="U199" i="7"/>
  <c r="L199" i="7"/>
  <c r="M199" i="7" s="1"/>
  <c r="C199" i="7" l="1"/>
  <c r="BA199" i="7" s="1"/>
  <c r="D199" i="7" l="1"/>
  <c r="AX199" i="7" s="1"/>
  <c r="E201" i="6" s="1"/>
  <c r="F201" i="6" s="1"/>
  <c r="E199" i="7" l="1"/>
  <c r="I201" i="6"/>
  <c r="J201" i="6" s="1"/>
  <c r="Q201" i="6"/>
  <c r="K201" i="6" l="1"/>
  <c r="L201" i="6" s="1"/>
  <c r="S201" i="6"/>
  <c r="AD199" i="7" l="1"/>
  <c r="AE199" i="7" s="1"/>
  <c r="Z200" i="7" s="1"/>
  <c r="F199" i="7"/>
  <c r="N199" i="7"/>
  <c r="O199" i="7" s="1"/>
  <c r="J200" i="7" s="1"/>
  <c r="V199" i="7"/>
  <c r="W199" i="7" s="1"/>
  <c r="R200" i="7" s="1"/>
  <c r="S200" i="7" l="1"/>
  <c r="K200" i="7"/>
  <c r="AA200" i="7"/>
  <c r="AB200" i="7" s="1"/>
  <c r="AC200" i="7" s="1"/>
  <c r="AY199" i="7"/>
  <c r="M201" i="6" s="1"/>
  <c r="N201" i="6" s="1"/>
  <c r="O201" i="6" s="1"/>
  <c r="G199" i="7"/>
  <c r="B200" i="7" l="1"/>
  <c r="AZ199" i="7"/>
  <c r="P201" i="6" s="1"/>
  <c r="T201" i="6" s="1"/>
  <c r="L200" i="7"/>
  <c r="M200" i="7" s="1"/>
  <c r="T200" i="7"/>
  <c r="U200" i="7" s="1"/>
  <c r="C200" i="7" l="1"/>
  <c r="BA200" i="7" s="1"/>
  <c r="D200" i="7" l="1"/>
  <c r="AX200" i="7" s="1"/>
  <c r="E202" i="6" s="1"/>
  <c r="F202" i="6" s="1"/>
  <c r="E200" i="7" l="1"/>
  <c r="Q202" i="6"/>
  <c r="I202" i="6"/>
  <c r="J202" i="6" s="1"/>
  <c r="S202" i="6" l="1"/>
  <c r="K202" i="6"/>
  <c r="L202" i="6" l="1"/>
  <c r="AD200" i="7" l="1"/>
  <c r="AE200" i="7" s="1"/>
  <c r="Z201" i="7" s="1"/>
  <c r="V200" i="7"/>
  <c r="W200" i="7" s="1"/>
  <c r="R201" i="7" s="1"/>
  <c r="F200" i="7"/>
  <c r="N200" i="7"/>
  <c r="O200" i="7" s="1"/>
  <c r="J201" i="7" s="1"/>
  <c r="K201" i="7" l="1"/>
  <c r="AY200" i="7"/>
  <c r="M202" i="6" s="1"/>
  <c r="N202" i="6" s="1"/>
  <c r="O202" i="6" s="1"/>
  <c r="G200" i="7"/>
  <c r="AA201" i="7"/>
  <c r="S201" i="7"/>
  <c r="T201" i="7" s="1"/>
  <c r="U201" i="7" l="1"/>
  <c r="AB201" i="7"/>
  <c r="AC201" i="7" s="1"/>
  <c r="B201" i="7"/>
  <c r="AZ200" i="7"/>
  <c r="P202" i="6" s="1"/>
  <c r="T202" i="6" s="1"/>
  <c r="L201" i="7"/>
  <c r="M201" i="7" s="1"/>
  <c r="C201" i="7" l="1"/>
  <c r="BA201" i="7" s="1"/>
  <c r="D201" i="7" l="1"/>
  <c r="AX201" i="7" s="1"/>
  <c r="E203" i="6" s="1"/>
  <c r="F203" i="6" s="1"/>
  <c r="E201" i="7" l="1"/>
  <c r="I203" i="6"/>
  <c r="J203" i="6" s="1"/>
  <c r="Q203" i="6"/>
  <c r="S203" i="6" l="1"/>
  <c r="K203" i="6"/>
  <c r="L203" i="6" l="1"/>
  <c r="AD201" i="7" l="1"/>
  <c r="AE201" i="7" s="1"/>
  <c r="Z202" i="7" s="1"/>
  <c r="V201" i="7"/>
  <c r="W201" i="7" s="1"/>
  <c r="R202" i="7" s="1"/>
  <c r="N201" i="7"/>
  <c r="O201" i="7" s="1"/>
  <c r="J202" i="7" s="1"/>
  <c r="F201" i="7"/>
  <c r="AY201" i="7" l="1"/>
  <c r="M203" i="6" s="1"/>
  <c r="N203" i="6" s="1"/>
  <c r="O203" i="6" s="1"/>
  <c r="G201" i="7"/>
  <c r="K202" i="7"/>
  <c r="AA202" i="7"/>
  <c r="AB202" i="7" s="1"/>
  <c r="AC202" i="7" s="1"/>
  <c r="S202" i="7"/>
  <c r="L202" i="7" l="1"/>
  <c r="M202" i="7" s="1"/>
  <c r="AZ201" i="7"/>
  <c r="P203" i="6" s="1"/>
  <c r="T203" i="6" s="1"/>
  <c r="B202" i="7"/>
  <c r="T202" i="7"/>
  <c r="U202" i="7" s="1"/>
  <c r="C202" i="7" l="1"/>
  <c r="BA202" i="7" s="1"/>
  <c r="D202" i="7" l="1"/>
  <c r="AX202" i="7" s="1"/>
  <c r="E204" i="6" s="1"/>
  <c r="F204" i="6" s="1"/>
  <c r="E202" i="7" l="1"/>
  <c r="I204" i="6"/>
  <c r="J204" i="6" s="1"/>
  <c r="Q204" i="6"/>
  <c r="S204" i="6" l="1"/>
  <c r="K204" i="6"/>
  <c r="L204" i="6" l="1"/>
  <c r="AD202" i="7" l="1"/>
  <c r="AE202" i="7" s="1"/>
  <c r="Z203" i="7" s="1"/>
  <c r="V202" i="7"/>
  <c r="W202" i="7" s="1"/>
  <c r="R203" i="7" s="1"/>
  <c r="F202" i="7"/>
  <c r="N202" i="7"/>
  <c r="O202" i="7" s="1"/>
  <c r="J203" i="7" s="1"/>
  <c r="K203" i="7" l="1"/>
  <c r="L203" i="7" s="1"/>
  <c r="M203" i="7" s="1"/>
  <c r="AY202" i="7"/>
  <c r="M204" i="6" s="1"/>
  <c r="N204" i="6" s="1"/>
  <c r="O204" i="6" s="1"/>
  <c r="G202" i="7"/>
  <c r="S203" i="7"/>
  <c r="T203" i="7" s="1"/>
  <c r="AA203" i="7"/>
  <c r="U203" i="7" l="1"/>
  <c r="AB203" i="7"/>
  <c r="AC203" i="7" s="1"/>
  <c r="AZ202" i="7"/>
  <c r="P204" i="6" s="1"/>
  <c r="T204" i="6" s="1"/>
  <c r="B203" i="7"/>
  <c r="C203" i="7" l="1"/>
  <c r="BA203" i="7" s="1"/>
  <c r="D203" i="7" l="1"/>
  <c r="AX203" i="7" s="1"/>
  <c r="E205" i="6" s="1"/>
  <c r="F205" i="6" s="1"/>
  <c r="E203" i="7" l="1"/>
  <c r="Q205" i="6"/>
  <c r="I205" i="6"/>
  <c r="J205" i="6" s="1"/>
  <c r="K205" i="6" l="1"/>
  <c r="L205" i="6" s="1"/>
  <c r="S205" i="6"/>
  <c r="AD203" i="7" l="1"/>
  <c r="AE203" i="7" s="1"/>
  <c r="Z204" i="7" s="1"/>
  <c r="F203" i="7"/>
  <c r="V203" i="7"/>
  <c r="W203" i="7" s="1"/>
  <c r="R204" i="7" s="1"/>
  <c r="N203" i="7"/>
  <c r="O203" i="7" s="1"/>
  <c r="J204" i="7" s="1"/>
  <c r="K204" i="7" l="1"/>
  <c r="S204" i="7"/>
  <c r="T204" i="7" s="1"/>
  <c r="AY203" i="7"/>
  <c r="M205" i="6" s="1"/>
  <c r="N205" i="6" s="1"/>
  <c r="O205" i="6" s="1"/>
  <c r="G203" i="7"/>
  <c r="AA204" i="7"/>
  <c r="AB204" i="7" s="1"/>
  <c r="AC204" i="7" l="1"/>
  <c r="B204" i="7"/>
  <c r="AZ203" i="7"/>
  <c r="P205" i="6" s="1"/>
  <c r="T205" i="6" s="1"/>
  <c r="U204" i="7"/>
  <c r="L204" i="7"/>
  <c r="M204" i="7" s="1"/>
  <c r="C204" i="7" l="1"/>
  <c r="BA204" i="7" s="1"/>
  <c r="D204" i="7" l="1"/>
  <c r="AX204" i="7" s="1"/>
  <c r="E206" i="6" s="1"/>
  <c r="F206" i="6" s="1"/>
  <c r="E204" i="7" l="1"/>
  <c r="Q206" i="6"/>
  <c r="I206" i="6"/>
  <c r="J206" i="6" s="1"/>
  <c r="S206" i="6" l="1"/>
  <c r="K206" i="6"/>
  <c r="L206" i="6" l="1"/>
  <c r="AD204" i="7" l="1"/>
  <c r="AE204" i="7" s="1"/>
  <c r="Z205" i="7" s="1"/>
  <c r="N204" i="7"/>
  <c r="O204" i="7" s="1"/>
  <c r="J205" i="7" s="1"/>
  <c r="F204" i="7"/>
  <c r="V204" i="7"/>
  <c r="W204" i="7" s="1"/>
  <c r="R205" i="7" s="1"/>
  <c r="AY204" i="7" l="1"/>
  <c r="M206" i="6" s="1"/>
  <c r="N206" i="6" s="1"/>
  <c r="O206" i="6" s="1"/>
  <c r="G204" i="7"/>
  <c r="S205" i="7"/>
  <c r="T205" i="7" s="1"/>
  <c r="K205" i="7"/>
  <c r="AA205" i="7"/>
  <c r="AB205" i="7" s="1"/>
  <c r="AC205" i="7" l="1"/>
  <c r="L205" i="7"/>
  <c r="M205" i="7" s="1"/>
  <c r="U205" i="7"/>
  <c r="B205" i="7"/>
  <c r="AZ204" i="7"/>
  <c r="P206" i="6" s="1"/>
  <c r="T206" i="6" s="1"/>
  <c r="C205" i="7" l="1"/>
  <c r="BA205" i="7" s="1"/>
  <c r="D205" i="7" l="1"/>
  <c r="AX205" i="7" s="1"/>
  <c r="E207" i="6" s="1"/>
  <c r="F207" i="6" s="1"/>
  <c r="I207" i="6" s="1"/>
  <c r="J207" i="6" s="1"/>
  <c r="E205" i="7" l="1"/>
  <c r="Q207" i="6"/>
  <c r="S207" i="6"/>
  <c r="K207" i="6"/>
  <c r="L207" i="6" l="1"/>
  <c r="AD205" i="7" l="1"/>
  <c r="AE205" i="7" s="1"/>
  <c r="Z206" i="7" s="1"/>
  <c r="N205" i="7"/>
  <c r="O205" i="7" s="1"/>
  <c r="J206" i="7" s="1"/>
  <c r="F205" i="7"/>
  <c r="V205" i="7"/>
  <c r="W205" i="7" s="1"/>
  <c r="R206" i="7" s="1"/>
  <c r="S206" i="7" l="1"/>
  <c r="AY205" i="7"/>
  <c r="M207" i="6" s="1"/>
  <c r="N207" i="6" s="1"/>
  <c r="O207" i="6" s="1"/>
  <c r="G205" i="7"/>
  <c r="K206" i="7"/>
  <c r="L206" i="7" s="1"/>
  <c r="M206" i="7" s="1"/>
  <c r="AA206" i="7"/>
  <c r="AB206" i="7" s="1"/>
  <c r="AC206" i="7" s="1"/>
  <c r="AZ205" i="7" l="1"/>
  <c r="P207" i="6" s="1"/>
  <c r="T207" i="6" s="1"/>
  <c r="B206" i="7"/>
  <c r="T206" i="7"/>
  <c r="U206" i="7" s="1"/>
  <c r="C206" i="7" l="1"/>
  <c r="BA206" i="7" s="1"/>
  <c r="D206" i="7" l="1"/>
  <c r="AX206" i="7" s="1"/>
  <c r="E208" i="6" s="1"/>
  <c r="F208" i="6" s="1"/>
  <c r="E206" i="7" l="1"/>
  <c r="Q208" i="6"/>
  <c r="I208" i="6"/>
  <c r="J208" i="6" s="1"/>
  <c r="S208" i="6" l="1"/>
  <c r="K208" i="6"/>
  <c r="L208" i="6" l="1"/>
  <c r="AD206" i="7" l="1"/>
  <c r="AE206" i="7" s="1"/>
  <c r="Z207" i="7" s="1"/>
  <c r="N206" i="7"/>
  <c r="O206" i="7" s="1"/>
  <c r="J207" i="7" s="1"/>
  <c r="F206" i="7"/>
  <c r="V206" i="7"/>
  <c r="W206" i="7" s="1"/>
  <c r="R207" i="7" s="1"/>
  <c r="AY206" i="7" l="1"/>
  <c r="M208" i="6" s="1"/>
  <c r="N208" i="6" s="1"/>
  <c r="O208" i="6" s="1"/>
  <c r="G206" i="7"/>
  <c r="K207" i="7"/>
  <c r="L207" i="7" s="1"/>
  <c r="S207" i="7"/>
  <c r="AA207" i="7"/>
  <c r="M207" i="7" l="1"/>
  <c r="AB207" i="7"/>
  <c r="AC207" i="7" s="1"/>
  <c r="T207" i="7"/>
  <c r="U207" i="7" s="1"/>
  <c r="B207" i="7"/>
  <c r="AZ206" i="7"/>
  <c r="P208" i="6" s="1"/>
  <c r="T208" i="6" s="1"/>
  <c r="C207" i="7" l="1"/>
  <c r="BA207" i="7" s="1"/>
  <c r="D207" i="7" l="1"/>
  <c r="AX207" i="7" s="1"/>
  <c r="E209" i="6" s="1"/>
  <c r="F209" i="6" s="1"/>
  <c r="E207" i="7" l="1"/>
  <c r="Q209" i="6"/>
  <c r="I209" i="6"/>
  <c r="J209" i="6" s="1"/>
  <c r="S209" i="6" l="1"/>
  <c r="K209" i="6"/>
  <c r="L209" i="6" l="1"/>
  <c r="AD207" i="7" l="1"/>
  <c r="AE207" i="7" s="1"/>
  <c r="Z208" i="7" s="1"/>
  <c r="V207" i="7"/>
  <c r="W207" i="7" s="1"/>
  <c r="R208" i="7" s="1"/>
  <c r="N207" i="7"/>
  <c r="O207" i="7" s="1"/>
  <c r="J208" i="7" s="1"/>
  <c r="F207" i="7"/>
  <c r="K208" i="7" l="1"/>
  <c r="L208" i="7" s="1"/>
  <c r="S208" i="7"/>
  <c r="AY207" i="7"/>
  <c r="M209" i="6" s="1"/>
  <c r="N209" i="6" s="1"/>
  <c r="O209" i="6" s="1"/>
  <c r="G207" i="7"/>
  <c r="AA208" i="7"/>
  <c r="AB208" i="7" s="1"/>
  <c r="AC208" i="7" l="1"/>
  <c r="B208" i="7"/>
  <c r="AZ207" i="7"/>
  <c r="P209" i="6" s="1"/>
  <c r="T209" i="6" s="1"/>
  <c r="T208" i="7"/>
  <c r="U208" i="7" s="1"/>
  <c r="M208" i="7"/>
  <c r="C208" i="7" l="1"/>
  <c r="BA208" i="7" s="1"/>
  <c r="D208" i="7" l="1"/>
  <c r="AX208" i="7" s="1"/>
  <c r="E210" i="6" s="1"/>
  <c r="F210" i="6" s="1"/>
  <c r="E208" i="7" l="1"/>
  <c r="I210" i="6"/>
  <c r="J210" i="6" s="1"/>
  <c r="Q210" i="6"/>
  <c r="S210" i="6" l="1"/>
  <c r="K210" i="6"/>
  <c r="L210" i="6" l="1"/>
  <c r="AD208" i="7" l="1"/>
  <c r="AE208" i="7" s="1"/>
  <c r="Z209" i="7" s="1"/>
  <c r="N208" i="7"/>
  <c r="O208" i="7" s="1"/>
  <c r="J209" i="7" s="1"/>
  <c r="V208" i="7"/>
  <c r="W208" i="7" s="1"/>
  <c r="R209" i="7" s="1"/>
  <c r="F208" i="7"/>
  <c r="S209" i="7" l="1"/>
  <c r="K209" i="7"/>
  <c r="AY208" i="7"/>
  <c r="M210" i="6" s="1"/>
  <c r="N210" i="6" s="1"/>
  <c r="O210" i="6" s="1"/>
  <c r="G208" i="7"/>
  <c r="AA209" i="7"/>
  <c r="AB209" i="7" l="1"/>
  <c r="AC209" i="7" s="1"/>
  <c r="AZ208" i="7"/>
  <c r="P210" i="6" s="1"/>
  <c r="T210" i="6" s="1"/>
  <c r="B209" i="7"/>
  <c r="L209" i="7"/>
  <c r="M209" i="7" s="1"/>
  <c r="T209" i="7"/>
  <c r="U209" i="7" s="1"/>
  <c r="C209" i="7" l="1"/>
  <c r="BA209" i="7" s="1"/>
  <c r="D209" i="7" l="1"/>
  <c r="AX209" i="7" s="1"/>
  <c r="E211" i="6" s="1"/>
  <c r="F211" i="6" s="1"/>
  <c r="Q211" i="6" l="1"/>
  <c r="I211" i="6"/>
  <c r="J211" i="6" s="1"/>
  <c r="E209" i="7"/>
  <c r="K211" i="6" l="1"/>
  <c r="S211" i="6"/>
  <c r="L211" i="6" l="1"/>
  <c r="AD209" i="7" l="1"/>
  <c r="AE209" i="7" s="1"/>
  <c r="Z210" i="7" s="1"/>
  <c r="F209" i="7"/>
  <c r="N209" i="7"/>
  <c r="O209" i="7" s="1"/>
  <c r="J210" i="7" s="1"/>
  <c r="V209" i="7"/>
  <c r="W209" i="7" s="1"/>
  <c r="R210" i="7" s="1"/>
  <c r="K210" i="7" l="1"/>
  <c r="L210" i="7" s="1"/>
  <c r="M210" i="7" s="1"/>
  <c r="S210" i="7"/>
  <c r="AA210" i="7"/>
  <c r="AB210" i="7" s="1"/>
  <c r="AY209" i="7"/>
  <c r="M211" i="6" s="1"/>
  <c r="N211" i="6" s="1"/>
  <c r="O211" i="6" s="1"/>
  <c r="G209" i="7"/>
  <c r="B210" i="7" l="1"/>
  <c r="AZ209" i="7"/>
  <c r="P211" i="6" s="1"/>
  <c r="T211" i="6" s="1"/>
  <c r="AC210" i="7"/>
  <c r="T210" i="7"/>
  <c r="U210" i="7" s="1"/>
  <c r="C210" i="7" l="1"/>
  <c r="BA210" i="7" s="1"/>
  <c r="D210" i="7" l="1"/>
  <c r="AX210" i="7" l="1"/>
  <c r="E212" i="6" s="1"/>
  <c r="F212" i="6" s="1"/>
  <c r="E210" i="7"/>
  <c r="Q212" i="6" l="1"/>
  <c r="I212" i="6"/>
  <c r="J212" i="6" s="1"/>
  <c r="K212" i="6" l="1"/>
  <c r="L212" i="6" s="1"/>
  <c r="S212" i="6"/>
  <c r="AD210" i="7" l="1"/>
  <c r="AE210" i="7" s="1"/>
  <c r="Z211" i="7" s="1"/>
  <c r="N210" i="7"/>
  <c r="O210" i="7" s="1"/>
  <c r="J211" i="7" s="1"/>
  <c r="V210" i="7"/>
  <c r="W210" i="7" s="1"/>
  <c r="R211" i="7" s="1"/>
  <c r="F210" i="7"/>
  <c r="S211" i="7" l="1"/>
  <c r="T211" i="7" s="1"/>
  <c r="AY210" i="7"/>
  <c r="M212" i="6" s="1"/>
  <c r="N212" i="6" s="1"/>
  <c r="O212" i="6" s="1"/>
  <c r="G210" i="7"/>
  <c r="K211" i="7"/>
  <c r="AA211" i="7"/>
  <c r="L211" i="7" l="1"/>
  <c r="M211" i="7" s="1"/>
  <c r="AB211" i="7"/>
  <c r="AC211" i="7" s="1"/>
  <c r="B211" i="7"/>
  <c r="AZ210" i="7"/>
  <c r="P212" i="6" s="1"/>
  <c r="T212" i="6" s="1"/>
  <c r="U211" i="7"/>
  <c r="C211" i="7" l="1"/>
  <c r="BA211" i="7" s="1"/>
  <c r="D211" i="7" l="1"/>
  <c r="AX211" i="7" s="1"/>
  <c r="E213" i="6" s="1"/>
  <c r="F213" i="6" s="1"/>
  <c r="E211" i="7" l="1"/>
  <c r="I213" i="6"/>
  <c r="J213" i="6" s="1"/>
  <c r="Q213" i="6"/>
  <c r="K213" i="6" l="1"/>
  <c r="S213" i="6"/>
  <c r="L213" i="6" l="1"/>
  <c r="AD211" i="7" l="1"/>
  <c r="AE211" i="7" s="1"/>
  <c r="Z212" i="7" s="1"/>
  <c r="F211" i="7"/>
  <c r="V211" i="7"/>
  <c r="W211" i="7" s="1"/>
  <c r="R212" i="7" s="1"/>
  <c r="N211" i="7"/>
  <c r="O211" i="7" s="1"/>
  <c r="J212" i="7" s="1"/>
  <c r="S212" i="7" l="1"/>
  <c r="T212" i="7" s="1"/>
  <c r="K212" i="7"/>
  <c r="AA212" i="7"/>
  <c r="AY211" i="7"/>
  <c r="M213" i="6" s="1"/>
  <c r="N213" i="6" s="1"/>
  <c r="O213" i="6" s="1"/>
  <c r="G211" i="7"/>
  <c r="B212" i="7" l="1"/>
  <c r="AZ211" i="7"/>
  <c r="P213" i="6" s="1"/>
  <c r="T213" i="6" s="1"/>
  <c r="L212" i="7"/>
  <c r="M212" i="7" s="1"/>
  <c r="AB212" i="7"/>
  <c r="AC212" i="7" s="1"/>
  <c r="U212" i="7"/>
  <c r="C212" i="7" l="1"/>
  <c r="BA212" i="7" s="1"/>
  <c r="D212" i="7" l="1"/>
  <c r="AX212" i="7" s="1"/>
  <c r="E214" i="6" s="1"/>
  <c r="F214" i="6" s="1"/>
  <c r="Q214" i="6" l="1"/>
  <c r="I214" i="6"/>
  <c r="J214" i="6" s="1"/>
  <c r="E212" i="7"/>
  <c r="S214" i="6" l="1"/>
  <c r="K214" i="6"/>
  <c r="L214" i="6" l="1"/>
  <c r="AD212" i="7" l="1"/>
  <c r="AE212" i="7" s="1"/>
  <c r="Z213" i="7" s="1"/>
  <c r="V212" i="7"/>
  <c r="W212" i="7" s="1"/>
  <c r="R213" i="7" s="1"/>
  <c r="F212" i="7"/>
  <c r="N212" i="7"/>
  <c r="O212" i="7" s="1"/>
  <c r="J213" i="7" s="1"/>
  <c r="K213" i="7" l="1"/>
  <c r="AY212" i="7"/>
  <c r="M214" i="6" s="1"/>
  <c r="N214" i="6" s="1"/>
  <c r="O214" i="6" s="1"/>
  <c r="G212" i="7"/>
  <c r="S213" i="7"/>
  <c r="T213" i="7" s="1"/>
  <c r="AA213" i="7"/>
  <c r="AB213" i="7" s="1"/>
  <c r="AC213" i="7" s="1"/>
  <c r="U213" i="7" l="1"/>
  <c r="B213" i="7"/>
  <c r="AZ212" i="7"/>
  <c r="P214" i="6" s="1"/>
  <c r="T214" i="6" s="1"/>
  <c r="L213" i="7"/>
  <c r="M213" i="7" s="1"/>
  <c r="C213" i="7" l="1"/>
  <c r="BA213" i="7" s="1"/>
  <c r="D213" i="7" l="1"/>
  <c r="AX213" i="7" s="1"/>
  <c r="E215" i="6" s="1"/>
  <c r="F215" i="6" s="1"/>
  <c r="Q215" i="6" s="1"/>
  <c r="E213" i="7" l="1"/>
  <c r="I215" i="6"/>
  <c r="J215" i="6" s="1"/>
  <c r="S215" i="6" s="1"/>
  <c r="K215" i="6" l="1"/>
  <c r="L215" i="6" s="1"/>
  <c r="AD213" i="7" l="1"/>
  <c r="AE213" i="7" s="1"/>
  <c r="Z214" i="7" s="1"/>
  <c r="N213" i="7"/>
  <c r="O213" i="7" s="1"/>
  <c r="J214" i="7" s="1"/>
  <c r="V213" i="7"/>
  <c r="W213" i="7" s="1"/>
  <c r="R214" i="7" s="1"/>
  <c r="F213" i="7"/>
  <c r="S214" i="7" l="1"/>
  <c r="T214" i="7" s="1"/>
  <c r="AY213" i="7"/>
  <c r="M215" i="6" s="1"/>
  <c r="N215" i="6" s="1"/>
  <c r="O215" i="6" s="1"/>
  <c r="G213" i="7"/>
  <c r="AA214" i="7"/>
  <c r="K214" i="7"/>
  <c r="L214" i="7" s="1"/>
  <c r="M214" i="7" l="1"/>
  <c r="U214" i="7"/>
  <c r="AB214" i="7"/>
  <c r="AC214" i="7" s="1"/>
  <c r="B214" i="7"/>
  <c r="AZ213" i="7"/>
  <c r="P215" i="6" s="1"/>
  <c r="T215" i="6" s="1"/>
  <c r="C214" i="7" l="1"/>
  <c r="BA214" i="7" s="1"/>
  <c r="D214" i="7" l="1"/>
  <c r="AX214" i="7" s="1"/>
  <c r="E216" i="6" s="1"/>
  <c r="F216" i="6" s="1"/>
  <c r="E214" i="7" l="1"/>
  <c r="I216" i="6"/>
  <c r="J216" i="6" s="1"/>
  <c r="Q216" i="6"/>
  <c r="K216" i="6" l="1"/>
  <c r="S216" i="6"/>
  <c r="L216" i="6" l="1"/>
  <c r="AD214" i="7" l="1"/>
  <c r="AE214" i="7" s="1"/>
  <c r="Z215" i="7" s="1"/>
  <c r="V214" i="7"/>
  <c r="W214" i="7" s="1"/>
  <c r="R215" i="7" s="1"/>
  <c r="F214" i="7"/>
  <c r="N214" i="7"/>
  <c r="O214" i="7" s="1"/>
  <c r="J215" i="7" s="1"/>
  <c r="AY214" i="7" l="1"/>
  <c r="M216" i="6" s="1"/>
  <c r="N216" i="6" s="1"/>
  <c r="O216" i="6" s="1"/>
  <c r="G214" i="7"/>
  <c r="K215" i="7"/>
  <c r="L215" i="7" s="1"/>
  <c r="AA215" i="7"/>
  <c r="S215" i="7"/>
  <c r="M215" i="7" l="1"/>
  <c r="AB215" i="7"/>
  <c r="AC215" i="7" s="1"/>
  <c r="B215" i="7"/>
  <c r="AZ214" i="7"/>
  <c r="P216" i="6" s="1"/>
  <c r="T216" i="6" s="1"/>
  <c r="T215" i="7"/>
  <c r="U215" i="7" s="1"/>
  <c r="C215" i="7" l="1"/>
  <c r="BA215" i="7" s="1"/>
  <c r="D215" i="7" l="1"/>
  <c r="AX215" i="7" s="1"/>
  <c r="E217" i="6" s="1"/>
  <c r="F217" i="6" s="1"/>
  <c r="E215" i="7" l="1"/>
  <c r="I217" i="6"/>
  <c r="J217" i="6" s="1"/>
  <c r="Q217" i="6"/>
  <c r="S217" i="6" l="1"/>
  <c r="K217" i="6"/>
  <c r="L217" i="6" l="1"/>
  <c r="AD215" i="7" l="1"/>
  <c r="AE215" i="7" s="1"/>
  <c r="Z216" i="7" s="1"/>
  <c r="N215" i="7"/>
  <c r="O215" i="7" s="1"/>
  <c r="J216" i="7" s="1"/>
  <c r="V215" i="7"/>
  <c r="W215" i="7" s="1"/>
  <c r="R216" i="7" s="1"/>
  <c r="F215" i="7"/>
  <c r="S216" i="7" l="1"/>
  <c r="T216" i="7" s="1"/>
  <c r="U216" i="7" s="1"/>
  <c r="K216" i="7"/>
  <c r="AY215" i="7"/>
  <c r="M217" i="6" s="1"/>
  <c r="N217" i="6" s="1"/>
  <c r="O217" i="6" s="1"/>
  <c r="G215" i="7"/>
  <c r="AA216" i="7"/>
  <c r="AB216" i="7" s="1"/>
  <c r="AC216" i="7" s="1"/>
  <c r="B216" i="7" l="1"/>
  <c r="AZ215" i="7"/>
  <c r="P217" i="6" s="1"/>
  <c r="T217" i="6" s="1"/>
  <c r="L216" i="7"/>
  <c r="M216" i="7" s="1"/>
  <c r="C216" i="7" l="1"/>
  <c r="BA216" i="7" s="1"/>
  <c r="D216" i="7" l="1"/>
  <c r="AX216" i="7" s="1"/>
  <c r="E218" i="6" s="1"/>
  <c r="F218" i="6" s="1"/>
  <c r="Q218" i="6" l="1"/>
  <c r="I218" i="6"/>
  <c r="J218" i="6" s="1"/>
  <c r="E216" i="7"/>
  <c r="S218" i="6" l="1"/>
  <c r="K218" i="6"/>
  <c r="L218" i="6" l="1"/>
  <c r="AD216" i="7" l="1"/>
  <c r="AE216" i="7" s="1"/>
  <c r="Z217" i="7" s="1"/>
  <c r="N216" i="7"/>
  <c r="O216" i="7" s="1"/>
  <c r="J217" i="7" s="1"/>
  <c r="V216" i="7"/>
  <c r="W216" i="7" s="1"/>
  <c r="R217" i="7" s="1"/>
  <c r="F216" i="7"/>
  <c r="S217" i="7" l="1"/>
  <c r="T217" i="7" s="1"/>
  <c r="K217" i="7"/>
  <c r="L217" i="7" s="1"/>
  <c r="AY216" i="7"/>
  <c r="M218" i="6" s="1"/>
  <c r="N218" i="6" s="1"/>
  <c r="O218" i="6" s="1"/>
  <c r="G216" i="7"/>
  <c r="AA217" i="7"/>
  <c r="AB217" i="7" s="1"/>
  <c r="AC217" i="7" l="1"/>
  <c r="M217" i="7"/>
  <c r="AZ216" i="7"/>
  <c r="P218" i="6" s="1"/>
  <c r="T218" i="6" s="1"/>
  <c r="B217" i="7"/>
  <c r="U217" i="7"/>
  <c r="C217" i="7" l="1"/>
  <c r="BA217" i="7" s="1"/>
  <c r="D217" i="7" l="1"/>
  <c r="AX217" i="7" s="1"/>
  <c r="E219" i="6" s="1"/>
  <c r="F219" i="6" s="1"/>
  <c r="E217" i="7" l="1"/>
  <c r="I219" i="6"/>
  <c r="J219" i="6" s="1"/>
  <c r="Q219" i="6"/>
  <c r="K219" i="6" l="1"/>
  <c r="S219" i="6"/>
  <c r="L219" i="6" l="1"/>
  <c r="AD217" i="7" l="1"/>
  <c r="AE217" i="7" s="1"/>
  <c r="Z218" i="7" s="1"/>
  <c r="N217" i="7"/>
  <c r="O217" i="7" s="1"/>
  <c r="J218" i="7" s="1"/>
  <c r="F217" i="7"/>
  <c r="V217" i="7"/>
  <c r="W217" i="7" s="1"/>
  <c r="R218" i="7" s="1"/>
  <c r="S218" i="7" l="1"/>
  <c r="T218" i="7" s="1"/>
  <c r="U218" i="7" s="1"/>
  <c r="AY217" i="7"/>
  <c r="M219" i="6" s="1"/>
  <c r="N219" i="6" s="1"/>
  <c r="O219" i="6" s="1"/>
  <c r="G217" i="7"/>
  <c r="AA218" i="7"/>
  <c r="K218" i="7"/>
  <c r="L218" i="7" s="1"/>
  <c r="M218" i="7" s="1"/>
  <c r="AB218" i="7" l="1"/>
  <c r="AC218" i="7" s="1"/>
  <c r="B218" i="7"/>
  <c r="AZ217" i="7"/>
  <c r="P219" i="6" s="1"/>
  <c r="T219" i="6" s="1"/>
  <c r="C218" i="7" l="1"/>
  <c r="BA218" i="7" s="1"/>
  <c r="D218" i="7" l="1"/>
  <c r="AX218" i="7" s="1"/>
  <c r="E220" i="6" s="1"/>
  <c r="F220" i="6" s="1"/>
  <c r="E218" i="7" l="1"/>
  <c r="I220" i="6"/>
  <c r="J220" i="6" s="1"/>
  <c r="Q220" i="6"/>
  <c r="S220" i="6" l="1"/>
  <c r="K220" i="6"/>
  <c r="L220" i="6" l="1"/>
  <c r="AD218" i="7" l="1"/>
  <c r="AE218" i="7" s="1"/>
  <c r="Z219" i="7" s="1"/>
  <c r="N218" i="7"/>
  <c r="O218" i="7" s="1"/>
  <c r="J219" i="7" s="1"/>
  <c r="V218" i="7"/>
  <c r="W218" i="7" s="1"/>
  <c r="R219" i="7" s="1"/>
  <c r="F218" i="7"/>
  <c r="AY218" i="7" l="1"/>
  <c r="M220" i="6" s="1"/>
  <c r="N220" i="6" s="1"/>
  <c r="O220" i="6" s="1"/>
  <c r="G218" i="7"/>
  <c r="S219" i="7"/>
  <c r="K219" i="7"/>
  <c r="AA219" i="7"/>
  <c r="AB219" i="7" l="1"/>
  <c r="AC219" i="7" s="1"/>
  <c r="L219" i="7"/>
  <c r="M219" i="7" s="1"/>
  <c r="T219" i="7"/>
  <c r="U219" i="7" s="1"/>
  <c r="B219" i="7"/>
  <c r="AZ218" i="7"/>
  <c r="P220" i="6" s="1"/>
  <c r="T220" i="6" s="1"/>
  <c r="C219" i="7" l="1"/>
  <c r="BA219" i="7" s="1"/>
  <c r="D219" i="7" l="1"/>
  <c r="AX219" i="7" s="1"/>
  <c r="E221" i="6" s="1"/>
  <c r="F221" i="6" s="1"/>
  <c r="E219" i="7" l="1"/>
  <c r="Q221" i="6"/>
  <c r="I221" i="6"/>
  <c r="J221" i="6" s="1"/>
  <c r="S221" i="6" l="1"/>
  <c r="K221" i="6"/>
  <c r="L221" i="6" l="1"/>
  <c r="AD219" i="7" l="1"/>
  <c r="AE219" i="7" s="1"/>
  <c r="Z220" i="7" s="1"/>
  <c r="F219" i="7"/>
  <c r="V219" i="7"/>
  <c r="W219" i="7" s="1"/>
  <c r="R220" i="7" s="1"/>
  <c r="N219" i="7"/>
  <c r="O219" i="7" s="1"/>
  <c r="J220" i="7" s="1"/>
  <c r="K220" i="7" l="1"/>
  <c r="L220" i="7" s="1"/>
  <c r="S220" i="7"/>
  <c r="T220" i="7" s="1"/>
  <c r="AY219" i="7"/>
  <c r="M221" i="6" s="1"/>
  <c r="N221" i="6" s="1"/>
  <c r="O221" i="6" s="1"/>
  <c r="G219" i="7"/>
  <c r="AA220" i="7"/>
  <c r="AB220" i="7" s="1"/>
  <c r="AZ219" i="7" l="1"/>
  <c r="P221" i="6" s="1"/>
  <c r="T221" i="6" s="1"/>
  <c r="B220" i="7"/>
  <c r="U220" i="7"/>
  <c r="AC220" i="7"/>
  <c r="M220" i="7"/>
  <c r="C220" i="7" l="1"/>
  <c r="BA220" i="7" s="1"/>
  <c r="D220" i="7" l="1"/>
  <c r="AX220" i="7" s="1"/>
  <c r="E222" i="6" s="1"/>
  <c r="F222" i="6" s="1"/>
  <c r="E220" i="7" l="1"/>
  <c r="I222" i="6"/>
  <c r="J222" i="6" s="1"/>
  <c r="Q222" i="6"/>
  <c r="S222" i="6" l="1"/>
  <c r="K222" i="6"/>
  <c r="L222" i="6" l="1"/>
  <c r="AD220" i="7" l="1"/>
  <c r="AE220" i="7" s="1"/>
  <c r="Z221" i="7" s="1"/>
  <c r="V220" i="7"/>
  <c r="W220" i="7" s="1"/>
  <c r="R221" i="7" s="1"/>
  <c r="N220" i="7"/>
  <c r="O220" i="7" s="1"/>
  <c r="J221" i="7" s="1"/>
  <c r="F220" i="7"/>
  <c r="K221" i="7" l="1"/>
  <c r="L221" i="7" s="1"/>
  <c r="S221" i="7"/>
  <c r="AY220" i="7"/>
  <c r="M222" i="6" s="1"/>
  <c r="N222" i="6" s="1"/>
  <c r="O222" i="6" s="1"/>
  <c r="G220" i="7"/>
  <c r="AA221" i="7"/>
  <c r="AB221" i="7" s="1"/>
  <c r="M221" i="7" l="1"/>
  <c r="AC221" i="7"/>
  <c r="AZ220" i="7"/>
  <c r="P222" i="6" s="1"/>
  <c r="T222" i="6" s="1"/>
  <c r="B221" i="7"/>
  <c r="T221" i="7"/>
  <c r="U221" i="7" s="1"/>
  <c r="C221" i="7" l="1"/>
  <c r="BA221" i="7" s="1"/>
  <c r="D221" i="7" l="1"/>
  <c r="AX221" i="7" s="1"/>
  <c r="E223" i="6" s="1"/>
  <c r="F223" i="6" s="1"/>
  <c r="I223" i="6" s="1"/>
  <c r="J223" i="6" s="1"/>
  <c r="E221" i="7" l="1"/>
  <c r="Q223" i="6"/>
  <c r="S223" i="6"/>
  <c r="K223" i="6"/>
  <c r="L223" i="6" l="1"/>
  <c r="AD221" i="7" l="1"/>
  <c r="AE221" i="7" s="1"/>
  <c r="Z222" i="7" s="1"/>
  <c r="V221" i="7"/>
  <c r="W221" i="7" s="1"/>
  <c r="R222" i="7" s="1"/>
  <c r="F221" i="7"/>
  <c r="N221" i="7"/>
  <c r="O221" i="7" s="1"/>
  <c r="J222" i="7" s="1"/>
  <c r="K222" i="7" l="1"/>
  <c r="L222" i="7" s="1"/>
  <c r="AY221" i="7"/>
  <c r="M223" i="6" s="1"/>
  <c r="N223" i="6" s="1"/>
  <c r="O223" i="6" s="1"/>
  <c r="G221" i="7"/>
  <c r="S222" i="7"/>
  <c r="AA222" i="7"/>
  <c r="M222" i="7" l="1"/>
  <c r="T222" i="7"/>
  <c r="U222" i="7" s="1"/>
  <c r="AB222" i="7"/>
  <c r="AC222" i="7" s="1"/>
  <c r="B222" i="7"/>
  <c r="AZ221" i="7"/>
  <c r="P223" i="6" s="1"/>
  <c r="T223" i="6" s="1"/>
  <c r="C222" i="7" l="1"/>
  <c r="BA222" i="7" s="1"/>
  <c r="D222" i="7" l="1"/>
  <c r="AX222" i="7" s="1"/>
  <c r="E224" i="6" s="1"/>
  <c r="F224" i="6" s="1"/>
  <c r="E222" i="7" l="1"/>
  <c r="Q224" i="6"/>
  <c r="I224" i="6"/>
  <c r="J224" i="6" s="1"/>
  <c r="S224" i="6" l="1"/>
  <c r="K224" i="6"/>
  <c r="L224" i="6" l="1"/>
  <c r="AD222" i="7" l="1"/>
  <c r="AE222" i="7" s="1"/>
  <c r="Z223" i="7" s="1"/>
  <c r="F222" i="7"/>
  <c r="N222" i="7"/>
  <c r="O222" i="7" s="1"/>
  <c r="J223" i="7" s="1"/>
  <c r="V222" i="7"/>
  <c r="W222" i="7" s="1"/>
  <c r="R223" i="7" s="1"/>
  <c r="K223" i="7" l="1"/>
  <c r="L223" i="7" s="1"/>
  <c r="S223" i="7"/>
  <c r="AY222" i="7"/>
  <c r="M224" i="6" s="1"/>
  <c r="N224" i="6" s="1"/>
  <c r="O224" i="6" s="1"/>
  <c r="G222" i="7"/>
  <c r="AA223" i="7"/>
  <c r="AB223" i="7" s="1"/>
  <c r="M223" i="7" l="1"/>
  <c r="AC223" i="7"/>
  <c r="AZ222" i="7"/>
  <c r="P224" i="6" s="1"/>
  <c r="T224" i="6" s="1"/>
  <c r="B223" i="7"/>
  <c r="T223" i="7"/>
  <c r="U223" i="7" s="1"/>
  <c r="C223" i="7" l="1"/>
  <c r="BA223" i="7" s="1"/>
  <c r="D223" i="7" l="1"/>
  <c r="AX223" i="7" l="1"/>
  <c r="E225" i="6" s="1"/>
  <c r="F225" i="6" s="1"/>
  <c r="E223" i="7"/>
  <c r="Q225" i="6" l="1"/>
  <c r="I225" i="6"/>
  <c r="J225" i="6" s="1"/>
  <c r="S225" i="6" l="1"/>
  <c r="K225" i="6"/>
  <c r="L225" i="6" l="1"/>
  <c r="AD223" i="7" l="1"/>
  <c r="AE223" i="7" s="1"/>
  <c r="Z224" i="7" s="1"/>
  <c r="F223" i="7"/>
  <c r="N223" i="7"/>
  <c r="O223" i="7" s="1"/>
  <c r="J224" i="7" s="1"/>
  <c r="V223" i="7"/>
  <c r="W223" i="7" s="1"/>
  <c r="R224" i="7" s="1"/>
  <c r="S224" i="7" l="1"/>
  <c r="K224" i="7"/>
  <c r="L224" i="7" s="1"/>
  <c r="AA224" i="7"/>
  <c r="AB224" i="7" s="1"/>
  <c r="AY223" i="7"/>
  <c r="M225" i="6" s="1"/>
  <c r="N225" i="6" s="1"/>
  <c r="O225" i="6" s="1"/>
  <c r="G223" i="7"/>
  <c r="B224" i="7" l="1"/>
  <c r="AZ223" i="7"/>
  <c r="P225" i="6" s="1"/>
  <c r="T225" i="6" s="1"/>
  <c r="M224" i="7"/>
  <c r="T224" i="7"/>
  <c r="U224" i="7" s="1"/>
  <c r="AC224" i="7"/>
  <c r="C224" i="7" l="1"/>
  <c r="BA224" i="7" s="1"/>
  <c r="D224" i="7" l="1"/>
  <c r="AX224" i="7" s="1"/>
  <c r="E226" i="6" s="1"/>
  <c r="F226" i="6" s="1"/>
  <c r="E224" i="7" l="1"/>
  <c r="I226" i="6"/>
  <c r="J226" i="6" s="1"/>
  <c r="Q226" i="6"/>
  <c r="K226" i="6" l="1"/>
  <c r="L226" i="6" s="1"/>
  <c r="S226" i="6"/>
  <c r="AD224" i="7" l="1"/>
  <c r="AE224" i="7" s="1"/>
  <c r="Z225" i="7" s="1"/>
  <c r="V224" i="7"/>
  <c r="W224" i="7" s="1"/>
  <c r="R225" i="7" s="1"/>
  <c r="N224" i="7"/>
  <c r="O224" i="7" s="1"/>
  <c r="J225" i="7" s="1"/>
  <c r="F224" i="7"/>
  <c r="AY224" i="7" l="1"/>
  <c r="M226" i="6" s="1"/>
  <c r="N226" i="6" s="1"/>
  <c r="O226" i="6" s="1"/>
  <c r="G224" i="7"/>
  <c r="K225" i="7"/>
  <c r="L225" i="7" s="1"/>
  <c r="AA225" i="7"/>
  <c r="AB225" i="7" s="1"/>
  <c r="S225" i="7"/>
  <c r="AC225" i="7" l="1"/>
  <c r="M225" i="7"/>
  <c r="B225" i="7"/>
  <c r="AZ224" i="7"/>
  <c r="P226" i="6" s="1"/>
  <c r="T226" i="6" s="1"/>
  <c r="T225" i="7"/>
  <c r="U225" i="7" s="1"/>
  <c r="C225" i="7" l="1"/>
  <c r="BA225" i="7" s="1"/>
  <c r="D225" i="7" l="1"/>
  <c r="AX225" i="7" s="1"/>
  <c r="E227" i="6" s="1"/>
  <c r="F227" i="6" s="1"/>
  <c r="Q227" i="6" l="1"/>
  <c r="I227" i="6"/>
  <c r="J227" i="6" s="1"/>
  <c r="E225" i="7"/>
  <c r="K227" i="6" l="1"/>
  <c r="S227" i="6"/>
  <c r="L227" i="6" l="1"/>
  <c r="AD225" i="7" l="1"/>
  <c r="AE225" i="7" s="1"/>
  <c r="Z226" i="7" s="1"/>
  <c r="V225" i="7"/>
  <c r="W225" i="7" s="1"/>
  <c r="R226" i="7" s="1"/>
  <c r="N225" i="7"/>
  <c r="O225" i="7" s="1"/>
  <c r="J226" i="7" s="1"/>
  <c r="F225" i="7"/>
  <c r="AY225" i="7" l="1"/>
  <c r="M227" i="6" s="1"/>
  <c r="N227" i="6" s="1"/>
  <c r="O227" i="6" s="1"/>
  <c r="G225" i="7"/>
  <c r="K226" i="7"/>
  <c r="S226" i="7"/>
  <c r="T226" i="7" s="1"/>
  <c r="U226" i="7" s="1"/>
  <c r="AA226" i="7"/>
  <c r="AB226" i="7" s="1"/>
  <c r="AC226" i="7" s="1"/>
  <c r="L226" i="7" l="1"/>
  <c r="M226" i="7" s="1"/>
  <c r="B226" i="7"/>
  <c r="AZ225" i="7"/>
  <c r="P227" i="6" s="1"/>
  <c r="T227" i="6" s="1"/>
  <c r="C226" i="7" l="1"/>
  <c r="BA226" i="7" s="1"/>
  <c r="D226" i="7" l="1"/>
  <c r="AX226" i="7" s="1"/>
  <c r="E228" i="6" s="1"/>
  <c r="F228" i="6" s="1"/>
  <c r="I228" i="6" s="1"/>
  <c r="J228" i="6" s="1"/>
  <c r="Q228" i="6" l="1"/>
  <c r="E226" i="7"/>
  <c r="K228" i="6"/>
  <c r="L228" i="6" s="1"/>
  <c r="S228" i="6"/>
  <c r="AD226" i="7" l="1"/>
  <c r="AE226" i="7" s="1"/>
  <c r="Z227" i="7" s="1"/>
  <c r="V226" i="7"/>
  <c r="W226" i="7" s="1"/>
  <c r="R227" i="7" s="1"/>
  <c r="F226" i="7"/>
  <c r="N226" i="7"/>
  <c r="O226" i="7" s="1"/>
  <c r="J227" i="7" s="1"/>
  <c r="K227" i="7" l="1"/>
  <c r="L227" i="7" s="1"/>
  <c r="AY226" i="7"/>
  <c r="M228" i="6" s="1"/>
  <c r="N228" i="6" s="1"/>
  <c r="O228" i="6" s="1"/>
  <c r="G226" i="7"/>
  <c r="AA227" i="7"/>
  <c r="AB227" i="7" s="1"/>
  <c r="S227" i="7"/>
  <c r="M227" i="7" l="1"/>
  <c r="B227" i="7"/>
  <c r="AZ226" i="7"/>
  <c r="P228" i="6" s="1"/>
  <c r="T228" i="6" s="1"/>
  <c r="T227" i="7"/>
  <c r="U227" i="7" s="1"/>
  <c r="AC227" i="7"/>
  <c r="C227" i="7" l="1"/>
  <c r="BA227" i="7" s="1"/>
  <c r="D227" i="7" l="1"/>
  <c r="AX227" i="7" s="1"/>
  <c r="E229" i="6" s="1"/>
  <c r="F229" i="6" s="1"/>
  <c r="E227" i="7" l="1"/>
  <c r="I229" i="6"/>
  <c r="J229" i="6" s="1"/>
  <c r="Q229" i="6"/>
  <c r="K229" i="6" l="1"/>
  <c r="S229" i="6"/>
  <c r="L229" i="6" l="1"/>
  <c r="AD227" i="7" l="1"/>
  <c r="AE227" i="7" s="1"/>
  <c r="Z228" i="7" s="1"/>
  <c r="F227" i="7"/>
  <c r="N227" i="7"/>
  <c r="O227" i="7" s="1"/>
  <c r="J228" i="7" s="1"/>
  <c r="V227" i="7"/>
  <c r="W227" i="7" s="1"/>
  <c r="R228" i="7" s="1"/>
  <c r="K228" i="7" l="1"/>
  <c r="AY227" i="7"/>
  <c r="M229" i="6" s="1"/>
  <c r="N229" i="6" s="1"/>
  <c r="O229" i="6" s="1"/>
  <c r="G227" i="7"/>
  <c r="S228" i="7"/>
  <c r="T228" i="7" s="1"/>
  <c r="U228" i="7" s="1"/>
  <c r="AA228" i="7"/>
  <c r="AB228" i="7" l="1"/>
  <c r="AC228" i="7" s="1"/>
  <c r="B228" i="7"/>
  <c r="AZ227" i="7"/>
  <c r="P229" i="6" s="1"/>
  <c r="T229" i="6" s="1"/>
  <c r="L228" i="7"/>
  <c r="M228" i="7" s="1"/>
  <c r="C228" i="7" l="1"/>
  <c r="BA228" i="7" s="1"/>
  <c r="D228" i="7" l="1"/>
  <c r="AX228" i="7" s="1"/>
  <c r="E230" i="6" s="1"/>
  <c r="F230" i="6" s="1"/>
  <c r="Q230" i="6" s="1"/>
  <c r="E228" i="7" l="1"/>
  <c r="I230" i="6"/>
  <c r="J230" i="6" s="1"/>
  <c r="S230" i="6" s="1"/>
  <c r="K230" i="6" l="1"/>
  <c r="L230" i="6" s="1"/>
  <c r="AD228" i="7" s="1"/>
  <c r="AE228" i="7" s="1"/>
  <c r="Z229" i="7" s="1"/>
  <c r="F228" i="7" l="1"/>
  <c r="G228" i="7" s="1"/>
  <c r="V228" i="7"/>
  <c r="W228" i="7" s="1"/>
  <c r="R229" i="7" s="1"/>
  <c r="S229" i="7" s="1"/>
  <c r="T229" i="7" s="1"/>
  <c r="U229" i="7" s="1"/>
  <c r="N228" i="7"/>
  <c r="O228" i="7" s="1"/>
  <c r="J229" i="7" s="1"/>
  <c r="K229" i="7" s="1"/>
  <c r="L229" i="7" s="1"/>
  <c r="AA229" i="7"/>
  <c r="AB229" i="7" s="1"/>
  <c r="AY228" i="7" l="1"/>
  <c r="M230" i="6" s="1"/>
  <c r="N230" i="6" s="1"/>
  <c r="O230" i="6" s="1"/>
  <c r="M229" i="7"/>
  <c r="AC229" i="7"/>
  <c r="AZ228" i="7"/>
  <c r="P230" i="6" s="1"/>
  <c r="T230" i="6" s="1"/>
  <c r="B229" i="7"/>
  <c r="C229" i="7" l="1"/>
  <c r="BA229" i="7" s="1"/>
  <c r="D229" i="7" l="1"/>
  <c r="AX229" i="7" s="1"/>
  <c r="E231" i="6" s="1"/>
  <c r="F231" i="6" s="1"/>
  <c r="Q231" i="6" l="1"/>
  <c r="I231" i="6"/>
  <c r="J231" i="6" s="1"/>
  <c r="E229" i="7"/>
  <c r="K231" i="6" l="1"/>
  <c r="S231" i="6"/>
  <c r="L231" i="6" l="1"/>
  <c r="AD229" i="7" l="1"/>
  <c r="AE229" i="7" s="1"/>
  <c r="Z230" i="7" s="1"/>
  <c r="V229" i="7"/>
  <c r="W229" i="7" s="1"/>
  <c r="R230" i="7" s="1"/>
  <c r="F229" i="7"/>
  <c r="N229" i="7"/>
  <c r="O229" i="7" s="1"/>
  <c r="J230" i="7" s="1"/>
  <c r="K230" i="7" l="1"/>
  <c r="L230" i="7" s="1"/>
  <c r="AY229" i="7"/>
  <c r="M231" i="6" s="1"/>
  <c r="N231" i="6" s="1"/>
  <c r="O231" i="6" s="1"/>
  <c r="G229" i="7"/>
  <c r="S230" i="7"/>
  <c r="T230" i="7" s="1"/>
  <c r="U230" i="7" s="1"/>
  <c r="AA230" i="7"/>
  <c r="AB230" i="7" s="1"/>
  <c r="AC230" i="7" l="1"/>
  <c r="AZ229" i="7"/>
  <c r="P231" i="6" s="1"/>
  <c r="T231" i="6" s="1"/>
  <c r="B230" i="7"/>
  <c r="M230" i="7"/>
  <c r="C230" i="7" l="1"/>
  <c r="BA230" i="7" s="1"/>
  <c r="D230" i="7" l="1"/>
  <c r="AX230" i="7" s="1"/>
  <c r="E232" i="6" s="1"/>
  <c r="F232" i="6" s="1"/>
  <c r="E230" i="7" l="1"/>
  <c r="I232" i="6"/>
  <c r="J232" i="6" s="1"/>
  <c r="Q232" i="6"/>
  <c r="K232" i="6" l="1"/>
  <c r="S232" i="6"/>
  <c r="L232" i="6" l="1"/>
  <c r="AD230" i="7" l="1"/>
  <c r="AE230" i="7" s="1"/>
  <c r="Z231" i="7" s="1"/>
  <c r="F230" i="7"/>
  <c r="V230" i="7"/>
  <c r="W230" i="7" s="1"/>
  <c r="R231" i="7" s="1"/>
  <c r="N230" i="7"/>
  <c r="O230" i="7" s="1"/>
  <c r="J231" i="7" s="1"/>
  <c r="S231" i="7" l="1"/>
  <c r="T231" i="7" s="1"/>
  <c r="K231" i="7"/>
  <c r="AY230" i="7"/>
  <c r="M232" i="6" s="1"/>
  <c r="N232" i="6" s="1"/>
  <c r="O232" i="6" s="1"/>
  <c r="G230" i="7"/>
  <c r="AA231" i="7"/>
  <c r="AB231" i="7" s="1"/>
  <c r="AC231" i="7" s="1"/>
  <c r="B231" i="7" l="1"/>
  <c r="AZ230" i="7"/>
  <c r="P232" i="6" s="1"/>
  <c r="T232" i="6" s="1"/>
  <c r="U231" i="7"/>
  <c r="L231" i="7"/>
  <c r="M231" i="7" s="1"/>
  <c r="C231" i="7" l="1"/>
  <c r="BA231" i="7" s="1"/>
  <c r="D231" i="7" l="1"/>
  <c r="AX231" i="7" s="1"/>
  <c r="E233" i="6" s="1"/>
  <c r="F233" i="6" s="1"/>
  <c r="E231" i="7" l="1"/>
  <c r="I233" i="6"/>
  <c r="J233" i="6" s="1"/>
  <c r="Q233" i="6"/>
  <c r="K233" i="6" l="1"/>
  <c r="L233" i="6" s="1"/>
  <c r="S233" i="6"/>
  <c r="AD231" i="7" l="1"/>
  <c r="AE231" i="7" s="1"/>
  <c r="Z232" i="7" s="1"/>
  <c r="F231" i="7"/>
  <c r="N231" i="7"/>
  <c r="O231" i="7" s="1"/>
  <c r="J232" i="7" s="1"/>
  <c r="V231" i="7"/>
  <c r="W231" i="7" s="1"/>
  <c r="R232" i="7" s="1"/>
  <c r="K232" i="7" l="1"/>
  <c r="S232" i="7"/>
  <c r="AA232" i="7"/>
  <c r="AY231" i="7"/>
  <c r="M233" i="6" s="1"/>
  <c r="N233" i="6" s="1"/>
  <c r="O233" i="6" s="1"/>
  <c r="G231" i="7"/>
  <c r="B232" i="7" l="1"/>
  <c r="AZ231" i="7"/>
  <c r="P233" i="6" s="1"/>
  <c r="T233" i="6" s="1"/>
  <c r="AB232" i="7"/>
  <c r="AC232" i="7" s="1"/>
  <c r="T232" i="7"/>
  <c r="U232" i="7" s="1"/>
  <c r="L232" i="7"/>
  <c r="M232" i="7" s="1"/>
  <c r="C232" i="7" l="1"/>
  <c r="BA232" i="7" s="1"/>
  <c r="D232" i="7" l="1"/>
  <c r="AX232" i="7" s="1"/>
  <c r="E234" i="6" s="1"/>
  <c r="F234" i="6" s="1"/>
  <c r="E232" i="7" l="1"/>
  <c r="Q234" i="6"/>
  <c r="I234" i="6"/>
  <c r="J234" i="6" s="1"/>
  <c r="K234" i="6" l="1"/>
  <c r="S234" i="6"/>
  <c r="L234" i="6" l="1"/>
  <c r="AD232" i="7" l="1"/>
  <c r="AE232" i="7" s="1"/>
  <c r="Z233" i="7" s="1"/>
  <c r="F232" i="7"/>
  <c r="N232" i="7"/>
  <c r="O232" i="7" s="1"/>
  <c r="J233" i="7" s="1"/>
  <c r="V232" i="7"/>
  <c r="W232" i="7" s="1"/>
  <c r="R233" i="7" s="1"/>
  <c r="S233" i="7" l="1"/>
  <c r="K233" i="7"/>
  <c r="AA233" i="7"/>
  <c r="AB233" i="7" s="1"/>
  <c r="AC233" i="7" s="1"/>
  <c r="AY232" i="7"/>
  <c r="M234" i="6" s="1"/>
  <c r="N234" i="6" s="1"/>
  <c r="O234" i="6" s="1"/>
  <c r="G232" i="7"/>
  <c r="B233" i="7" l="1"/>
  <c r="AZ232" i="7"/>
  <c r="P234" i="6" s="1"/>
  <c r="T234" i="6" s="1"/>
  <c r="L233" i="7"/>
  <c r="M233" i="7" s="1"/>
  <c r="T233" i="7"/>
  <c r="U233" i="7" s="1"/>
  <c r="C233" i="7" l="1"/>
  <c r="BA233" i="7" s="1"/>
  <c r="D233" i="7" l="1"/>
  <c r="AX233" i="7" s="1"/>
  <c r="E235" i="6" s="1"/>
  <c r="F235" i="6" s="1"/>
  <c r="I235" i="6" l="1"/>
  <c r="J235" i="6" s="1"/>
  <c r="Q235" i="6"/>
  <c r="E233" i="7"/>
  <c r="S235" i="6" l="1"/>
  <c r="K235" i="6"/>
  <c r="L235" i="6" l="1"/>
  <c r="AD233" i="7" l="1"/>
  <c r="AE233" i="7" s="1"/>
  <c r="Z234" i="7" s="1"/>
  <c r="F233" i="7"/>
  <c r="N233" i="7"/>
  <c r="O233" i="7" s="1"/>
  <c r="J234" i="7" s="1"/>
  <c r="V233" i="7"/>
  <c r="W233" i="7" s="1"/>
  <c r="R234" i="7" s="1"/>
  <c r="K234" i="7" l="1"/>
  <c r="L234" i="7" s="1"/>
  <c r="M234" i="7" s="1"/>
  <c r="AY233" i="7"/>
  <c r="M235" i="6" s="1"/>
  <c r="N235" i="6" s="1"/>
  <c r="O235" i="6" s="1"/>
  <c r="G233" i="7"/>
  <c r="S234" i="7"/>
  <c r="T234" i="7" s="1"/>
  <c r="AA234" i="7"/>
  <c r="AB234" i="7" s="1"/>
  <c r="AC234" i="7" l="1"/>
  <c r="U234" i="7"/>
  <c r="B234" i="7"/>
  <c r="AZ233" i="7"/>
  <c r="P235" i="6" s="1"/>
  <c r="T235" i="6" s="1"/>
  <c r="C234" i="7" l="1"/>
  <c r="BA234" i="7" s="1"/>
  <c r="D234" i="7" l="1"/>
  <c r="AX234" i="7" s="1"/>
  <c r="E236" i="6" s="1"/>
  <c r="F236" i="6" s="1"/>
  <c r="E234" i="7" l="1"/>
  <c r="I236" i="6"/>
  <c r="J236" i="6" s="1"/>
  <c r="Q236" i="6"/>
  <c r="K236" i="6" l="1"/>
  <c r="L236" i="6" s="1"/>
  <c r="S236" i="6"/>
  <c r="AD234" i="7" l="1"/>
  <c r="AE234" i="7" s="1"/>
  <c r="Z235" i="7" s="1"/>
  <c r="V234" i="7"/>
  <c r="W234" i="7" s="1"/>
  <c r="R235" i="7" s="1"/>
  <c r="F234" i="7"/>
  <c r="N234" i="7"/>
  <c r="O234" i="7" s="1"/>
  <c r="J235" i="7" s="1"/>
  <c r="K235" i="7" l="1"/>
  <c r="L235" i="7" s="1"/>
  <c r="M235" i="7" s="1"/>
  <c r="AY234" i="7"/>
  <c r="M236" i="6" s="1"/>
  <c r="N236" i="6" s="1"/>
  <c r="O236" i="6" s="1"/>
  <c r="G234" i="7"/>
  <c r="S235" i="7"/>
  <c r="T235" i="7" s="1"/>
  <c r="AA235" i="7"/>
  <c r="AB235" i="7" s="1"/>
  <c r="AC235" i="7" s="1"/>
  <c r="U235" i="7" l="1"/>
  <c r="B235" i="7"/>
  <c r="AZ234" i="7"/>
  <c r="P236" i="6" s="1"/>
  <c r="T236" i="6" s="1"/>
  <c r="C235" i="7" l="1"/>
  <c r="BA235" i="7" s="1"/>
  <c r="D235" i="7" l="1"/>
  <c r="AX235" i="7" s="1"/>
  <c r="E237" i="6" s="1"/>
  <c r="F237" i="6" s="1"/>
  <c r="E235" i="7" l="1"/>
  <c r="Q237" i="6"/>
  <c r="I237" i="6"/>
  <c r="J237" i="6" s="1"/>
  <c r="S237" i="6" l="1"/>
  <c r="K237" i="6"/>
  <c r="L237" i="6" l="1"/>
  <c r="AD235" i="7" l="1"/>
  <c r="AE235" i="7" s="1"/>
  <c r="Z236" i="7" s="1"/>
  <c r="N235" i="7"/>
  <c r="O235" i="7" s="1"/>
  <c r="J236" i="7" s="1"/>
  <c r="V235" i="7"/>
  <c r="W235" i="7" s="1"/>
  <c r="R236" i="7" s="1"/>
  <c r="F235" i="7"/>
  <c r="S236" i="7" l="1"/>
  <c r="T236" i="7" s="1"/>
  <c r="K236" i="7"/>
  <c r="L236" i="7" s="1"/>
  <c r="M236" i="7" s="1"/>
  <c r="AY235" i="7"/>
  <c r="M237" i="6" s="1"/>
  <c r="N237" i="6" s="1"/>
  <c r="O237" i="6" s="1"/>
  <c r="G235" i="7"/>
  <c r="AA236" i="7"/>
  <c r="U236" i="7" l="1"/>
  <c r="B236" i="7"/>
  <c r="AZ235" i="7"/>
  <c r="P237" i="6" s="1"/>
  <c r="T237" i="6" s="1"/>
  <c r="AB236" i="7"/>
  <c r="AC236" i="7" s="1"/>
  <c r="C236" i="7" l="1"/>
  <c r="BA236" i="7" s="1"/>
  <c r="D236" i="7" l="1"/>
  <c r="AX236" i="7" s="1"/>
  <c r="E238" i="6" s="1"/>
  <c r="F238" i="6" s="1"/>
  <c r="E236" i="7" l="1"/>
  <c r="Q238" i="6"/>
  <c r="I238" i="6"/>
  <c r="J238" i="6" s="1"/>
  <c r="S238" i="6" l="1"/>
  <c r="K238" i="6"/>
  <c r="L238" i="6" l="1"/>
  <c r="AD236" i="7" l="1"/>
  <c r="AE236" i="7" s="1"/>
  <c r="Z237" i="7" s="1"/>
  <c r="V236" i="7"/>
  <c r="W236" i="7" s="1"/>
  <c r="R237" i="7" s="1"/>
  <c r="F236" i="7"/>
  <c r="N236" i="7"/>
  <c r="O236" i="7" s="1"/>
  <c r="J237" i="7" s="1"/>
  <c r="AY236" i="7" l="1"/>
  <c r="M238" i="6" s="1"/>
  <c r="N238" i="6" s="1"/>
  <c r="O238" i="6" s="1"/>
  <c r="G236" i="7"/>
  <c r="K237" i="7"/>
  <c r="L237" i="7" s="1"/>
  <c r="M237" i="7" s="1"/>
  <c r="S237" i="7"/>
  <c r="AA237" i="7"/>
  <c r="AB237" i="7" s="1"/>
  <c r="AC237" i="7" s="1"/>
  <c r="T237" i="7" l="1"/>
  <c r="U237" i="7" s="1"/>
  <c r="B237" i="7"/>
  <c r="AZ236" i="7"/>
  <c r="P238" i="6" s="1"/>
  <c r="T238" i="6" s="1"/>
  <c r="C237" i="7" l="1"/>
  <c r="BA237" i="7" s="1"/>
  <c r="D237" i="7" l="1"/>
  <c r="AX237" i="7" s="1"/>
  <c r="E239" i="6" s="1"/>
  <c r="F239" i="6" s="1"/>
  <c r="E237" i="7" l="1"/>
  <c r="I239" i="6"/>
  <c r="J239" i="6" s="1"/>
  <c r="Q239" i="6"/>
  <c r="S239" i="6" l="1"/>
  <c r="K239" i="6"/>
  <c r="L239" i="6" l="1"/>
  <c r="AD237" i="7" l="1"/>
  <c r="AE237" i="7" s="1"/>
  <c r="Z238" i="7" s="1"/>
  <c r="V237" i="7"/>
  <c r="W237" i="7" s="1"/>
  <c r="R238" i="7" s="1"/>
  <c r="F237" i="7"/>
  <c r="N237" i="7"/>
  <c r="O237" i="7" s="1"/>
  <c r="J238" i="7" s="1"/>
  <c r="K238" i="7" l="1"/>
  <c r="AY237" i="7"/>
  <c r="M239" i="6" s="1"/>
  <c r="N239" i="6" s="1"/>
  <c r="O239" i="6" s="1"/>
  <c r="G237" i="7"/>
  <c r="S238" i="7"/>
  <c r="T238" i="7" s="1"/>
  <c r="U238" i="7" s="1"/>
  <c r="AA238" i="7"/>
  <c r="AB238" i="7" l="1"/>
  <c r="AC238" i="7" s="1"/>
  <c r="B238" i="7"/>
  <c r="AZ237" i="7"/>
  <c r="P239" i="6" s="1"/>
  <c r="T239" i="6" s="1"/>
  <c r="L238" i="7"/>
  <c r="M238" i="7" s="1"/>
  <c r="C238" i="7" l="1"/>
  <c r="BA238" i="7" s="1"/>
  <c r="D238" i="7" l="1"/>
  <c r="AX238" i="7" s="1"/>
  <c r="E240" i="6" s="1"/>
  <c r="F240" i="6" s="1"/>
  <c r="Q240" i="6" s="1"/>
  <c r="E238" i="7" l="1"/>
  <c r="I240" i="6"/>
  <c r="J240" i="6" s="1"/>
  <c r="S240" i="6" s="1"/>
  <c r="K240" i="6" l="1"/>
  <c r="L240" i="6" s="1"/>
  <c r="AD238" i="7" l="1"/>
  <c r="AE238" i="7" s="1"/>
  <c r="Z239" i="7" s="1"/>
  <c r="F238" i="7"/>
  <c r="N238" i="7"/>
  <c r="O238" i="7" s="1"/>
  <c r="J239" i="7" s="1"/>
  <c r="V238" i="7"/>
  <c r="W238" i="7" s="1"/>
  <c r="R239" i="7" s="1"/>
  <c r="K239" i="7" l="1"/>
  <c r="AY238" i="7"/>
  <c r="M240" i="6" s="1"/>
  <c r="N240" i="6" s="1"/>
  <c r="O240" i="6" s="1"/>
  <c r="G238" i="7"/>
  <c r="S239" i="7"/>
  <c r="AA239" i="7"/>
  <c r="AB239" i="7" l="1"/>
  <c r="AC239" i="7" s="1"/>
  <c r="T239" i="7"/>
  <c r="U239" i="7" s="1"/>
  <c r="B239" i="7"/>
  <c r="AZ238" i="7"/>
  <c r="P240" i="6" s="1"/>
  <c r="T240" i="6" s="1"/>
  <c r="L239" i="7"/>
  <c r="M239" i="7" s="1"/>
  <c r="C239" i="7" l="1"/>
  <c r="BA239" i="7" s="1"/>
  <c r="D239" i="7" l="1"/>
  <c r="AX239" i="7" s="1"/>
  <c r="E241" i="6" s="1"/>
  <c r="F241" i="6" s="1"/>
  <c r="Q241" i="6" l="1"/>
  <c r="I241" i="6"/>
  <c r="J241" i="6" s="1"/>
  <c r="E239" i="7"/>
  <c r="K241" i="6" l="1"/>
  <c r="S241" i="6"/>
  <c r="L241" i="6" l="1"/>
  <c r="AD239" i="7" l="1"/>
  <c r="AE239" i="7" s="1"/>
  <c r="Z240" i="7" s="1"/>
  <c r="N239" i="7"/>
  <c r="O239" i="7" s="1"/>
  <c r="J240" i="7" s="1"/>
  <c r="V239" i="7"/>
  <c r="W239" i="7" s="1"/>
  <c r="R240" i="7" s="1"/>
  <c r="F239" i="7"/>
  <c r="S240" i="7" l="1"/>
  <c r="T240" i="7" s="1"/>
  <c r="U240" i="7" s="1"/>
  <c r="K240" i="7"/>
  <c r="AY239" i="7"/>
  <c r="M241" i="6" s="1"/>
  <c r="N241" i="6" s="1"/>
  <c r="O241" i="6" s="1"/>
  <c r="G239" i="7"/>
  <c r="AA240" i="7"/>
  <c r="AB240" i="7" s="1"/>
  <c r="AC240" i="7" l="1"/>
  <c r="AZ239" i="7"/>
  <c r="P241" i="6" s="1"/>
  <c r="T241" i="6" s="1"/>
  <c r="B240" i="7"/>
  <c r="L240" i="7"/>
  <c r="M240" i="7" s="1"/>
  <c r="C240" i="7" l="1"/>
  <c r="BA240" i="7" s="1"/>
  <c r="D240" i="7" l="1"/>
  <c r="AX240" i="7" s="1"/>
  <c r="E242" i="6" s="1"/>
  <c r="F242" i="6" s="1"/>
  <c r="E240" i="7" l="1"/>
  <c r="I242" i="6"/>
  <c r="J242" i="6" s="1"/>
  <c r="Q242" i="6"/>
  <c r="S242" i="6" l="1"/>
  <c r="K242" i="6"/>
  <c r="L242" i="6" l="1"/>
  <c r="AD240" i="7" l="1"/>
  <c r="AE240" i="7" s="1"/>
  <c r="Z241" i="7" s="1"/>
  <c r="V240" i="7"/>
  <c r="W240" i="7" s="1"/>
  <c r="R241" i="7" s="1"/>
  <c r="F240" i="7"/>
  <c r="N240" i="7"/>
  <c r="O240" i="7" s="1"/>
  <c r="J241" i="7" s="1"/>
  <c r="AY240" i="7" l="1"/>
  <c r="M242" i="6" s="1"/>
  <c r="N242" i="6" s="1"/>
  <c r="O242" i="6" s="1"/>
  <c r="G240" i="7"/>
  <c r="S241" i="7"/>
  <c r="T241" i="7" s="1"/>
  <c r="K241" i="7"/>
  <c r="AA241" i="7"/>
  <c r="AB241" i="7" s="1"/>
  <c r="AC241" i="7" s="1"/>
  <c r="B241" i="7" l="1"/>
  <c r="AZ240" i="7"/>
  <c r="P242" i="6" s="1"/>
  <c r="T242" i="6" s="1"/>
  <c r="L241" i="7"/>
  <c r="M241" i="7" s="1"/>
  <c r="U241" i="7"/>
  <c r="C241" i="7" l="1"/>
  <c r="BA241" i="7" s="1"/>
  <c r="D241" i="7" l="1"/>
  <c r="AX241" i="7" l="1"/>
  <c r="E243" i="6" s="1"/>
  <c r="F243" i="6" s="1"/>
  <c r="E241" i="7"/>
  <c r="Q243" i="6" l="1"/>
  <c r="I243" i="6"/>
  <c r="J243" i="6" s="1"/>
  <c r="K243" i="6" l="1"/>
  <c r="S243" i="6"/>
  <c r="L243" i="6" l="1"/>
  <c r="AD241" i="7" l="1"/>
  <c r="AE241" i="7" s="1"/>
  <c r="Z242" i="7" s="1"/>
  <c r="V241" i="7"/>
  <c r="W241" i="7" s="1"/>
  <c r="R242" i="7" s="1"/>
  <c r="F241" i="7"/>
  <c r="N241" i="7"/>
  <c r="O241" i="7" s="1"/>
  <c r="J242" i="7" s="1"/>
  <c r="K242" i="7" l="1"/>
  <c r="L242" i="7" s="1"/>
  <c r="AY241" i="7"/>
  <c r="M243" i="6" s="1"/>
  <c r="N243" i="6" s="1"/>
  <c r="O243" i="6" s="1"/>
  <c r="G241" i="7"/>
  <c r="AA242" i="7"/>
  <c r="AB242" i="7" s="1"/>
  <c r="S242" i="7"/>
  <c r="T242" i="7" s="1"/>
  <c r="U242" i="7" l="1"/>
  <c r="AC242" i="7"/>
  <c r="AZ241" i="7"/>
  <c r="P243" i="6" s="1"/>
  <c r="T243" i="6" s="1"/>
  <c r="B242" i="7"/>
  <c r="M242" i="7"/>
  <c r="C242" i="7" l="1"/>
  <c r="BA242" i="7" s="1"/>
  <c r="D242" i="7" l="1"/>
  <c r="AX242" i="7" s="1"/>
  <c r="E244" i="6" s="1"/>
  <c r="F244" i="6" s="1"/>
  <c r="E242" i="7" l="1"/>
  <c r="Q244" i="6"/>
  <c r="I244" i="6"/>
  <c r="J244" i="6" s="1"/>
  <c r="S244" i="6" l="1"/>
  <c r="K244" i="6"/>
  <c r="L244" i="6" l="1"/>
  <c r="AD242" i="7" l="1"/>
  <c r="AE242" i="7" s="1"/>
  <c r="Z243" i="7" s="1"/>
  <c r="V242" i="7"/>
  <c r="W242" i="7" s="1"/>
  <c r="R243" i="7" s="1"/>
  <c r="F242" i="7"/>
  <c r="N242" i="7"/>
  <c r="O242" i="7" s="1"/>
  <c r="J243" i="7" s="1"/>
  <c r="K243" i="7" l="1"/>
  <c r="L243" i="7" s="1"/>
  <c r="AY242" i="7"/>
  <c r="M244" i="6" s="1"/>
  <c r="N244" i="6" s="1"/>
  <c r="O244" i="6" s="1"/>
  <c r="G242" i="7"/>
  <c r="AA243" i="7"/>
  <c r="S243" i="7"/>
  <c r="T243" i="7" s="1"/>
  <c r="M243" i="7" l="1"/>
  <c r="U243" i="7"/>
  <c r="AZ242" i="7"/>
  <c r="P244" i="6" s="1"/>
  <c r="T244" i="6" s="1"/>
  <c r="B243" i="7"/>
  <c r="AB243" i="7"/>
  <c r="AC243" i="7" s="1"/>
  <c r="C243" i="7" l="1"/>
  <c r="BA243" i="7" s="1"/>
  <c r="D243" i="7" l="1"/>
  <c r="AX243" i="7" s="1"/>
  <c r="E245" i="6" s="1"/>
  <c r="F245" i="6" s="1"/>
  <c r="I245" i="6" l="1"/>
  <c r="J245" i="6" s="1"/>
  <c r="Q245" i="6"/>
  <c r="E243" i="7"/>
  <c r="S245" i="6" l="1"/>
  <c r="K245" i="6"/>
  <c r="L245" i="6" l="1"/>
  <c r="AD243" i="7" l="1"/>
  <c r="AE243" i="7" s="1"/>
  <c r="Z244" i="7" s="1"/>
  <c r="F243" i="7"/>
  <c r="V243" i="7"/>
  <c r="W243" i="7" s="1"/>
  <c r="R244" i="7" s="1"/>
  <c r="N243" i="7"/>
  <c r="O243" i="7" s="1"/>
  <c r="J244" i="7" s="1"/>
  <c r="S244" i="7" l="1"/>
  <c r="K244" i="7"/>
  <c r="AY243" i="7"/>
  <c r="M245" i="6" s="1"/>
  <c r="N245" i="6" s="1"/>
  <c r="O245" i="6" s="1"/>
  <c r="G243" i="7"/>
  <c r="AA244" i="7"/>
  <c r="AB244" i="7" l="1"/>
  <c r="AC244" i="7" s="1"/>
  <c r="B244" i="7"/>
  <c r="AZ243" i="7"/>
  <c r="P245" i="6" s="1"/>
  <c r="T245" i="6" s="1"/>
  <c r="L244" i="7"/>
  <c r="M244" i="7" s="1"/>
  <c r="T244" i="7"/>
  <c r="U244" i="7" s="1"/>
  <c r="C244" i="7" l="1"/>
  <c r="BA244" i="7" s="1"/>
  <c r="D244" i="7" l="1"/>
  <c r="AX244" i="7" s="1"/>
  <c r="E246" i="6" s="1"/>
  <c r="F246" i="6" s="1"/>
  <c r="E244" i="7" l="1"/>
  <c r="I246" i="6"/>
  <c r="J246" i="6" s="1"/>
  <c r="Q246" i="6"/>
  <c r="K246" i="6" l="1"/>
  <c r="S246" i="6"/>
  <c r="L246" i="6" l="1"/>
  <c r="AD244" i="7" l="1"/>
  <c r="AE244" i="7" s="1"/>
  <c r="Z245" i="7" s="1"/>
  <c r="N244" i="7"/>
  <c r="O244" i="7" s="1"/>
  <c r="J245" i="7" s="1"/>
  <c r="F244" i="7"/>
  <c r="V244" i="7"/>
  <c r="W244" i="7" s="1"/>
  <c r="R245" i="7" s="1"/>
  <c r="AY244" i="7" l="1"/>
  <c r="M246" i="6" s="1"/>
  <c r="N246" i="6" s="1"/>
  <c r="O246" i="6" s="1"/>
  <c r="G244" i="7"/>
  <c r="S245" i="7"/>
  <c r="T245" i="7" s="1"/>
  <c r="AA245" i="7"/>
  <c r="K245" i="7"/>
  <c r="L245" i="7" l="1"/>
  <c r="M245" i="7" s="1"/>
  <c r="AB245" i="7"/>
  <c r="AC245" i="7" s="1"/>
  <c r="U245" i="7"/>
  <c r="AZ244" i="7"/>
  <c r="P246" i="6" s="1"/>
  <c r="T246" i="6" s="1"/>
  <c r="B245" i="7"/>
  <c r="C245" i="7" l="1"/>
  <c r="BA245" i="7" s="1"/>
  <c r="D245" i="7" l="1"/>
  <c r="AX245" i="7" s="1"/>
  <c r="E247" i="6" s="1"/>
  <c r="F247" i="6" s="1"/>
  <c r="Q247" i="6" l="1"/>
  <c r="I247" i="6"/>
  <c r="J247" i="6" s="1"/>
  <c r="E245" i="7"/>
  <c r="K247" i="6" l="1"/>
  <c r="S247" i="6"/>
  <c r="L247" i="6" l="1"/>
  <c r="AD245" i="7" l="1"/>
  <c r="AE245" i="7" s="1"/>
  <c r="Z246" i="7" s="1"/>
  <c r="N245" i="7"/>
  <c r="O245" i="7" s="1"/>
  <c r="J246" i="7" s="1"/>
  <c r="F245" i="7"/>
  <c r="V245" i="7"/>
  <c r="W245" i="7" s="1"/>
  <c r="R246" i="7" s="1"/>
  <c r="S246" i="7" l="1"/>
  <c r="AY245" i="7"/>
  <c r="M247" i="6" s="1"/>
  <c r="N247" i="6" s="1"/>
  <c r="O247" i="6" s="1"/>
  <c r="G245" i="7"/>
  <c r="K246" i="7"/>
  <c r="L246" i="7" s="1"/>
  <c r="M246" i="7" s="1"/>
  <c r="AA246" i="7"/>
  <c r="AB246" i="7" s="1"/>
  <c r="AC246" i="7" l="1"/>
  <c r="T246" i="7"/>
  <c r="U246" i="7" s="1"/>
  <c r="AZ245" i="7"/>
  <c r="P247" i="6" s="1"/>
  <c r="T247" i="6" s="1"/>
  <c r="B246" i="7"/>
  <c r="C246" i="7" l="1"/>
  <c r="BA246" i="7" s="1"/>
  <c r="D246" i="7" l="1"/>
  <c r="AX246" i="7" s="1"/>
  <c r="E248" i="6" s="1"/>
  <c r="F248" i="6" s="1"/>
  <c r="E246" i="7" l="1"/>
  <c r="I248" i="6"/>
  <c r="J248" i="6" s="1"/>
  <c r="Q248" i="6"/>
  <c r="K248" i="6" l="1"/>
  <c r="S248" i="6"/>
  <c r="L248" i="6" l="1"/>
  <c r="AD246" i="7" l="1"/>
  <c r="AE246" i="7" s="1"/>
  <c r="Z247" i="7" s="1"/>
  <c r="V246" i="7"/>
  <c r="W246" i="7" s="1"/>
  <c r="R247" i="7" s="1"/>
  <c r="F246" i="7"/>
  <c r="N246" i="7"/>
  <c r="O246" i="7" s="1"/>
  <c r="J247" i="7" s="1"/>
  <c r="AY246" i="7" l="1"/>
  <c r="M248" i="6" s="1"/>
  <c r="N248" i="6" s="1"/>
  <c r="O248" i="6" s="1"/>
  <c r="G246" i="7"/>
  <c r="K247" i="7"/>
  <c r="L247" i="7" s="1"/>
  <c r="M247" i="7" s="1"/>
  <c r="AA247" i="7"/>
  <c r="S247" i="7"/>
  <c r="T247" i="7" s="1"/>
  <c r="U247" i="7" l="1"/>
  <c r="AB247" i="7"/>
  <c r="AC247" i="7" s="1"/>
  <c r="B247" i="7"/>
  <c r="AZ246" i="7"/>
  <c r="P248" i="6" s="1"/>
  <c r="T248" i="6" s="1"/>
  <c r="C247" i="7" l="1"/>
  <c r="BA247" i="7" s="1"/>
  <c r="D247" i="7" l="1"/>
  <c r="AX247" i="7" s="1"/>
  <c r="E249" i="6" s="1"/>
  <c r="F249" i="6" s="1"/>
  <c r="Q249" i="6" s="1"/>
  <c r="I249" i="6" l="1"/>
  <c r="J249" i="6" s="1"/>
  <c r="S249" i="6" s="1"/>
  <c r="E247" i="7"/>
  <c r="K249" i="6" l="1"/>
  <c r="L249" i="6" s="1"/>
  <c r="AD247" i="7" s="1"/>
  <c r="AE247" i="7" s="1"/>
  <c r="Z248" i="7" s="1"/>
  <c r="N247" i="7" l="1"/>
  <c r="O247" i="7" s="1"/>
  <c r="J248" i="7" s="1"/>
  <c r="K248" i="7" s="1"/>
  <c r="L248" i="7" s="1"/>
  <c r="V247" i="7"/>
  <c r="W247" i="7" s="1"/>
  <c r="R248" i="7" s="1"/>
  <c r="S248" i="7" s="1"/>
  <c r="F247" i="7"/>
  <c r="AA248" i="7"/>
  <c r="AY247" i="7" l="1"/>
  <c r="M249" i="6" s="1"/>
  <c r="N249" i="6" s="1"/>
  <c r="O249" i="6" s="1"/>
  <c r="G247" i="7"/>
  <c r="AZ247" i="7" s="1"/>
  <c r="P249" i="6" s="1"/>
  <c r="T249" i="6" s="1"/>
  <c r="M248" i="7"/>
  <c r="AB248" i="7"/>
  <c r="AC248" i="7" s="1"/>
  <c r="T248" i="7"/>
  <c r="U248" i="7" s="1"/>
  <c r="B248" i="7" l="1"/>
  <c r="C248" i="7" s="1"/>
  <c r="BA248" i="7" s="1"/>
  <c r="D248" i="7" l="1"/>
  <c r="AX248" i="7" s="1"/>
  <c r="E250" i="6" s="1"/>
  <c r="F250" i="6" s="1"/>
  <c r="E248" i="7" l="1"/>
  <c r="Q250" i="6"/>
  <c r="I250" i="6"/>
  <c r="J250" i="6" s="1"/>
  <c r="K250" i="6" l="1"/>
  <c r="S250" i="6"/>
  <c r="L250" i="6" l="1"/>
  <c r="AD248" i="7" l="1"/>
  <c r="AE248" i="7" s="1"/>
  <c r="Z249" i="7" s="1"/>
  <c r="N248" i="7"/>
  <c r="O248" i="7" s="1"/>
  <c r="J249" i="7" s="1"/>
  <c r="F248" i="7"/>
  <c r="V248" i="7"/>
  <c r="W248" i="7" s="1"/>
  <c r="R249" i="7" s="1"/>
  <c r="S249" i="7" l="1"/>
  <c r="AY248" i="7"/>
  <c r="M250" i="6" s="1"/>
  <c r="N250" i="6" s="1"/>
  <c r="O250" i="6" s="1"/>
  <c r="G248" i="7"/>
  <c r="AA249" i="7"/>
  <c r="AB249" i="7" s="1"/>
  <c r="AC249" i="7" s="1"/>
  <c r="K249" i="7"/>
  <c r="L249" i="7" s="1"/>
  <c r="M249" i="7" s="1"/>
  <c r="B249" i="7" l="1"/>
  <c r="AZ248" i="7"/>
  <c r="P250" i="6" s="1"/>
  <c r="T250" i="6" s="1"/>
  <c r="T249" i="7"/>
  <c r="U249" i="7" s="1"/>
  <c r="C249" i="7" l="1"/>
  <c r="BA249" i="7" s="1"/>
  <c r="D249" i="7" l="1"/>
  <c r="AX249" i="7" s="1"/>
  <c r="E251" i="6" s="1"/>
  <c r="F251" i="6" s="1"/>
  <c r="E249" i="7" l="1"/>
  <c r="I251" i="6"/>
  <c r="J251" i="6" s="1"/>
  <c r="Q251" i="6"/>
  <c r="K251" i="6" l="1"/>
  <c r="S251" i="6"/>
  <c r="L251" i="6" l="1"/>
  <c r="AD249" i="7" l="1"/>
  <c r="AE249" i="7" s="1"/>
  <c r="Z250" i="7" s="1"/>
  <c r="V249" i="7"/>
  <c r="W249" i="7" s="1"/>
  <c r="R250" i="7" s="1"/>
  <c r="N249" i="7"/>
  <c r="O249" i="7" s="1"/>
  <c r="J250" i="7" s="1"/>
  <c r="F249" i="7"/>
  <c r="AY249" i="7" l="1"/>
  <c r="M251" i="6" s="1"/>
  <c r="N251" i="6" s="1"/>
  <c r="O251" i="6" s="1"/>
  <c r="G249" i="7"/>
  <c r="K250" i="7"/>
  <c r="L250" i="7" s="1"/>
  <c r="M250" i="7" s="1"/>
  <c r="S250" i="7"/>
  <c r="AA250" i="7"/>
  <c r="AB250" i="7" s="1"/>
  <c r="AC250" i="7" l="1"/>
  <c r="T250" i="7"/>
  <c r="U250" i="7" s="1"/>
  <c r="B250" i="7"/>
  <c r="AZ249" i="7"/>
  <c r="P251" i="6" s="1"/>
  <c r="T251" i="6" s="1"/>
  <c r="C250" i="7" l="1"/>
  <c r="BA250" i="7" s="1"/>
  <c r="D250" i="7" l="1"/>
  <c r="AX250" i="7" s="1"/>
  <c r="E252" i="6" s="1"/>
  <c r="F252" i="6" s="1"/>
  <c r="E250" i="7" l="1"/>
  <c r="I252" i="6"/>
  <c r="J252" i="6" s="1"/>
  <c r="Q252" i="6"/>
  <c r="S252" i="6" l="1"/>
  <c r="K252" i="6"/>
  <c r="L252" i="6" l="1"/>
  <c r="AD250" i="7" l="1"/>
  <c r="AE250" i="7" s="1"/>
  <c r="Z251" i="7" s="1"/>
  <c r="F250" i="7"/>
  <c r="N250" i="7"/>
  <c r="O250" i="7" s="1"/>
  <c r="J251" i="7" s="1"/>
  <c r="V250" i="7"/>
  <c r="W250" i="7" s="1"/>
  <c r="R251" i="7" s="1"/>
  <c r="S251" i="7" l="1"/>
  <c r="K251" i="7"/>
  <c r="L251" i="7" s="1"/>
  <c r="AA251" i="7"/>
  <c r="AB251" i="7" s="1"/>
  <c r="AY250" i="7"/>
  <c r="M252" i="6" s="1"/>
  <c r="N252" i="6" s="1"/>
  <c r="O252" i="6" s="1"/>
  <c r="G250" i="7"/>
  <c r="AC251" i="7" l="1"/>
  <c r="M251" i="7"/>
  <c r="B251" i="7"/>
  <c r="AZ250" i="7"/>
  <c r="P252" i="6" s="1"/>
  <c r="T252" i="6" s="1"/>
  <c r="T251" i="7"/>
  <c r="U251" i="7" s="1"/>
  <c r="C251" i="7" l="1"/>
  <c r="BA251" i="7" s="1"/>
  <c r="D251" i="7" l="1"/>
  <c r="AX251" i="7" s="1"/>
  <c r="E253" i="6" s="1"/>
  <c r="F253" i="6" s="1"/>
  <c r="Q253" i="6" l="1"/>
  <c r="I253" i="6"/>
  <c r="J253" i="6" s="1"/>
  <c r="E251" i="7"/>
  <c r="K253" i="6" l="1"/>
  <c r="L253" i="6" s="1"/>
  <c r="S253" i="6"/>
  <c r="AD251" i="7" l="1"/>
  <c r="AE251" i="7" s="1"/>
  <c r="Z252" i="7" s="1"/>
  <c r="V251" i="7"/>
  <c r="W251" i="7" s="1"/>
  <c r="R252" i="7" s="1"/>
  <c r="F251" i="7"/>
  <c r="N251" i="7"/>
  <c r="O251" i="7" s="1"/>
  <c r="J252" i="7" s="1"/>
  <c r="K252" i="7" l="1"/>
  <c r="AY251" i="7"/>
  <c r="M253" i="6" s="1"/>
  <c r="N253" i="6" s="1"/>
  <c r="O253" i="6" s="1"/>
  <c r="G251" i="7"/>
  <c r="AA252" i="7"/>
  <c r="AB252" i="7" s="1"/>
  <c r="S252" i="7"/>
  <c r="T252" i="7" s="1"/>
  <c r="U252" i="7" s="1"/>
  <c r="AC252" i="7" l="1"/>
  <c r="L252" i="7"/>
  <c r="M252" i="7" s="1"/>
  <c r="B252" i="7"/>
  <c r="AZ251" i="7"/>
  <c r="P253" i="6" s="1"/>
  <c r="T253" i="6" s="1"/>
  <c r="C252" i="7" l="1"/>
  <c r="BA252" i="7" s="1"/>
  <c r="D252" i="7" l="1"/>
  <c r="AX252" i="7" s="1"/>
  <c r="E254" i="6" s="1"/>
  <c r="F254" i="6" s="1"/>
  <c r="E252" i="7" l="1"/>
  <c r="Q254" i="6"/>
  <c r="I254" i="6"/>
  <c r="J254" i="6" s="1"/>
  <c r="S254" i="6" l="1"/>
  <c r="K254" i="6"/>
  <c r="L254" i="6" l="1"/>
  <c r="AD252" i="7" l="1"/>
  <c r="AE252" i="7" s="1"/>
  <c r="Z253" i="7" s="1"/>
  <c r="V252" i="7"/>
  <c r="W252" i="7" s="1"/>
  <c r="R253" i="7" s="1"/>
  <c r="F252" i="7"/>
  <c r="N252" i="7"/>
  <c r="O252" i="7" s="1"/>
  <c r="J253" i="7" s="1"/>
  <c r="AY252" i="7" l="1"/>
  <c r="M254" i="6" s="1"/>
  <c r="N254" i="6" s="1"/>
  <c r="O254" i="6" s="1"/>
  <c r="G252" i="7"/>
  <c r="S253" i="7"/>
  <c r="K253" i="7"/>
  <c r="AA253" i="7"/>
  <c r="AB253" i="7" s="1"/>
  <c r="AC253" i="7" l="1"/>
  <c r="L253" i="7"/>
  <c r="M253" i="7" s="1"/>
  <c r="T253" i="7"/>
  <c r="U253" i="7" s="1"/>
  <c r="AZ252" i="7"/>
  <c r="P254" i="6" s="1"/>
  <c r="T254" i="6" s="1"/>
  <c r="B253" i="7"/>
  <c r="C253" i="7" l="1"/>
  <c r="BA253" i="7" s="1"/>
  <c r="D253" i="7" l="1"/>
  <c r="AX253" i="7" s="1"/>
  <c r="E255" i="6" s="1"/>
  <c r="F255" i="6" s="1"/>
  <c r="E253" i="7" l="1"/>
  <c r="I255" i="6"/>
  <c r="J255" i="6" s="1"/>
  <c r="Q255" i="6"/>
  <c r="K255" i="6" l="1"/>
  <c r="S255" i="6"/>
  <c r="L255" i="6" l="1"/>
  <c r="AD253" i="7" l="1"/>
  <c r="AE253" i="7" s="1"/>
  <c r="Z254" i="7" s="1"/>
  <c r="N253" i="7"/>
  <c r="O253" i="7" s="1"/>
  <c r="J254" i="7" s="1"/>
  <c r="V253" i="7"/>
  <c r="W253" i="7" s="1"/>
  <c r="R254" i="7" s="1"/>
  <c r="F253" i="7"/>
  <c r="AY253" i="7" l="1"/>
  <c r="M255" i="6" s="1"/>
  <c r="N255" i="6" s="1"/>
  <c r="O255" i="6" s="1"/>
  <c r="G253" i="7"/>
  <c r="S254" i="7"/>
  <c r="AA254" i="7"/>
  <c r="K254" i="7"/>
  <c r="AB254" i="7" l="1"/>
  <c r="AC254" i="7" s="1"/>
  <c r="T254" i="7"/>
  <c r="U254" i="7" s="1"/>
  <c r="B254" i="7"/>
  <c r="AZ253" i="7"/>
  <c r="P255" i="6" s="1"/>
  <c r="T255" i="6" s="1"/>
  <c r="L254" i="7"/>
  <c r="M254" i="7" s="1"/>
  <c r="C254" i="7" l="1"/>
  <c r="BA254" i="7" s="1"/>
  <c r="D254" i="7" l="1"/>
  <c r="AX254" i="7" s="1"/>
  <c r="E256" i="6" s="1"/>
  <c r="F256" i="6" s="1"/>
  <c r="Q256" i="6" l="1"/>
  <c r="I256" i="6"/>
  <c r="J256" i="6" s="1"/>
  <c r="E254" i="7"/>
  <c r="S256" i="6" l="1"/>
  <c r="K256" i="6"/>
  <c r="L256" i="6" l="1"/>
  <c r="AD254" i="7" l="1"/>
  <c r="AE254" i="7" s="1"/>
  <c r="Z255" i="7" s="1"/>
  <c r="F254" i="7"/>
  <c r="N254" i="7"/>
  <c r="O254" i="7" s="1"/>
  <c r="J255" i="7" s="1"/>
  <c r="V254" i="7"/>
  <c r="W254" i="7" s="1"/>
  <c r="R255" i="7" s="1"/>
  <c r="AY254" i="7" l="1"/>
  <c r="M256" i="6" s="1"/>
  <c r="N256" i="6" s="1"/>
  <c r="O256" i="6" s="1"/>
  <c r="G254" i="7"/>
  <c r="S255" i="7"/>
  <c r="T255" i="7" s="1"/>
  <c r="U255" i="7" s="1"/>
  <c r="AA255" i="7"/>
  <c r="K255" i="7"/>
  <c r="L255" i="7" s="1"/>
  <c r="AB255" i="7" l="1"/>
  <c r="AC255" i="7" s="1"/>
  <c r="M255" i="7"/>
  <c r="B255" i="7"/>
  <c r="AZ254" i="7"/>
  <c r="P256" i="6" s="1"/>
  <c r="T256" i="6" s="1"/>
  <c r="C255" i="7" l="1"/>
  <c r="BA255" i="7" s="1"/>
  <c r="D255" i="7" l="1"/>
  <c r="AX255" i="7" s="1"/>
  <c r="E257" i="6" s="1"/>
  <c r="F257" i="6" s="1"/>
  <c r="Q257" i="6" s="1"/>
  <c r="I257" i="6" l="1"/>
  <c r="J257" i="6" s="1"/>
  <c r="S257" i="6" s="1"/>
  <c r="E255" i="7"/>
  <c r="K257" i="6" l="1"/>
  <c r="L257" i="6" s="1"/>
  <c r="AD255" i="7" l="1"/>
  <c r="AE255" i="7" s="1"/>
  <c r="Z256" i="7" s="1"/>
  <c r="N255" i="7"/>
  <c r="O255" i="7" s="1"/>
  <c r="J256" i="7" s="1"/>
  <c r="V255" i="7"/>
  <c r="W255" i="7" s="1"/>
  <c r="R256" i="7" s="1"/>
  <c r="F255" i="7"/>
  <c r="S256" i="7" l="1"/>
  <c r="AY255" i="7"/>
  <c r="M257" i="6" s="1"/>
  <c r="N257" i="6" s="1"/>
  <c r="O257" i="6" s="1"/>
  <c r="G255" i="7"/>
  <c r="K256" i="7"/>
  <c r="L256" i="7" s="1"/>
  <c r="AA256" i="7"/>
  <c r="AB256" i="7" s="1"/>
  <c r="AC256" i="7" s="1"/>
  <c r="M256" i="7" l="1"/>
  <c r="AZ255" i="7"/>
  <c r="P257" i="6" s="1"/>
  <c r="T257" i="6" s="1"/>
  <c r="B256" i="7"/>
  <c r="T256" i="7"/>
  <c r="U256" i="7" s="1"/>
  <c r="C256" i="7" l="1"/>
  <c r="BA256" i="7" s="1"/>
  <c r="D256" i="7" l="1"/>
  <c r="AX256" i="7" s="1"/>
  <c r="E258" i="6" s="1"/>
  <c r="F258" i="6" s="1"/>
  <c r="E256" i="7" l="1"/>
  <c r="I258" i="6"/>
  <c r="J258" i="6" s="1"/>
  <c r="Q258" i="6"/>
  <c r="K258" i="6" l="1"/>
  <c r="S258" i="6"/>
  <c r="L258" i="6" l="1"/>
  <c r="AD256" i="7" l="1"/>
  <c r="AE256" i="7" s="1"/>
  <c r="Z257" i="7" s="1"/>
  <c r="V256" i="7"/>
  <c r="W256" i="7" s="1"/>
  <c r="R257" i="7" s="1"/>
  <c r="F256" i="7"/>
  <c r="N256" i="7"/>
  <c r="O256" i="7" s="1"/>
  <c r="J257" i="7" s="1"/>
  <c r="AY256" i="7" l="1"/>
  <c r="M258" i="6" s="1"/>
  <c r="N258" i="6" s="1"/>
  <c r="O258" i="6" s="1"/>
  <c r="G256" i="7"/>
  <c r="K257" i="7"/>
  <c r="L257" i="7" s="1"/>
  <c r="S257" i="7"/>
  <c r="AA257" i="7"/>
  <c r="M257" i="7" l="1"/>
  <c r="T257" i="7"/>
  <c r="U257" i="7" s="1"/>
  <c r="AB257" i="7"/>
  <c r="AC257" i="7" s="1"/>
  <c r="AZ256" i="7"/>
  <c r="P258" i="6" s="1"/>
  <c r="T258" i="6" s="1"/>
  <c r="B257" i="7"/>
  <c r="C257" i="7" l="1"/>
  <c r="BA257" i="7" s="1"/>
  <c r="D257" i="7" l="1"/>
  <c r="AX257" i="7" s="1"/>
  <c r="E259" i="6" s="1"/>
  <c r="F259" i="6" s="1"/>
  <c r="Q259" i="6" s="1"/>
  <c r="E257" i="7" l="1"/>
  <c r="I259" i="6"/>
  <c r="J259" i="6" s="1"/>
  <c r="S259" i="6" s="1"/>
  <c r="K259" i="6" l="1"/>
  <c r="L259" i="6" s="1"/>
  <c r="AD257" i="7" l="1"/>
  <c r="AE257" i="7" s="1"/>
  <c r="Z258" i="7" s="1"/>
  <c r="F257" i="7"/>
  <c r="N257" i="7"/>
  <c r="O257" i="7" s="1"/>
  <c r="J258" i="7" s="1"/>
  <c r="V257" i="7"/>
  <c r="W257" i="7" s="1"/>
  <c r="R258" i="7" s="1"/>
  <c r="K258" i="7" l="1"/>
  <c r="L258" i="7" s="1"/>
  <c r="S258" i="7"/>
  <c r="AA258" i="7"/>
  <c r="AY257" i="7"/>
  <c r="M259" i="6" s="1"/>
  <c r="N259" i="6" s="1"/>
  <c r="O259" i="6" s="1"/>
  <c r="G257" i="7"/>
  <c r="M258" i="7" l="1"/>
  <c r="AB258" i="7"/>
  <c r="AC258" i="7" s="1"/>
  <c r="B258" i="7"/>
  <c r="AZ257" i="7"/>
  <c r="P259" i="6" s="1"/>
  <c r="T259" i="6" s="1"/>
  <c r="T258" i="7"/>
  <c r="U258" i="7" s="1"/>
  <c r="C258" i="7" l="1"/>
  <c r="BA258" i="7" s="1"/>
  <c r="D258" i="7" l="1"/>
  <c r="AX258" i="7" s="1"/>
  <c r="E260" i="6" s="1"/>
  <c r="F260" i="6" s="1"/>
  <c r="Q260" i="6" s="1"/>
  <c r="E258" i="7" l="1"/>
  <c r="I260" i="6"/>
  <c r="J260" i="6" s="1"/>
  <c r="S260" i="6" s="1"/>
  <c r="K260" i="6" l="1"/>
  <c r="L260" i="6" s="1"/>
  <c r="AD258" i="7" s="1"/>
  <c r="AE258" i="7" s="1"/>
  <c r="Z259" i="7" s="1"/>
  <c r="V258" i="7" l="1"/>
  <c r="W258" i="7" s="1"/>
  <c r="R259" i="7" s="1"/>
  <c r="S259" i="7" s="1"/>
  <c r="N258" i="7"/>
  <c r="O258" i="7" s="1"/>
  <c r="J259" i="7" s="1"/>
  <c r="K259" i="7" s="1"/>
  <c r="F258" i="7"/>
  <c r="AA259" i="7"/>
  <c r="T259" i="7" l="1"/>
  <c r="U259" i="7" s="1"/>
  <c r="AY258" i="7"/>
  <c r="M260" i="6" s="1"/>
  <c r="N260" i="6" s="1"/>
  <c r="O260" i="6" s="1"/>
  <c r="G258" i="7"/>
  <c r="B259" i="7" s="1"/>
  <c r="AB259" i="7"/>
  <c r="AC259" i="7" s="1"/>
  <c r="L259" i="7"/>
  <c r="M259" i="7" s="1"/>
  <c r="AZ258" i="7" l="1"/>
  <c r="P260" i="6" s="1"/>
  <c r="T260" i="6" s="1"/>
  <c r="C259" i="7"/>
  <c r="BA259" i="7" s="1"/>
  <c r="D259" i="7" l="1"/>
  <c r="AX259" i="7" s="1"/>
  <c r="E261" i="6" s="1"/>
  <c r="F261" i="6" s="1"/>
  <c r="I261" i="6" l="1"/>
  <c r="J261" i="6" s="1"/>
  <c r="Q261" i="6"/>
  <c r="E259" i="7"/>
  <c r="S261" i="6" l="1"/>
  <c r="K261" i="6"/>
  <c r="L261" i="6" l="1"/>
  <c r="AD259" i="7" l="1"/>
  <c r="AE259" i="7" s="1"/>
  <c r="Z260" i="7" s="1"/>
  <c r="V259" i="7"/>
  <c r="W259" i="7" s="1"/>
  <c r="R260" i="7" s="1"/>
  <c r="N259" i="7"/>
  <c r="O259" i="7" s="1"/>
  <c r="J260" i="7" s="1"/>
  <c r="F259" i="7"/>
  <c r="K260" i="7" l="1"/>
  <c r="L260" i="7" s="1"/>
  <c r="S260" i="7"/>
  <c r="T260" i="7" s="1"/>
  <c r="AY259" i="7"/>
  <c r="M261" i="6" s="1"/>
  <c r="N261" i="6" s="1"/>
  <c r="O261" i="6" s="1"/>
  <c r="G259" i="7"/>
  <c r="AA260" i="7"/>
  <c r="AB260" i="7" s="1"/>
  <c r="AC260" i="7" s="1"/>
  <c r="U260" i="7" l="1"/>
  <c r="AZ259" i="7"/>
  <c r="P261" i="6" s="1"/>
  <c r="T261" i="6" s="1"/>
  <c r="B260" i="7"/>
  <c r="M260" i="7"/>
  <c r="C260" i="7" l="1"/>
  <c r="BA260" i="7" s="1"/>
  <c r="D260" i="7" l="1"/>
  <c r="AX260" i="7" s="1"/>
  <c r="E262" i="6" s="1"/>
  <c r="F262" i="6" s="1"/>
  <c r="I262" i="6" l="1"/>
  <c r="J262" i="6" s="1"/>
  <c r="Q262" i="6"/>
  <c r="E260" i="7"/>
  <c r="K262" i="6" l="1"/>
  <c r="L262" i="6" s="1"/>
  <c r="S262" i="6"/>
  <c r="AD260" i="7" l="1"/>
  <c r="AE260" i="7" s="1"/>
  <c r="Z261" i="7" s="1"/>
  <c r="N260" i="7"/>
  <c r="O260" i="7" s="1"/>
  <c r="J261" i="7" s="1"/>
  <c r="F260" i="7"/>
  <c r="V260" i="7"/>
  <c r="W260" i="7" s="1"/>
  <c r="R261" i="7" s="1"/>
  <c r="S261" i="7" l="1"/>
  <c r="K261" i="7"/>
  <c r="AY260" i="7"/>
  <c r="M262" i="6" s="1"/>
  <c r="N262" i="6" s="1"/>
  <c r="O262" i="6" s="1"/>
  <c r="G260" i="7"/>
  <c r="AA261" i="7"/>
  <c r="AB261" i="7" s="1"/>
  <c r="AC261" i="7" s="1"/>
  <c r="B261" i="7" l="1"/>
  <c r="AZ260" i="7"/>
  <c r="P262" i="6" s="1"/>
  <c r="T262" i="6" s="1"/>
  <c r="L261" i="7"/>
  <c r="M261" i="7" s="1"/>
  <c r="T261" i="7"/>
  <c r="U261" i="7" s="1"/>
  <c r="C261" i="7" l="1"/>
  <c r="BA261" i="7" s="1"/>
  <c r="D261" i="7" l="1"/>
  <c r="AX261" i="7" s="1"/>
  <c r="E263" i="6" s="1"/>
  <c r="F263" i="6" s="1"/>
  <c r="E261" i="7" l="1"/>
  <c r="Q263" i="6"/>
  <c r="I263" i="6"/>
  <c r="J263" i="6" s="1"/>
  <c r="K263" i="6" l="1"/>
  <c r="S263" i="6"/>
  <c r="L263" i="6" l="1"/>
  <c r="AD261" i="7" l="1"/>
  <c r="AE261" i="7" s="1"/>
  <c r="Z262" i="7" s="1"/>
  <c r="F261" i="7"/>
  <c r="N261" i="7"/>
  <c r="O261" i="7" s="1"/>
  <c r="J262" i="7" s="1"/>
  <c r="V261" i="7"/>
  <c r="W261" i="7" s="1"/>
  <c r="R262" i="7" s="1"/>
  <c r="K262" i="7" l="1"/>
  <c r="AA262" i="7"/>
  <c r="AB262" i="7" s="1"/>
  <c r="AC262" i="7" s="1"/>
  <c r="S262" i="7"/>
  <c r="AY261" i="7"/>
  <c r="M263" i="6" s="1"/>
  <c r="N263" i="6" s="1"/>
  <c r="O263" i="6" s="1"/>
  <c r="G261" i="7"/>
  <c r="B262" i="7" l="1"/>
  <c r="AZ261" i="7"/>
  <c r="P263" i="6" s="1"/>
  <c r="T263" i="6" s="1"/>
  <c r="T262" i="7"/>
  <c r="U262" i="7" s="1"/>
  <c r="L262" i="7"/>
  <c r="M262" i="7" s="1"/>
  <c r="C262" i="7" l="1"/>
  <c r="BA262" i="7" s="1"/>
  <c r="D262" i="7" l="1"/>
  <c r="AX262" i="7" s="1"/>
  <c r="E264" i="6" s="1"/>
  <c r="F264" i="6" s="1"/>
  <c r="I264" i="6" l="1"/>
  <c r="J264" i="6" s="1"/>
  <c r="Q264" i="6"/>
  <c r="E262" i="7"/>
  <c r="S264" i="6" l="1"/>
  <c r="K264" i="6"/>
  <c r="L264" i="6" l="1"/>
  <c r="AD262" i="7" l="1"/>
  <c r="AE262" i="7" s="1"/>
  <c r="Z263" i="7" s="1"/>
  <c r="N262" i="7"/>
  <c r="O262" i="7" s="1"/>
  <c r="J263" i="7" s="1"/>
  <c r="V262" i="7"/>
  <c r="W262" i="7" s="1"/>
  <c r="R263" i="7" s="1"/>
  <c r="F262" i="7"/>
  <c r="AY262" i="7" l="1"/>
  <c r="M264" i="6" s="1"/>
  <c r="N264" i="6" s="1"/>
  <c r="O264" i="6" s="1"/>
  <c r="G262" i="7"/>
  <c r="K263" i="7"/>
  <c r="L263" i="7" s="1"/>
  <c r="S263" i="7"/>
  <c r="T263" i="7" s="1"/>
  <c r="AA263" i="7"/>
  <c r="M263" i="7" l="1"/>
  <c r="AB263" i="7"/>
  <c r="AC263" i="7" s="1"/>
  <c r="U263" i="7"/>
  <c r="AZ262" i="7"/>
  <c r="P264" i="6" s="1"/>
  <c r="T264" i="6" s="1"/>
  <c r="B263" i="7"/>
  <c r="C263" i="7" l="1"/>
  <c r="BA263" i="7" s="1"/>
  <c r="D263" i="7" l="1"/>
  <c r="AX263" i="7" s="1"/>
  <c r="E265" i="6" s="1"/>
  <c r="F265" i="6" s="1"/>
  <c r="E263" i="7" l="1"/>
  <c r="I265" i="6"/>
  <c r="J265" i="6" s="1"/>
  <c r="Q265" i="6"/>
  <c r="K265" i="6" l="1"/>
  <c r="L265" i="6" s="1"/>
  <c r="S265" i="6"/>
  <c r="AD263" i="7" l="1"/>
  <c r="AE263" i="7" s="1"/>
  <c r="Z264" i="7" s="1"/>
  <c r="N263" i="7"/>
  <c r="O263" i="7" s="1"/>
  <c r="J264" i="7" s="1"/>
  <c r="F263" i="7"/>
  <c r="V263" i="7"/>
  <c r="W263" i="7" s="1"/>
  <c r="R264" i="7" s="1"/>
  <c r="AY263" i="7" l="1"/>
  <c r="M265" i="6" s="1"/>
  <c r="N265" i="6" s="1"/>
  <c r="O265" i="6" s="1"/>
  <c r="G263" i="7"/>
  <c r="AA264" i="7"/>
  <c r="S264" i="7"/>
  <c r="T264" i="7" s="1"/>
  <c r="U264" i="7" s="1"/>
  <c r="K264" i="7"/>
  <c r="L264" i="7" s="1"/>
  <c r="AB264" i="7" l="1"/>
  <c r="AC264" i="7" s="1"/>
  <c r="B264" i="7"/>
  <c r="AZ263" i="7"/>
  <c r="P265" i="6" s="1"/>
  <c r="T265" i="6" s="1"/>
  <c r="M264" i="7"/>
  <c r="C264" i="7" l="1"/>
  <c r="BA264" i="7" s="1"/>
  <c r="D264" i="7" l="1"/>
  <c r="AX264" i="7" s="1"/>
  <c r="E266" i="6" s="1"/>
  <c r="F266" i="6" s="1"/>
  <c r="Q266" i="6" s="1"/>
  <c r="I266" i="6" l="1"/>
  <c r="J266" i="6" s="1"/>
  <c r="S266" i="6" s="1"/>
  <c r="E264" i="7"/>
  <c r="K266" i="6" l="1"/>
  <c r="L266" i="6" s="1"/>
  <c r="AD264" i="7" l="1"/>
  <c r="AE264" i="7" s="1"/>
  <c r="Z265" i="7" s="1"/>
  <c r="F264" i="7"/>
  <c r="V264" i="7"/>
  <c r="W264" i="7" s="1"/>
  <c r="R265" i="7" s="1"/>
  <c r="N264" i="7"/>
  <c r="O264" i="7" s="1"/>
  <c r="J265" i="7" s="1"/>
  <c r="S265" i="7" l="1"/>
  <c r="AY264" i="7"/>
  <c r="M266" i="6" s="1"/>
  <c r="N266" i="6" s="1"/>
  <c r="O266" i="6" s="1"/>
  <c r="G264" i="7"/>
  <c r="K265" i="7"/>
  <c r="L265" i="7" s="1"/>
  <c r="AA265" i="7"/>
  <c r="AB265" i="7" s="1"/>
  <c r="T265" i="7" l="1"/>
  <c r="U265" i="7" s="1"/>
  <c r="AC265" i="7"/>
  <c r="M265" i="7"/>
  <c r="B265" i="7"/>
  <c r="AZ264" i="7"/>
  <c r="P266" i="6" s="1"/>
  <c r="T266" i="6" s="1"/>
  <c r="C265" i="7" l="1"/>
  <c r="BA265" i="7" s="1"/>
  <c r="D265" i="7" l="1"/>
  <c r="AX265" i="7" s="1"/>
  <c r="E267" i="6" s="1"/>
  <c r="F267" i="6" s="1"/>
  <c r="E265" i="7" l="1"/>
  <c r="I267" i="6"/>
  <c r="J267" i="6" s="1"/>
  <c r="Q267" i="6"/>
  <c r="K267" i="6" l="1"/>
  <c r="L267" i="6" s="1"/>
  <c r="S267" i="6"/>
  <c r="AD265" i="7" l="1"/>
  <c r="AE265" i="7" s="1"/>
  <c r="Z266" i="7" s="1"/>
  <c r="F265" i="7"/>
  <c r="V265" i="7"/>
  <c r="W265" i="7" s="1"/>
  <c r="R266" i="7" s="1"/>
  <c r="N265" i="7"/>
  <c r="O265" i="7" s="1"/>
  <c r="J266" i="7" s="1"/>
  <c r="S266" i="7" l="1"/>
  <c r="T266" i="7" s="1"/>
  <c r="U266" i="7" s="1"/>
  <c r="AY265" i="7"/>
  <c r="M267" i="6" s="1"/>
  <c r="N267" i="6" s="1"/>
  <c r="O267" i="6" s="1"/>
  <c r="G265" i="7"/>
  <c r="K266" i="7"/>
  <c r="L266" i="7" s="1"/>
  <c r="AA266" i="7"/>
  <c r="M266" i="7" l="1"/>
  <c r="B266" i="7"/>
  <c r="AZ265" i="7"/>
  <c r="P267" i="6" s="1"/>
  <c r="T267" i="6" s="1"/>
  <c r="AB266" i="7"/>
  <c r="AC266" i="7" s="1"/>
  <c r="C266" i="7" l="1"/>
  <c r="BA266" i="7" s="1"/>
  <c r="D266" i="7" l="1"/>
  <c r="AX266" i="7" s="1"/>
  <c r="E268" i="6" s="1"/>
  <c r="F268" i="6" s="1"/>
  <c r="I268" i="6" s="1"/>
  <c r="J268" i="6" s="1"/>
  <c r="Q268" i="6" l="1"/>
  <c r="E266" i="7"/>
  <c r="S268" i="6"/>
  <c r="K268" i="6"/>
  <c r="L268" i="6" l="1"/>
  <c r="AD266" i="7" l="1"/>
  <c r="AE266" i="7" s="1"/>
  <c r="Z267" i="7" s="1"/>
  <c r="F266" i="7"/>
  <c r="N266" i="7"/>
  <c r="O266" i="7" s="1"/>
  <c r="J267" i="7" s="1"/>
  <c r="V266" i="7"/>
  <c r="W266" i="7" s="1"/>
  <c r="R267" i="7" s="1"/>
  <c r="K267" i="7" l="1"/>
  <c r="AY266" i="7"/>
  <c r="M268" i="6" s="1"/>
  <c r="N268" i="6" s="1"/>
  <c r="O268" i="6" s="1"/>
  <c r="G266" i="7"/>
  <c r="S267" i="7"/>
  <c r="T267" i="7" s="1"/>
  <c r="U267" i="7" s="1"/>
  <c r="AA267" i="7"/>
  <c r="AB267" i="7" s="1"/>
  <c r="AC267" i="7" s="1"/>
  <c r="AZ266" i="7" l="1"/>
  <c r="P268" i="6" s="1"/>
  <c r="T268" i="6" s="1"/>
  <c r="B267" i="7"/>
  <c r="L267" i="7"/>
  <c r="M267" i="7" s="1"/>
  <c r="C267" i="7" l="1"/>
  <c r="BA267" i="7" s="1"/>
  <c r="D267" i="7" l="1"/>
  <c r="AX267" i="7" l="1"/>
  <c r="E269" i="6" s="1"/>
  <c r="F269" i="6" s="1"/>
  <c r="E267" i="7"/>
  <c r="Q269" i="6" l="1"/>
  <c r="I269" i="6"/>
  <c r="J269" i="6" s="1"/>
  <c r="S269" i="6" l="1"/>
  <c r="K269" i="6"/>
  <c r="L269" i="6" l="1"/>
  <c r="AD267" i="7" l="1"/>
  <c r="AE267" i="7" s="1"/>
  <c r="Z268" i="7" s="1"/>
  <c r="F267" i="7"/>
  <c r="N267" i="7"/>
  <c r="O267" i="7" s="1"/>
  <c r="J268" i="7" s="1"/>
  <c r="V267" i="7"/>
  <c r="W267" i="7" s="1"/>
  <c r="R268" i="7" s="1"/>
  <c r="K268" i="7" l="1"/>
  <c r="L268" i="7" s="1"/>
  <c r="M268" i="7" s="1"/>
  <c r="AY267" i="7"/>
  <c r="M269" i="6" s="1"/>
  <c r="N269" i="6" s="1"/>
  <c r="O269" i="6" s="1"/>
  <c r="G267" i="7"/>
  <c r="S268" i="7"/>
  <c r="T268" i="7" s="1"/>
  <c r="U268" i="7" s="1"/>
  <c r="AA268" i="7"/>
  <c r="AB268" i="7" s="1"/>
  <c r="AC268" i="7" l="1"/>
  <c r="B268" i="7"/>
  <c r="AZ267" i="7"/>
  <c r="P269" i="6" s="1"/>
  <c r="T269" i="6" s="1"/>
  <c r="C268" i="7" l="1"/>
  <c r="BA268" i="7" s="1"/>
  <c r="D268" i="7" l="1"/>
  <c r="AX268" i="7" s="1"/>
  <c r="E270" i="6" s="1"/>
  <c r="F270" i="6" s="1"/>
  <c r="Q270" i="6" l="1"/>
  <c r="I270" i="6"/>
  <c r="J270" i="6" s="1"/>
  <c r="E268" i="7"/>
  <c r="S270" i="6" l="1"/>
  <c r="K270" i="6"/>
  <c r="L270" i="6" l="1"/>
  <c r="AD268" i="7" l="1"/>
  <c r="AE268" i="7" s="1"/>
  <c r="Z269" i="7" s="1"/>
  <c r="N268" i="7"/>
  <c r="O268" i="7" s="1"/>
  <c r="J269" i="7" s="1"/>
  <c r="V268" i="7"/>
  <c r="W268" i="7" s="1"/>
  <c r="R269" i="7" s="1"/>
  <c r="F268" i="7"/>
  <c r="AY268" i="7" l="1"/>
  <c r="M270" i="6" s="1"/>
  <c r="N270" i="6" s="1"/>
  <c r="O270" i="6" s="1"/>
  <c r="G268" i="7"/>
  <c r="S269" i="7"/>
  <c r="T269" i="7" s="1"/>
  <c r="AA269" i="7"/>
  <c r="K269" i="7"/>
  <c r="L269" i="7" s="1"/>
  <c r="M269" i="7" s="1"/>
  <c r="U269" i="7" l="1"/>
  <c r="AZ268" i="7"/>
  <c r="P270" i="6" s="1"/>
  <c r="T270" i="6" s="1"/>
  <c r="B269" i="7"/>
  <c r="AB269" i="7"/>
  <c r="AC269" i="7" s="1"/>
  <c r="C269" i="7" l="1"/>
  <c r="BA269" i="7" s="1"/>
  <c r="D269" i="7" l="1"/>
  <c r="AX269" i="7" s="1"/>
  <c r="E271" i="6" s="1"/>
  <c r="F271" i="6" s="1"/>
  <c r="I271" i="6" s="1"/>
  <c r="J271" i="6" s="1"/>
  <c r="Q271" i="6" l="1"/>
  <c r="E269" i="7"/>
  <c r="S271" i="6"/>
  <c r="K271" i="6"/>
  <c r="L271" i="6" l="1"/>
  <c r="AD269" i="7" l="1"/>
  <c r="AE269" i="7" s="1"/>
  <c r="Z270" i="7" s="1"/>
  <c r="V269" i="7"/>
  <c r="W269" i="7" s="1"/>
  <c r="R270" i="7" s="1"/>
  <c r="N269" i="7"/>
  <c r="O269" i="7" s="1"/>
  <c r="J270" i="7" s="1"/>
  <c r="F269" i="7"/>
  <c r="AY269" i="7" l="1"/>
  <c r="M271" i="6" s="1"/>
  <c r="N271" i="6" s="1"/>
  <c r="O271" i="6" s="1"/>
  <c r="G269" i="7"/>
  <c r="K270" i="7"/>
  <c r="L270" i="7" s="1"/>
  <c r="S270" i="7"/>
  <c r="T270" i="7" s="1"/>
  <c r="AA270" i="7"/>
  <c r="U270" i="7" l="1"/>
  <c r="M270" i="7"/>
  <c r="B270" i="7"/>
  <c r="AZ269" i="7"/>
  <c r="P271" i="6" s="1"/>
  <c r="T271" i="6" s="1"/>
  <c r="AB270" i="7"/>
  <c r="AC270" i="7" s="1"/>
  <c r="C270" i="7" l="1"/>
  <c r="BA270" i="7" s="1"/>
  <c r="D270" i="7" l="1"/>
  <c r="AX270" i="7" s="1"/>
  <c r="E272" i="6" s="1"/>
  <c r="F272" i="6" s="1"/>
  <c r="Q272" i="6" s="1"/>
  <c r="E270" i="7" l="1"/>
  <c r="I272" i="6"/>
  <c r="J272" i="6" s="1"/>
  <c r="S272" i="6" s="1"/>
  <c r="K272" i="6" l="1"/>
  <c r="L272" i="6" s="1"/>
  <c r="AD270" i="7" l="1"/>
  <c r="AE270" i="7" s="1"/>
  <c r="Z271" i="7" s="1"/>
  <c r="V270" i="7"/>
  <c r="W270" i="7" s="1"/>
  <c r="R271" i="7" s="1"/>
  <c r="F270" i="7"/>
  <c r="N270" i="7"/>
  <c r="O270" i="7" s="1"/>
  <c r="J271" i="7" s="1"/>
  <c r="AY270" i="7" l="1"/>
  <c r="M272" i="6" s="1"/>
  <c r="N272" i="6" s="1"/>
  <c r="O272" i="6" s="1"/>
  <c r="G270" i="7"/>
  <c r="K271" i="7"/>
  <c r="L271" i="7" s="1"/>
  <c r="S271" i="7"/>
  <c r="AA271" i="7"/>
  <c r="AB271" i="7" l="1"/>
  <c r="AC271" i="7" s="1"/>
  <c r="M271" i="7"/>
  <c r="T271" i="7"/>
  <c r="U271" i="7" s="1"/>
  <c r="AZ270" i="7"/>
  <c r="P272" i="6" s="1"/>
  <c r="T272" i="6" s="1"/>
  <c r="B271" i="7"/>
  <c r="C271" i="7" l="1"/>
  <c r="BA271" i="7" s="1"/>
  <c r="D271" i="7" l="1"/>
  <c r="AX271" i="7" s="1"/>
  <c r="E273" i="6" s="1"/>
  <c r="F273" i="6" s="1"/>
  <c r="E271" i="7" l="1"/>
  <c r="Q273" i="6"/>
  <c r="I273" i="6"/>
  <c r="J273" i="6" s="1"/>
  <c r="K273" i="6" l="1"/>
  <c r="S273" i="6"/>
  <c r="L273" i="6" l="1"/>
  <c r="AD271" i="7" l="1"/>
  <c r="AE271" i="7" s="1"/>
  <c r="Z272" i="7" s="1"/>
  <c r="V271" i="7"/>
  <c r="W271" i="7" s="1"/>
  <c r="R272" i="7" s="1"/>
  <c r="F271" i="7"/>
  <c r="N271" i="7"/>
  <c r="O271" i="7" s="1"/>
  <c r="J272" i="7" s="1"/>
  <c r="AY271" i="7" l="1"/>
  <c r="M273" i="6" s="1"/>
  <c r="N273" i="6" s="1"/>
  <c r="O273" i="6" s="1"/>
  <c r="G271" i="7"/>
  <c r="S272" i="7"/>
  <c r="T272" i="7" s="1"/>
  <c r="U272" i="7" s="1"/>
  <c r="K272" i="7"/>
  <c r="L272" i="7" s="1"/>
  <c r="AA272" i="7"/>
  <c r="AB272" i="7" s="1"/>
  <c r="AC272" i="7" l="1"/>
  <c r="M272" i="7"/>
  <c r="AZ271" i="7"/>
  <c r="P273" i="6" s="1"/>
  <c r="T273" i="6" s="1"/>
  <c r="B272" i="7"/>
  <c r="C272" i="7" l="1"/>
  <c r="BA272" i="7" s="1"/>
  <c r="D272" i="7" l="1"/>
  <c r="AX272" i="7" s="1"/>
  <c r="E274" i="6" s="1"/>
  <c r="F274" i="6" s="1"/>
  <c r="I274" i="6" s="1"/>
  <c r="J274" i="6" s="1"/>
  <c r="E272" i="7" l="1"/>
  <c r="Q274" i="6"/>
  <c r="S274" i="6"/>
  <c r="K274" i="6"/>
  <c r="L274" i="6" l="1"/>
  <c r="AD272" i="7" l="1"/>
  <c r="AE272" i="7" s="1"/>
  <c r="Z273" i="7" s="1"/>
  <c r="V272" i="7"/>
  <c r="W272" i="7" s="1"/>
  <c r="R273" i="7" s="1"/>
  <c r="N272" i="7"/>
  <c r="O272" i="7" s="1"/>
  <c r="J273" i="7" s="1"/>
  <c r="F272" i="7"/>
  <c r="S273" i="7" l="1"/>
  <c r="T273" i="7" s="1"/>
  <c r="AY272" i="7"/>
  <c r="M274" i="6" s="1"/>
  <c r="N274" i="6" s="1"/>
  <c r="O274" i="6" s="1"/>
  <c r="G272" i="7"/>
  <c r="K273" i="7"/>
  <c r="L273" i="7" s="1"/>
  <c r="M273" i="7" s="1"/>
  <c r="AA273" i="7"/>
  <c r="AB273" i="7" l="1"/>
  <c r="AC273" i="7" s="1"/>
  <c r="B273" i="7"/>
  <c r="AZ272" i="7"/>
  <c r="P274" i="6" s="1"/>
  <c r="T274" i="6" s="1"/>
  <c r="U273" i="7"/>
  <c r="C273" i="7" l="1"/>
  <c r="BA273" i="7" s="1"/>
  <c r="D273" i="7" l="1"/>
  <c r="AX273" i="7" s="1"/>
  <c r="E275" i="6" s="1"/>
  <c r="F275" i="6" s="1"/>
  <c r="Q275" i="6" s="1"/>
  <c r="E273" i="7" l="1"/>
  <c r="I275" i="6"/>
  <c r="J275" i="6" s="1"/>
  <c r="S275" i="6" s="1"/>
  <c r="K275" i="6" l="1"/>
  <c r="L275" i="6" s="1"/>
  <c r="AD273" i="7" l="1"/>
  <c r="AE273" i="7" s="1"/>
  <c r="Z274" i="7" s="1"/>
  <c r="V273" i="7"/>
  <c r="W273" i="7" s="1"/>
  <c r="R274" i="7" s="1"/>
  <c r="F273" i="7"/>
  <c r="N273" i="7"/>
  <c r="O273" i="7" s="1"/>
  <c r="J274" i="7" s="1"/>
  <c r="AY273" i="7" l="1"/>
  <c r="M275" i="6" s="1"/>
  <c r="N275" i="6" s="1"/>
  <c r="O275" i="6" s="1"/>
  <c r="G273" i="7"/>
  <c r="K274" i="7"/>
  <c r="L274" i="7" s="1"/>
  <c r="M274" i="7" s="1"/>
  <c r="S274" i="7"/>
  <c r="AA274" i="7"/>
  <c r="AB274" i="7" l="1"/>
  <c r="AC274" i="7" s="1"/>
  <c r="T274" i="7"/>
  <c r="U274" i="7" s="1"/>
  <c r="AZ273" i="7"/>
  <c r="P275" i="6" s="1"/>
  <c r="T275" i="6" s="1"/>
  <c r="B274" i="7"/>
  <c r="C274" i="7" l="1"/>
  <c r="BA274" i="7" s="1"/>
  <c r="D274" i="7" l="1"/>
  <c r="AX274" i="7" s="1"/>
  <c r="E276" i="6" s="1"/>
  <c r="F276" i="6" s="1"/>
  <c r="Q276" i="6" s="1"/>
  <c r="E274" i="7" l="1"/>
  <c r="I276" i="6"/>
  <c r="J276" i="6" s="1"/>
  <c r="S276" i="6" s="1"/>
  <c r="K276" i="6" l="1"/>
  <c r="L276" i="6" s="1"/>
  <c r="AD274" i="7" l="1"/>
  <c r="AE274" i="7" s="1"/>
  <c r="Z275" i="7" s="1"/>
  <c r="N274" i="7"/>
  <c r="O274" i="7" s="1"/>
  <c r="J275" i="7" s="1"/>
  <c r="V274" i="7"/>
  <c r="W274" i="7" s="1"/>
  <c r="R275" i="7" s="1"/>
  <c r="F274" i="7"/>
  <c r="AY274" i="7" l="1"/>
  <c r="M276" i="6" s="1"/>
  <c r="N276" i="6" s="1"/>
  <c r="O276" i="6" s="1"/>
  <c r="G274" i="7"/>
  <c r="S275" i="7"/>
  <c r="T275" i="7" s="1"/>
  <c r="U275" i="7" s="1"/>
  <c r="K275" i="7"/>
  <c r="AA275" i="7"/>
  <c r="AB275" i="7" l="1"/>
  <c r="AC275" i="7" s="1"/>
  <c r="L275" i="7"/>
  <c r="M275" i="7" s="1"/>
  <c r="B275" i="7"/>
  <c r="AZ274" i="7"/>
  <c r="P276" i="6" s="1"/>
  <c r="T276" i="6" s="1"/>
  <c r="C275" i="7" l="1"/>
  <c r="BA275" i="7" s="1"/>
  <c r="D275" i="7" l="1"/>
  <c r="AX275" i="7" s="1"/>
  <c r="E277" i="6" s="1"/>
  <c r="F277" i="6" s="1"/>
  <c r="E275" i="7" l="1"/>
  <c r="I277" i="6"/>
  <c r="J277" i="6" s="1"/>
  <c r="Q277" i="6"/>
  <c r="K277" i="6" l="1"/>
  <c r="S277" i="6"/>
  <c r="L277" i="6" l="1"/>
  <c r="AD275" i="7" l="1"/>
  <c r="AE275" i="7" s="1"/>
  <c r="Z276" i="7" s="1"/>
  <c r="N275" i="7"/>
  <c r="O275" i="7" s="1"/>
  <c r="J276" i="7" s="1"/>
  <c r="V275" i="7"/>
  <c r="W275" i="7" s="1"/>
  <c r="R276" i="7" s="1"/>
  <c r="F275" i="7"/>
  <c r="AY275" i="7" l="1"/>
  <c r="M277" i="6" s="1"/>
  <c r="N277" i="6" s="1"/>
  <c r="O277" i="6" s="1"/>
  <c r="G275" i="7"/>
  <c r="S276" i="7"/>
  <c r="T276" i="7" s="1"/>
  <c r="AA276" i="7"/>
  <c r="AB276" i="7" s="1"/>
  <c r="K276" i="7"/>
  <c r="L276" i="7" s="1"/>
  <c r="U276" i="7" l="1"/>
  <c r="AC276" i="7"/>
  <c r="B276" i="7"/>
  <c r="AZ275" i="7"/>
  <c r="P277" i="6" s="1"/>
  <c r="T277" i="6" s="1"/>
  <c r="M276" i="7"/>
  <c r="C276" i="7" l="1"/>
  <c r="BA276" i="7" s="1"/>
  <c r="D276" i="7" l="1"/>
  <c r="AX276" i="7" s="1"/>
  <c r="E278" i="6" s="1"/>
  <c r="F278" i="6" s="1"/>
  <c r="I278" i="6" s="1"/>
  <c r="J278" i="6" s="1"/>
  <c r="Q278" i="6" l="1"/>
  <c r="E276" i="7"/>
  <c r="S278" i="6"/>
  <c r="K278" i="6"/>
  <c r="L278" i="6" l="1"/>
  <c r="AD276" i="7" l="1"/>
  <c r="AE276" i="7" s="1"/>
  <c r="Z277" i="7" s="1"/>
  <c r="N276" i="7"/>
  <c r="O276" i="7" s="1"/>
  <c r="J277" i="7" s="1"/>
  <c r="F276" i="7"/>
  <c r="V276" i="7"/>
  <c r="W276" i="7" s="1"/>
  <c r="R277" i="7" s="1"/>
  <c r="S277" i="7" l="1"/>
  <c r="AY276" i="7"/>
  <c r="M278" i="6" s="1"/>
  <c r="N278" i="6" s="1"/>
  <c r="O278" i="6" s="1"/>
  <c r="G276" i="7"/>
  <c r="AA277" i="7"/>
  <c r="AB277" i="7" s="1"/>
  <c r="K277" i="7"/>
  <c r="L277" i="7" l="1"/>
  <c r="M277" i="7" s="1"/>
  <c r="AC277" i="7"/>
  <c r="T277" i="7"/>
  <c r="U277" i="7" s="1"/>
  <c r="B277" i="7"/>
  <c r="AZ276" i="7"/>
  <c r="P278" i="6" s="1"/>
  <c r="T278" i="6" s="1"/>
  <c r="C277" i="7" l="1"/>
  <c r="BA277" i="7" s="1"/>
  <c r="D277" i="7" l="1"/>
  <c r="AX277" i="7" s="1"/>
  <c r="E279" i="6" s="1"/>
  <c r="F279" i="6" s="1"/>
  <c r="Q279" i="6" l="1"/>
  <c r="I279" i="6"/>
  <c r="J279" i="6" s="1"/>
  <c r="E277" i="7"/>
  <c r="S279" i="6" l="1"/>
  <c r="K279" i="6"/>
  <c r="L279" i="6" l="1"/>
  <c r="AD277" i="7" l="1"/>
  <c r="AE277" i="7" s="1"/>
  <c r="Z278" i="7" s="1"/>
  <c r="F277" i="7"/>
  <c r="N277" i="7"/>
  <c r="O277" i="7" s="1"/>
  <c r="J278" i="7" s="1"/>
  <c r="V277" i="7"/>
  <c r="W277" i="7" s="1"/>
  <c r="R278" i="7" s="1"/>
  <c r="S278" i="7" l="1"/>
  <c r="K278" i="7"/>
  <c r="L278" i="7" s="1"/>
  <c r="AY277" i="7"/>
  <c r="M279" i="6" s="1"/>
  <c r="N279" i="6" s="1"/>
  <c r="O279" i="6" s="1"/>
  <c r="G277" i="7"/>
  <c r="AA278" i="7"/>
  <c r="AB278" i="7" l="1"/>
  <c r="AC278" i="7" s="1"/>
  <c r="M278" i="7"/>
  <c r="AZ277" i="7"/>
  <c r="P279" i="6" s="1"/>
  <c r="T279" i="6" s="1"/>
  <c r="B278" i="7"/>
  <c r="T278" i="7"/>
  <c r="U278" i="7" s="1"/>
  <c r="C278" i="7" l="1"/>
  <c r="BA278" i="7" s="1"/>
  <c r="D278" i="7" l="1"/>
  <c r="AX278" i="7" s="1"/>
  <c r="E280" i="6" s="1"/>
  <c r="F280" i="6" s="1"/>
  <c r="I280" i="6" l="1"/>
  <c r="J280" i="6" s="1"/>
  <c r="Q280" i="6"/>
  <c r="E278" i="7"/>
  <c r="S280" i="6" l="1"/>
  <c r="K280" i="6"/>
  <c r="L280" i="6" l="1"/>
  <c r="AD278" i="7" l="1"/>
  <c r="AE278" i="7" s="1"/>
  <c r="Z279" i="7" s="1"/>
  <c r="V278" i="7"/>
  <c r="W278" i="7" s="1"/>
  <c r="R279" i="7" s="1"/>
  <c r="F278" i="7"/>
  <c r="N278" i="7"/>
  <c r="O278" i="7" s="1"/>
  <c r="J279" i="7" s="1"/>
  <c r="AY278" i="7" l="1"/>
  <c r="M280" i="6" s="1"/>
  <c r="N280" i="6" s="1"/>
  <c r="O280" i="6" s="1"/>
  <c r="G278" i="7"/>
  <c r="S279" i="7"/>
  <c r="T279" i="7" s="1"/>
  <c r="U279" i="7" s="1"/>
  <c r="K279" i="7"/>
  <c r="AA279" i="7"/>
  <c r="AB279" i="7" l="1"/>
  <c r="AC279" i="7" s="1"/>
  <c r="L279" i="7"/>
  <c r="M279" i="7" s="1"/>
  <c r="B279" i="7"/>
  <c r="AZ278" i="7"/>
  <c r="P280" i="6" s="1"/>
  <c r="T280" i="6" s="1"/>
  <c r="C279" i="7" l="1"/>
  <c r="BA279" i="7" s="1"/>
  <c r="D279" i="7" l="1"/>
  <c r="AX279" i="7" s="1"/>
  <c r="E281" i="6" s="1"/>
  <c r="F281" i="6" s="1"/>
  <c r="E279" i="7" l="1"/>
  <c r="I281" i="6"/>
  <c r="J281" i="6" s="1"/>
  <c r="Q281" i="6"/>
  <c r="S281" i="6" l="1"/>
  <c r="K281" i="6"/>
  <c r="L281" i="6" l="1"/>
  <c r="AD279" i="7" l="1"/>
  <c r="AE279" i="7" s="1"/>
  <c r="Z280" i="7" s="1"/>
  <c r="V279" i="7"/>
  <c r="W279" i="7" s="1"/>
  <c r="R280" i="7" s="1"/>
  <c r="F279" i="7"/>
  <c r="N279" i="7"/>
  <c r="O279" i="7" s="1"/>
  <c r="J280" i="7" s="1"/>
  <c r="K280" i="7" l="1"/>
  <c r="L280" i="7" s="1"/>
  <c r="AY279" i="7"/>
  <c r="M281" i="6" s="1"/>
  <c r="N281" i="6" s="1"/>
  <c r="O281" i="6" s="1"/>
  <c r="G279" i="7"/>
  <c r="S280" i="7"/>
  <c r="T280" i="7" s="1"/>
  <c r="U280" i="7" s="1"/>
  <c r="AA280" i="7"/>
  <c r="M280" i="7" l="1"/>
  <c r="AB280" i="7"/>
  <c r="AC280" i="7" s="1"/>
  <c r="AZ279" i="7"/>
  <c r="P281" i="6" s="1"/>
  <c r="T281" i="6" s="1"/>
  <c r="B280" i="7"/>
  <c r="C280" i="7" l="1"/>
  <c r="BA280" i="7" s="1"/>
  <c r="D280" i="7" l="1"/>
  <c r="AX280" i="7" s="1"/>
  <c r="E282" i="6" s="1"/>
  <c r="F282" i="6" s="1"/>
  <c r="E280" i="7" l="1"/>
  <c r="Q282" i="6"/>
  <c r="I282" i="6"/>
  <c r="J282" i="6" s="1"/>
  <c r="S282" i="6" l="1"/>
  <c r="K282" i="6"/>
  <c r="L282" i="6" l="1"/>
  <c r="AD280" i="7" l="1"/>
  <c r="AE280" i="7" s="1"/>
  <c r="Z281" i="7" s="1"/>
  <c r="N280" i="7"/>
  <c r="O280" i="7" s="1"/>
  <c r="J281" i="7" s="1"/>
  <c r="F280" i="7"/>
  <c r="V280" i="7"/>
  <c r="W280" i="7" s="1"/>
  <c r="R281" i="7" s="1"/>
  <c r="AY280" i="7" l="1"/>
  <c r="M282" i="6" s="1"/>
  <c r="N282" i="6" s="1"/>
  <c r="O282" i="6" s="1"/>
  <c r="G280" i="7"/>
  <c r="K281" i="7"/>
  <c r="L281" i="7" s="1"/>
  <c r="M281" i="7" s="1"/>
  <c r="S281" i="7"/>
  <c r="AA281" i="7"/>
  <c r="AB281" i="7" s="1"/>
  <c r="AC281" i="7" s="1"/>
  <c r="T281" i="7" l="1"/>
  <c r="U281" i="7" s="1"/>
  <c r="B281" i="7"/>
  <c r="AZ280" i="7"/>
  <c r="P282" i="6" s="1"/>
  <c r="T282" i="6" s="1"/>
  <c r="C281" i="7" l="1"/>
  <c r="BA281" i="7" s="1"/>
  <c r="D281" i="7" l="1"/>
  <c r="AX281" i="7" s="1"/>
  <c r="E283" i="6" s="1"/>
  <c r="F283" i="6" s="1"/>
  <c r="I283" i="6" s="1"/>
  <c r="J283" i="6" s="1"/>
  <c r="Q283" i="6" l="1"/>
  <c r="E281" i="7"/>
  <c r="K283" i="6"/>
  <c r="S283" i="6"/>
  <c r="L283" i="6" l="1"/>
  <c r="AD281" i="7" l="1"/>
  <c r="AE281" i="7" s="1"/>
  <c r="Z282" i="7" s="1"/>
  <c r="N281" i="7"/>
  <c r="O281" i="7" s="1"/>
  <c r="J282" i="7" s="1"/>
  <c r="V281" i="7"/>
  <c r="W281" i="7" s="1"/>
  <c r="R282" i="7" s="1"/>
  <c r="F281" i="7"/>
  <c r="S282" i="7" l="1"/>
  <c r="K282" i="7"/>
  <c r="L282" i="7" s="1"/>
  <c r="AY281" i="7"/>
  <c r="M283" i="6" s="1"/>
  <c r="N283" i="6" s="1"/>
  <c r="O283" i="6" s="1"/>
  <c r="G281" i="7"/>
  <c r="AA282" i="7"/>
  <c r="AB282" i="7" s="1"/>
  <c r="AC282" i="7" l="1"/>
  <c r="AZ281" i="7"/>
  <c r="P283" i="6" s="1"/>
  <c r="T283" i="6" s="1"/>
  <c r="B282" i="7"/>
  <c r="M282" i="7"/>
  <c r="T282" i="7"/>
  <c r="U282" i="7" s="1"/>
  <c r="C282" i="7" l="1"/>
  <c r="BA282" i="7" s="1"/>
  <c r="D282" i="7" l="1"/>
  <c r="AX282" i="7" s="1"/>
  <c r="E284" i="6" s="1"/>
  <c r="F284" i="6" s="1"/>
  <c r="I284" i="6" l="1"/>
  <c r="J284" i="6" s="1"/>
  <c r="Q284" i="6"/>
  <c r="E282" i="7"/>
  <c r="K284" i="6" l="1"/>
  <c r="S284" i="6"/>
  <c r="L284" i="6" l="1"/>
  <c r="AD282" i="7" l="1"/>
  <c r="AE282" i="7" s="1"/>
  <c r="Z283" i="7" s="1"/>
  <c r="V282" i="7"/>
  <c r="W282" i="7" s="1"/>
  <c r="R283" i="7" s="1"/>
  <c r="F282" i="7"/>
  <c r="N282" i="7"/>
  <c r="O282" i="7" s="1"/>
  <c r="J283" i="7" s="1"/>
  <c r="K283" i="7" l="1"/>
  <c r="AY282" i="7"/>
  <c r="M284" i="6" s="1"/>
  <c r="N284" i="6" s="1"/>
  <c r="O284" i="6" s="1"/>
  <c r="G282" i="7"/>
  <c r="S283" i="7"/>
  <c r="AA283" i="7"/>
  <c r="AB283" i="7" l="1"/>
  <c r="AC283" i="7" s="1"/>
  <c r="T283" i="7"/>
  <c r="U283" i="7" s="1"/>
  <c r="AZ282" i="7"/>
  <c r="P284" i="6" s="1"/>
  <c r="T284" i="6" s="1"/>
  <c r="B283" i="7"/>
  <c r="L283" i="7"/>
  <c r="M283" i="7" s="1"/>
  <c r="C283" i="7" l="1"/>
  <c r="BA283" i="7" s="1"/>
  <c r="D283" i="7" l="1"/>
  <c r="AX283" i="7" s="1"/>
  <c r="E285" i="6" s="1"/>
  <c r="F285" i="6" s="1"/>
  <c r="E283" i="7" l="1"/>
  <c r="Q285" i="6"/>
  <c r="I285" i="6"/>
  <c r="J285" i="6" s="1"/>
  <c r="K285" i="6" l="1"/>
  <c r="L285" i="6" s="1"/>
  <c r="S285" i="6"/>
  <c r="AD283" i="7" l="1"/>
  <c r="AE283" i="7" s="1"/>
  <c r="Z284" i="7" s="1"/>
  <c r="F283" i="7"/>
  <c r="V283" i="7"/>
  <c r="W283" i="7" s="1"/>
  <c r="R284" i="7" s="1"/>
  <c r="N283" i="7"/>
  <c r="O283" i="7" s="1"/>
  <c r="J284" i="7" s="1"/>
  <c r="S284" i="7" l="1"/>
  <c r="T284" i="7" s="1"/>
  <c r="U284" i="7" s="1"/>
  <c r="AY283" i="7"/>
  <c r="M285" i="6" s="1"/>
  <c r="N285" i="6" s="1"/>
  <c r="O285" i="6" s="1"/>
  <c r="G283" i="7"/>
  <c r="K284" i="7"/>
  <c r="AA284" i="7"/>
  <c r="AB284" i="7" s="1"/>
  <c r="AC284" i="7" l="1"/>
  <c r="AZ283" i="7"/>
  <c r="P285" i="6" s="1"/>
  <c r="T285" i="6" s="1"/>
  <c r="B284" i="7"/>
  <c r="L284" i="7"/>
  <c r="M284" i="7" s="1"/>
  <c r="C284" i="7" l="1"/>
  <c r="BA284" i="7" s="1"/>
  <c r="D284" i="7" l="1"/>
  <c r="AX284" i="7" s="1"/>
  <c r="E286" i="6" s="1"/>
  <c r="F286" i="6" s="1"/>
  <c r="Q286" i="6" s="1"/>
  <c r="I286" i="6" l="1"/>
  <c r="J286" i="6" s="1"/>
  <c r="S286" i="6" s="1"/>
  <c r="E284" i="7"/>
  <c r="K286" i="6" l="1"/>
  <c r="L286" i="6" s="1"/>
  <c r="AD284" i="7" l="1"/>
  <c r="AE284" i="7" s="1"/>
  <c r="Z285" i="7" s="1"/>
  <c r="F284" i="7"/>
  <c r="N284" i="7"/>
  <c r="O284" i="7" s="1"/>
  <c r="J285" i="7" s="1"/>
  <c r="V284" i="7"/>
  <c r="W284" i="7" s="1"/>
  <c r="R285" i="7" s="1"/>
  <c r="K285" i="7" l="1"/>
  <c r="L285" i="7" s="1"/>
  <c r="M285" i="7" s="1"/>
  <c r="AY284" i="7"/>
  <c r="M286" i="6" s="1"/>
  <c r="N286" i="6" s="1"/>
  <c r="O286" i="6" s="1"/>
  <c r="G284" i="7"/>
  <c r="S285" i="7"/>
  <c r="AA285" i="7"/>
  <c r="AB285" i="7" s="1"/>
  <c r="AC285" i="7" l="1"/>
  <c r="T285" i="7"/>
  <c r="U285" i="7" s="1"/>
  <c r="B285" i="7"/>
  <c r="AZ284" i="7"/>
  <c r="P286" i="6" s="1"/>
  <c r="T286" i="6" s="1"/>
  <c r="C285" i="7" l="1"/>
  <c r="BA285" i="7" s="1"/>
  <c r="D285" i="7" l="1"/>
  <c r="AX285" i="7" s="1"/>
  <c r="E287" i="6" s="1"/>
  <c r="F287" i="6" s="1"/>
  <c r="I287" i="6" s="1"/>
  <c r="J287" i="6" s="1"/>
  <c r="E285" i="7" l="1"/>
  <c r="Q287" i="6"/>
  <c r="S287" i="6"/>
  <c r="K287" i="6"/>
  <c r="L287" i="6" l="1"/>
  <c r="AD285" i="7" l="1"/>
  <c r="AE285" i="7" s="1"/>
  <c r="Z286" i="7" s="1"/>
  <c r="F285" i="7"/>
  <c r="N285" i="7"/>
  <c r="O285" i="7" s="1"/>
  <c r="J286" i="7" s="1"/>
  <c r="V285" i="7"/>
  <c r="W285" i="7" s="1"/>
  <c r="R286" i="7" s="1"/>
  <c r="K286" i="7" l="1"/>
  <c r="L286" i="7" s="1"/>
  <c r="M286" i="7" s="1"/>
  <c r="AY285" i="7"/>
  <c r="M287" i="6" s="1"/>
  <c r="N287" i="6" s="1"/>
  <c r="O287" i="6" s="1"/>
  <c r="G285" i="7"/>
  <c r="S286" i="7"/>
  <c r="AA286" i="7"/>
  <c r="AB286" i="7" s="1"/>
  <c r="AC286" i="7" l="1"/>
  <c r="T286" i="7"/>
  <c r="U286" i="7" s="1"/>
  <c r="B286" i="7"/>
  <c r="AZ285" i="7"/>
  <c r="P287" i="6" s="1"/>
  <c r="T287" i="6" s="1"/>
  <c r="C286" i="7" l="1"/>
  <c r="BA286" i="7" s="1"/>
  <c r="D286" i="7" l="1"/>
  <c r="AX286" i="7" s="1"/>
  <c r="E288" i="6" s="1"/>
  <c r="F288" i="6" s="1"/>
  <c r="Q288" i="6" s="1"/>
  <c r="E286" i="7" l="1"/>
  <c r="I288" i="6"/>
  <c r="J288" i="6" s="1"/>
  <c r="S288" i="6" s="1"/>
  <c r="K288" i="6" l="1"/>
  <c r="L288" i="6" s="1"/>
  <c r="AD286" i="7" l="1"/>
  <c r="AE286" i="7" s="1"/>
  <c r="Z287" i="7" s="1"/>
  <c r="V286" i="7"/>
  <c r="W286" i="7" s="1"/>
  <c r="R287" i="7" s="1"/>
  <c r="F286" i="7"/>
  <c r="N286" i="7"/>
  <c r="O286" i="7" s="1"/>
  <c r="J287" i="7" s="1"/>
  <c r="AY286" i="7" l="1"/>
  <c r="M288" i="6" s="1"/>
  <c r="N288" i="6" s="1"/>
  <c r="O288" i="6" s="1"/>
  <c r="G286" i="7"/>
  <c r="S287" i="7"/>
  <c r="T287" i="7" s="1"/>
  <c r="K287" i="7"/>
  <c r="L287" i="7" s="1"/>
  <c r="AA287" i="7"/>
  <c r="AB287" i="7" s="1"/>
  <c r="AC287" i="7" l="1"/>
  <c r="M287" i="7"/>
  <c r="U287" i="7"/>
  <c r="B287" i="7"/>
  <c r="AZ286" i="7"/>
  <c r="P288" i="6" s="1"/>
  <c r="T288" i="6" s="1"/>
  <c r="C287" i="7" l="1"/>
  <c r="BA287" i="7" s="1"/>
  <c r="D287" i="7" l="1"/>
  <c r="AX287" i="7" s="1"/>
  <c r="E289" i="6" s="1"/>
  <c r="F289" i="6" s="1"/>
  <c r="Q289" i="6" l="1"/>
  <c r="I289" i="6"/>
  <c r="J289" i="6" s="1"/>
  <c r="E287" i="7"/>
  <c r="S289" i="6" l="1"/>
  <c r="K289" i="6"/>
  <c r="L289" i="6" l="1"/>
  <c r="AD287" i="7" l="1"/>
  <c r="AE287" i="7" s="1"/>
  <c r="Z288" i="7" s="1"/>
  <c r="F287" i="7"/>
  <c r="N287" i="7"/>
  <c r="O287" i="7" s="1"/>
  <c r="J288" i="7" s="1"/>
  <c r="V287" i="7"/>
  <c r="W287" i="7" s="1"/>
  <c r="R288" i="7" s="1"/>
  <c r="K288" i="7" l="1"/>
  <c r="L288" i="7" s="1"/>
  <c r="AY287" i="7"/>
  <c r="M289" i="6" s="1"/>
  <c r="N289" i="6" s="1"/>
  <c r="O289" i="6" s="1"/>
  <c r="G287" i="7"/>
  <c r="S288" i="7"/>
  <c r="AA288" i="7"/>
  <c r="AB288" i="7" s="1"/>
  <c r="AC288" i="7" s="1"/>
  <c r="AZ287" i="7" l="1"/>
  <c r="P289" i="6" s="1"/>
  <c r="T289" i="6" s="1"/>
  <c r="B288" i="7"/>
  <c r="T288" i="7"/>
  <c r="U288" i="7" s="1"/>
  <c r="M288" i="7"/>
  <c r="C288" i="7" l="1"/>
  <c r="BA288" i="7" s="1"/>
  <c r="D288" i="7" l="1"/>
  <c r="AX288" i="7" s="1"/>
  <c r="E290" i="6" s="1"/>
  <c r="F290" i="6" s="1"/>
  <c r="I290" i="6" l="1"/>
  <c r="J290" i="6" s="1"/>
  <c r="Q290" i="6"/>
  <c r="E288" i="7"/>
  <c r="S290" i="6" l="1"/>
  <c r="K290" i="6"/>
  <c r="L290" i="6" l="1"/>
  <c r="AD288" i="7" l="1"/>
  <c r="AE288" i="7" s="1"/>
  <c r="Z289" i="7" s="1"/>
  <c r="V288" i="7"/>
  <c r="W288" i="7" s="1"/>
  <c r="R289" i="7" s="1"/>
  <c r="F288" i="7"/>
  <c r="N288" i="7"/>
  <c r="O288" i="7" s="1"/>
  <c r="J289" i="7" s="1"/>
  <c r="AY288" i="7" l="1"/>
  <c r="M290" i="6" s="1"/>
  <c r="N290" i="6" s="1"/>
  <c r="O290" i="6" s="1"/>
  <c r="G288" i="7"/>
  <c r="S289" i="7"/>
  <c r="K289" i="7"/>
  <c r="L289" i="7" s="1"/>
  <c r="AA289" i="7"/>
  <c r="AB289" i="7" l="1"/>
  <c r="AC289" i="7" s="1"/>
  <c r="M289" i="7"/>
  <c r="T289" i="7"/>
  <c r="U289" i="7" s="1"/>
  <c r="AZ288" i="7"/>
  <c r="P290" i="6" s="1"/>
  <c r="T290" i="6" s="1"/>
  <c r="B289" i="7"/>
  <c r="C289" i="7" l="1"/>
  <c r="BA289" i="7" s="1"/>
  <c r="D289" i="7" l="1"/>
  <c r="AX289" i="7" l="1"/>
  <c r="E291" i="6" s="1"/>
  <c r="F291" i="6" s="1"/>
  <c r="E289" i="7"/>
  <c r="Q291" i="6" l="1"/>
  <c r="I291" i="6"/>
  <c r="J291" i="6" s="1"/>
  <c r="S291" i="6" l="1"/>
  <c r="K291" i="6"/>
  <c r="L291" i="6" l="1"/>
  <c r="AD289" i="7" l="1"/>
  <c r="AE289" i="7" s="1"/>
  <c r="Z290" i="7" s="1"/>
  <c r="N289" i="7"/>
  <c r="O289" i="7" s="1"/>
  <c r="J290" i="7" s="1"/>
  <c r="F289" i="7"/>
  <c r="V289" i="7"/>
  <c r="W289" i="7" s="1"/>
  <c r="R290" i="7" s="1"/>
  <c r="AY289" i="7" l="1"/>
  <c r="M291" i="6" s="1"/>
  <c r="N291" i="6" s="1"/>
  <c r="O291" i="6" s="1"/>
  <c r="G289" i="7"/>
  <c r="K290" i="7"/>
  <c r="S290" i="7"/>
  <c r="T290" i="7" s="1"/>
  <c r="AA290" i="7"/>
  <c r="AB290" i="7" l="1"/>
  <c r="AC290" i="7" s="1"/>
  <c r="U290" i="7"/>
  <c r="L290" i="7"/>
  <c r="M290" i="7" s="1"/>
  <c r="B290" i="7"/>
  <c r="AZ289" i="7"/>
  <c r="P291" i="6" s="1"/>
  <c r="T291" i="6" s="1"/>
  <c r="C290" i="7" l="1"/>
  <c r="BA290" i="7" s="1"/>
  <c r="D290" i="7" l="1"/>
  <c r="AX290" i="7" s="1"/>
  <c r="E292" i="6" s="1"/>
  <c r="F292" i="6" s="1"/>
  <c r="E290" i="7" l="1"/>
  <c r="Q292" i="6"/>
  <c r="I292" i="6"/>
  <c r="J292" i="6" s="1"/>
  <c r="K292" i="6" l="1"/>
  <c r="L292" i="6" s="1"/>
  <c r="S292" i="6"/>
  <c r="AD290" i="7" l="1"/>
  <c r="AE290" i="7" s="1"/>
  <c r="Z291" i="7" s="1"/>
  <c r="N290" i="7"/>
  <c r="O290" i="7" s="1"/>
  <c r="J291" i="7" s="1"/>
  <c r="F290" i="7"/>
  <c r="V290" i="7"/>
  <c r="W290" i="7" s="1"/>
  <c r="R291" i="7" s="1"/>
  <c r="AA291" i="7" l="1"/>
  <c r="S291" i="7"/>
  <c r="T291" i="7" s="1"/>
  <c r="AY290" i="7"/>
  <c r="M292" i="6" s="1"/>
  <c r="N292" i="6" s="1"/>
  <c r="O292" i="6" s="1"/>
  <c r="G290" i="7"/>
  <c r="K291" i="7"/>
  <c r="AZ290" i="7" l="1"/>
  <c r="P292" i="6" s="1"/>
  <c r="T292" i="6" s="1"/>
  <c r="B291" i="7"/>
  <c r="L291" i="7"/>
  <c r="M291" i="7" s="1"/>
  <c r="U291" i="7"/>
  <c r="AB291" i="7"/>
  <c r="AC291" i="7" s="1"/>
  <c r="C291" i="7" l="1"/>
  <c r="BA291" i="7" s="1"/>
  <c r="D291" i="7" l="1"/>
  <c r="AX291" i="7" s="1"/>
  <c r="E293" i="6" s="1"/>
  <c r="F293" i="6" s="1"/>
  <c r="I293" i="6" s="1"/>
  <c r="J293" i="6" s="1"/>
  <c r="E291" i="7" l="1"/>
  <c r="Q293" i="6"/>
  <c r="S293" i="6"/>
  <c r="K293" i="6"/>
  <c r="L293" i="6" l="1"/>
  <c r="AD291" i="7" l="1"/>
  <c r="AE291" i="7" s="1"/>
  <c r="Z292" i="7" s="1"/>
  <c r="V291" i="7"/>
  <c r="W291" i="7" s="1"/>
  <c r="R292" i="7" s="1"/>
  <c r="N291" i="7"/>
  <c r="O291" i="7" s="1"/>
  <c r="J292" i="7" s="1"/>
  <c r="F291" i="7"/>
  <c r="AY291" i="7" l="1"/>
  <c r="M293" i="6" s="1"/>
  <c r="N293" i="6" s="1"/>
  <c r="O293" i="6" s="1"/>
  <c r="G291" i="7"/>
  <c r="K292" i="7"/>
  <c r="L292" i="7" s="1"/>
  <c r="M292" i="7" s="1"/>
  <c r="AA292" i="7"/>
  <c r="AB292" i="7" s="1"/>
  <c r="AC292" i="7" s="1"/>
  <c r="S292" i="7"/>
  <c r="T292" i="7" l="1"/>
  <c r="U292" i="7" s="1"/>
  <c r="B292" i="7"/>
  <c r="AZ291" i="7"/>
  <c r="P293" i="6" s="1"/>
  <c r="T293" i="6" s="1"/>
  <c r="C292" i="7" l="1"/>
  <c r="BA292" i="7" s="1"/>
  <c r="D292" i="7" l="1"/>
  <c r="AX292" i="7" s="1"/>
  <c r="E294" i="6" s="1"/>
  <c r="F294" i="6" s="1"/>
  <c r="E292" i="7" l="1"/>
  <c r="Q294" i="6"/>
  <c r="I294" i="6"/>
  <c r="J294" i="6" s="1"/>
  <c r="S294" i="6" l="1"/>
  <c r="K294" i="6"/>
  <c r="L294" i="6" l="1"/>
  <c r="AD292" i="7" l="1"/>
  <c r="AE292" i="7" s="1"/>
  <c r="Z293" i="7" s="1"/>
  <c r="N292" i="7"/>
  <c r="O292" i="7" s="1"/>
  <c r="J293" i="7" s="1"/>
  <c r="F292" i="7"/>
  <c r="V292" i="7"/>
  <c r="W292" i="7" s="1"/>
  <c r="R293" i="7" s="1"/>
  <c r="S293" i="7" l="1"/>
  <c r="T293" i="7" s="1"/>
  <c r="U293" i="7" s="1"/>
  <c r="AY292" i="7"/>
  <c r="M294" i="6" s="1"/>
  <c r="N294" i="6" s="1"/>
  <c r="O294" i="6" s="1"/>
  <c r="G292" i="7"/>
  <c r="K293" i="7"/>
  <c r="AA293" i="7"/>
  <c r="AB293" i="7" l="1"/>
  <c r="AC293" i="7" s="1"/>
  <c r="L293" i="7"/>
  <c r="M293" i="7" s="1"/>
  <c r="B293" i="7"/>
  <c r="AZ292" i="7"/>
  <c r="P294" i="6" s="1"/>
  <c r="T294" i="6" s="1"/>
  <c r="C293" i="7" l="1"/>
  <c r="BA293" i="7" s="1"/>
  <c r="D293" i="7" l="1"/>
  <c r="AX293" i="7" s="1"/>
  <c r="E295" i="6" s="1"/>
  <c r="F295" i="6" s="1"/>
  <c r="E293" i="7" l="1"/>
  <c r="Q295" i="6"/>
  <c r="I295" i="6"/>
  <c r="J295" i="6" s="1"/>
  <c r="S295" i="6" l="1"/>
  <c r="K295" i="6"/>
  <c r="L295" i="6" l="1"/>
  <c r="AD293" i="7" l="1"/>
  <c r="AE293" i="7" s="1"/>
  <c r="Z294" i="7" s="1"/>
  <c r="V293" i="7"/>
  <c r="W293" i="7" s="1"/>
  <c r="R294" i="7" s="1"/>
  <c r="N293" i="7"/>
  <c r="O293" i="7" s="1"/>
  <c r="J294" i="7" s="1"/>
  <c r="F293" i="7"/>
  <c r="K294" i="7" l="1"/>
  <c r="AY293" i="7"/>
  <c r="M295" i="6" s="1"/>
  <c r="N295" i="6" s="1"/>
  <c r="O295" i="6" s="1"/>
  <c r="G293" i="7"/>
  <c r="S294" i="7"/>
  <c r="T294" i="7" s="1"/>
  <c r="U294" i="7" s="1"/>
  <c r="AA294" i="7"/>
  <c r="AB294" i="7" s="1"/>
  <c r="AC294" i="7" l="1"/>
  <c r="B294" i="7"/>
  <c r="AZ293" i="7"/>
  <c r="P295" i="6" s="1"/>
  <c r="T295" i="6" s="1"/>
  <c r="L294" i="7"/>
  <c r="M294" i="7" s="1"/>
  <c r="C294" i="7" l="1"/>
  <c r="BA294" i="7" s="1"/>
  <c r="D294" i="7" l="1"/>
  <c r="AX294" i="7" s="1"/>
  <c r="E296" i="6" s="1"/>
  <c r="F296" i="6" s="1"/>
  <c r="I296" i="6" s="1"/>
  <c r="J296" i="6" s="1"/>
  <c r="Q296" i="6" l="1"/>
  <c r="E294" i="7"/>
  <c r="K296" i="6"/>
  <c r="S296" i="6"/>
  <c r="L296" i="6" l="1"/>
  <c r="AD294" i="7" l="1"/>
  <c r="AE294" i="7" s="1"/>
  <c r="Z295" i="7" s="1"/>
  <c r="V294" i="7"/>
  <c r="W294" i="7" s="1"/>
  <c r="R295" i="7" s="1"/>
  <c r="F294" i="7"/>
  <c r="N294" i="7"/>
  <c r="O294" i="7" s="1"/>
  <c r="J295" i="7" s="1"/>
  <c r="K295" i="7" l="1"/>
  <c r="L295" i="7" s="1"/>
  <c r="AY294" i="7"/>
  <c r="M296" i="6" s="1"/>
  <c r="N296" i="6" s="1"/>
  <c r="O296" i="6" s="1"/>
  <c r="G294" i="7"/>
  <c r="AA295" i="7"/>
  <c r="AB295" i="7" s="1"/>
  <c r="AC295" i="7" s="1"/>
  <c r="S295" i="7"/>
  <c r="T295" i="7" l="1"/>
  <c r="U295" i="7" s="1"/>
  <c r="M295" i="7"/>
  <c r="AZ294" i="7"/>
  <c r="P296" i="6" s="1"/>
  <c r="T296" i="6" s="1"/>
  <c r="B295" i="7"/>
  <c r="C295" i="7" l="1"/>
  <c r="BA295" i="7" s="1"/>
  <c r="D295" i="7" l="1"/>
  <c r="AX295" i="7" s="1"/>
  <c r="E297" i="6" s="1"/>
  <c r="F297" i="6" s="1"/>
  <c r="Q297" i="6" s="1"/>
  <c r="I297" i="6" l="1"/>
  <c r="J297" i="6" s="1"/>
  <c r="S297" i="6" s="1"/>
  <c r="E295" i="7"/>
  <c r="K297" i="6" l="1"/>
  <c r="L297" i="6" s="1"/>
  <c r="AD295" i="7" l="1"/>
  <c r="AE295" i="7" s="1"/>
  <c r="Z296" i="7" s="1"/>
  <c r="N295" i="7"/>
  <c r="O295" i="7" s="1"/>
  <c r="J296" i="7" s="1"/>
  <c r="F295" i="7"/>
  <c r="V295" i="7"/>
  <c r="W295" i="7" s="1"/>
  <c r="R296" i="7" s="1"/>
  <c r="S296" i="7" l="1"/>
  <c r="T296" i="7" s="1"/>
  <c r="U296" i="7" s="1"/>
  <c r="AY295" i="7"/>
  <c r="M297" i="6" s="1"/>
  <c r="N297" i="6" s="1"/>
  <c r="O297" i="6" s="1"/>
  <c r="G295" i="7"/>
  <c r="AA296" i="7"/>
  <c r="AB296" i="7" s="1"/>
  <c r="K296" i="7"/>
  <c r="L296" i="7" s="1"/>
  <c r="M296" i="7" s="1"/>
  <c r="AC296" i="7" l="1"/>
  <c r="B296" i="7"/>
  <c r="AZ295" i="7"/>
  <c r="P297" i="6" s="1"/>
  <c r="T297" i="6" s="1"/>
  <c r="C296" i="7" l="1"/>
  <c r="BA296" i="7" s="1"/>
  <c r="D296" i="7" l="1"/>
  <c r="AX296" i="7" s="1"/>
  <c r="E298" i="6" s="1"/>
  <c r="F298" i="6" s="1"/>
  <c r="Q298" i="6" l="1"/>
  <c r="I298" i="6"/>
  <c r="J298" i="6" s="1"/>
  <c r="E296" i="7"/>
  <c r="K298" i="6" l="1"/>
  <c r="S298" i="6"/>
  <c r="L298" i="6" l="1"/>
  <c r="AD296" i="7" l="1"/>
  <c r="AE296" i="7" s="1"/>
  <c r="Z297" i="7" s="1"/>
  <c r="N296" i="7"/>
  <c r="O296" i="7" s="1"/>
  <c r="J297" i="7" s="1"/>
  <c r="V296" i="7"/>
  <c r="W296" i="7" s="1"/>
  <c r="R297" i="7" s="1"/>
  <c r="F296" i="7"/>
  <c r="AY296" i="7" l="1"/>
  <c r="M298" i="6" s="1"/>
  <c r="N298" i="6" s="1"/>
  <c r="O298" i="6" s="1"/>
  <c r="G296" i="7"/>
  <c r="S297" i="7"/>
  <c r="T297" i="7" s="1"/>
  <c r="K297" i="7"/>
  <c r="L297" i="7" s="1"/>
  <c r="AA297" i="7"/>
  <c r="AB297" i="7" s="1"/>
  <c r="U297" i="7" l="1"/>
  <c r="AC297" i="7"/>
  <c r="M297" i="7"/>
  <c r="AZ296" i="7"/>
  <c r="P298" i="6" s="1"/>
  <c r="T298" i="6" s="1"/>
  <c r="B297" i="7"/>
  <c r="C297" i="7" l="1"/>
  <c r="BA297" i="7" s="1"/>
  <c r="D297" i="7" l="1"/>
  <c r="AX297" i="7" s="1"/>
  <c r="E299" i="6" s="1"/>
  <c r="F299" i="6" s="1"/>
  <c r="E297" i="7" l="1"/>
  <c r="I299" i="6"/>
  <c r="J299" i="6" s="1"/>
  <c r="Q299" i="6"/>
  <c r="K299" i="6" l="1"/>
  <c r="S299" i="6"/>
  <c r="L299" i="6" l="1"/>
  <c r="AD297" i="7" l="1"/>
  <c r="AE297" i="7" s="1"/>
  <c r="Z298" i="7" s="1"/>
  <c r="N297" i="7"/>
  <c r="O297" i="7" s="1"/>
  <c r="J298" i="7" s="1"/>
  <c r="F297" i="7"/>
  <c r="V297" i="7"/>
  <c r="W297" i="7" s="1"/>
  <c r="R298" i="7" s="1"/>
  <c r="AY297" i="7" l="1"/>
  <c r="M299" i="6" s="1"/>
  <c r="N299" i="6" s="1"/>
  <c r="O299" i="6" s="1"/>
  <c r="G297" i="7"/>
  <c r="K298" i="7"/>
  <c r="L298" i="7" s="1"/>
  <c r="S298" i="7"/>
  <c r="AA298" i="7"/>
  <c r="AB298" i="7" s="1"/>
  <c r="AC298" i="7" l="1"/>
  <c r="T298" i="7"/>
  <c r="U298" i="7" s="1"/>
  <c r="M298" i="7"/>
  <c r="B298" i="7"/>
  <c r="AZ297" i="7"/>
  <c r="P299" i="6" s="1"/>
  <c r="T299" i="6" s="1"/>
  <c r="C298" i="7" l="1"/>
  <c r="BA298" i="7" s="1"/>
  <c r="D298" i="7" l="1"/>
  <c r="AX298" i="7" s="1"/>
  <c r="E300" i="6" s="1"/>
  <c r="F300" i="6" s="1"/>
  <c r="E298" i="7" l="1"/>
  <c r="I300" i="6"/>
  <c r="J300" i="6" s="1"/>
  <c r="Q300" i="6"/>
  <c r="S300" i="6" l="1"/>
  <c r="K300" i="6"/>
  <c r="L300" i="6" l="1"/>
  <c r="AD298" i="7" l="1"/>
  <c r="AE298" i="7" s="1"/>
  <c r="Z299" i="7" s="1"/>
  <c r="N298" i="7"/>
  <c r="O298" i="7" s="1"/>
  <c r="J299" i="7" s="1"/>
  <c r="F298" i="7"/>
  <c r="V298" i="7"/>
  <c r="W298" i="7" s="1"/>
  <c r="R299" i="7" s="1"/>
  <c r="S299" i="7" l="1"/>
  <c r="AY298" i="7"/>
  <c r="M300" i="6" s="1"/>
  <c r="N300" i="6" s="1"/>
  <c r="O300" i="6" s="1"/>
  <c r="G298" i="7"/>
  <c r="K299" i="7"/>
  <c r="L299" i="7" s="1"/>
  <c r="AA299" i="7"/>
  <c r="M299" i="7" l="1"/>
  <c r="AB299" i="7"/>
  <c r="AC299" i="7" s="1"/>
  <c r="B299" i="7"/>
  <c r="AZ298" i="7"/>
  <c r="P300" i="6" s="1"/>
  <c r="T300" i="6" s="1"/>
  <c r="T299" i="7"/>
  <c r="U299" i="7" s="1"/>
  <c r="C299" i="7" l="1"/>
  <c r="BA299" i="7" s="1"/>
  <c r="D299" i="7" l="1"/>
  <c r="AX299" i="7" s="1"/>
  <c r="E301" i="6" s="1"/>
  <c r="F301" i="6" s="1"/>
  <c r="Q301" i="6" l="1"/>
  <c r="I301" i="6"/>
  <c r="J301" i="6" s="1"/>
  <c r="E299" i="7"/>
  <c r="K301" i="6" l="1"/>
  <c r="S301" i="6"/>
  <c r="L301" i="6" l="1"/>
  <c r="AD299" i="7" l="1"/>
  <c r="AE299" i="7" s="1"/>
  <c r="Z300" i="7" s="1"/>
  <c r="F299" i="7"/>
  <c r="V299" i="7"/>
  <c r="W299" i="7" s="1"/>
  <c r="R300" i="7" s="1"/>
  <c r="N299" i="7"/>
  <c r="O299" i="7" s="1"/>
  <c r="J300" i="7" s="1"/>
  <c r="S300" i="7" l="1"/>
  <c r="T300" i="7" s="1"/>
  <c r="U300" i="7" s="1"/>
  <c r="AY299" i="7"/>
  <c r="M301" i="6" s="1"/>
  <c r="N301" i="6" s="1"/>
  <c r="O301" i="6" s="1"/>
  <c r="G299" i="7"/>
  <c r="K300" i="7"/>
  <c r="AA300" i="7"/>
  <c r="AZ299" i="7" l="1"/>
  <c r="P301" i="6" s="1"/>
  <c r="T301" i="6" s="1"/>
  <c r="B300" i="7"/>
  <c r="AB300" i="7"/>
  <c r="AC300" i="7" s="1"/>
  <c r="L300" i="7"/>
  <c r="M300" i="7" s="1"/>
  <c r="C300" i="7" l="1"/>
  <c r="BA300" i="7" s="1"/>
  <c r="D300" i="7" l="1"/>
  <c r="AX300" i="7" s="1"/>
  <c r="E302" i="6" s="1"/>
  <c r="F302" i="6" s="1"/>
  <c r="I302" i="6" s="1"/>
  <c r="J302" i="6" s="1"/>
  <c r="Q302" i="6" l="1"/>
  <c r="E300" i="7"/>
  <c r="S302" i="6"/>
  <c r="K302" i="6"/>
  <c r="L302" i="6" l="1"/>
  <c r="AD300" i="7" l="1"/>
  <c r="AE300" i="7" s="1"/>
  <c r="Z301" i="7" s="1"/>
  <c r="V300" i="7"/>
  <c r="W300" i="7" s="1"/>
  <c r="R301" i="7" s="1"/>
  <c r="F300" i="7"/>
  <c r="N300" i="7"/>
  <c r="O300" i="7" s="1"/>
  <c r="J301" i="7" s="1"/>
  <c r="K301" i="7" l="1"/>
  <c r="AY300" i="7"/>
  <c r="M302" i="6" s="1"/>
  <c r="N302" i="6" s="1"/>
  <c r="O302" i="6" s="1"/>
  <c r="G300" i="7"/>
  <c r="S301" i="7"/>
  <c r="AA301" i="7"/>
  <c r="AB301" i="7" s="1"/>
  <c r="AC301" i="7" l="1"/>
  <c r="T301" i="7"/>
  <c r="U301" i="7" s="1"/>
  <c r="B301" i="7"/>
  <c r="AZ300" i="7"/>
  <c r="P302" i="6" s="1"/>
  <c r="T302" i="6" s="1"/>
  <c r="L301" i="7"/>
  <c r="M301" i="7" s="1"/>
  <c r="C301" i="7" l="1"/>
  <c r="BA301" i="7" s="1"/>
  <c r="D301" i="7" l="1"/>
  <c r="AX301" i="7" s="1"/>
  <c r="E303" i="6" s="1"/>
  <c r="F303" i="6" s="1"/>
  <c r="E301" i="7" l="1"/>
  <c r="I303" i="6"/>
  <c r="J303" i="6" s="1"/>
  <c r="Q303" i="6"/>
  <c r="K303" i="6" l="1"/>
  <c r="S303" i="6"/>
  <c r="L303" i="6" l="1"/>
  <c r="AD301" i="7" l="1"/>
  <c r="AE301" i="7" s="1"/>
  <c r="Z302" i="7" s="1"/>
  <c r="F301" i="7"/>
  <c r="N301" i="7"/>
  <c r="O301" i="7" s="1"/>
  <c r="J302" i="7" s="1"/>
  <c r="V301" i="7"/>
  <c r="W301" i="7" s="1"/>
  <c r="R302" i="7" s="1"/>
  <c r="K302" i="7" l="1"/>
  <c r="L302" i="7" s="1"/>
  <c r="AY301" i="7"/>
  <c r="M303" i="6" s="1"/>
  <c r="N303" i="6" s="1"/>
  <c r="O303" i="6" s="1"/>
  <c r="G301" i="7"/>
  <c r="S302" i="7"/>
  <c r="AA302" i="7"/>
  <c r="T302" i="7" l="1"/>
  <c r="U302" i="7" s="1"/>
  <c r="AB302" i="7"/>
  <c r="AC302" i="7" s="1"/>
  <c r="B302" i="7"/>
  <c r="AZ301" i="7"/>
  <c r="P303" i="6" s="1"/>
  <c r="T303" i="6" s="1"/>
  <c r="M302" i="7"/>
  <c r="C302" i="7" l="1"/>
  <c r="BA302" i="7" s="1"/>
  <c r="B27" i="2" s="1"/>
  <c r="B28" i="2" s="1"/>
  <c r="D302" i="7" l="1"/>
  <c r="AX302" i="7" s="1"/>
  <c r="E304" i="6" s="1"/>
  <c r="F304" i="6" s="1"/>
  <c r="Q304" i="6" s="1"/>
  <c r="B34" i="2" s="1"/>
  <c r="E302" i="7" l="1"/>
  <c r="I304" i="6"/>
  <c r="J304" i="6" s="1"/>
  <c r="S304" i="6" s="1"/>
  <c r="B22" i="2" s="1" a="1"/>
  <c r="B22" i="2" s="1"/>
  <c r="K304" i="6" l="1"/>
  <c r="L304" i="6" s="1"/>
  <c r="AD302" i="7" s="1"/>
  <c r="AE302" i="7" s="1"/>
  <c r="V302" i="7" l="1"/>
  <c r="W302" i="7" s="1"/>
  <c r="N302" i="7"/>
  <c r="O302" i="7" s="1"/>
  <c r="F302" i="7"/>
  <c r="AY302" i="7" l="1"/>
  <c r="M304" i="6" s="1"/>
  <c r="N304" i="6" s="1"/>
  <c r="O304" i="6" s="1"/>
  <c r="G302" i="7"/>
  <c r="AZ302" i="7" s="1"/>
  <c r="P304" i="6" s="1"/>
  <c r="T304" i="6" s="1"/>
  <c r="B25" i="2" s="1" a="1"/>
  <c r="B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300-000001000000}">
      <text>
        <r>
          <rPr>
            <sz val="11"/>
            <color theme="1"/>
            <rFont val="Calibri"/>
            <scheme val="minor"/>
          </rPr>
          <t>TAEG moyen pondéré par le capital restant dû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400-00000C000000}">
      <text>
        <r>
          <rPr>
            <sz val="11"/>
            <color theme="1"/>
            <rFont val="Calibri"/>
            <scheme val="minor"/>
          </rPr>
          <t>Salaire et autres revenus réellement reçus ce mois.</t>
        </r>
      </text>
    </comment>
    <comment ref="C5" authorId="0" shapeId="0" xr:uid="{00000000-0006-0000-0400-00000D000000}">
      <text>
        <r>
          <rPr>
            <sz val="11"/>
            <color theme="1"/>
            <rFont val="Calibri"/>
            <scheme val="minor"/>
          </rPr>
          <t>Total réellement dépensé ce mois, hors mensualités de crédit.</t>
        </r>
      </text>
    </comment>
    <comment ref="D5" authorId="0" shapeId="0" xr:uid="{00000000-0006-0000-0400-00000E000000}">
      <text>
        <r>
          <rPr>
            <sz val="11"/>
            <color theme="1"/>
            <rFont val="Calibri"/>
            <scheme val="minor"/>
          </rPr>
          <t>Solde du livret/compte dédié au déménagement en fin de mois.</t>
        </r>
      </text>
    </comment>
    <comment ref="E5" authorId="0" shapeId="0" xr:uid="{00000000-0006-0000-0400-000001000000}">
      <text>
        <r>
          <rPr>
            <sz val="11"/>
            <color theme="1"/>
            <rFont val="Calibri"/>
            <scheme val="minor"/>
          </rPr>
          <t>Solde de votre épargne de précaution en fin de mois.</t>
        </r>
      </text>
    </comment>
    <comment ref="F5" authorId="0" shapeId="0" xr:uid="{00000000-0006-0000-0400-000002000000}">
      <text>
        <r>
          <rPr>
            <sz val="11"/>
            <color theme="1"/>
            <rFont val="Calibri"/>
            <scheme val="minor"/>
          </rPr>
          <t>Solde du reste de votre épargne en fin de mois.</t>
        </r>
      </text>
    </comment>
    <comment ref="G5" authorId="0" shapeId="0" xr:uid="{00000000-0006-0000-0400-000003000000}">
      <text>
        <r>
          <rPr>
            <sz val="11"/>
            <color theme="1"/>
            <rFont val="Calibri"/>
            <scheme val="minor"/>
          </rPr>
          <t>Capital restant dû lu sur votre espace bancaire (pas la mensualité).</t>
        </r>
      </text>
    </comment>
    <comment ref="H5" authorId="0" shapeId="0" xr:uid="{00000000-0006-0000-0400-000004000000}">
      <text>
        <r>
          <rPr>
            <sz val="11"/>
            <color theme="1"/>
            <rFont val="Calibri"/>
            <scheme val="minor"/>
          </rPr>
          <t>Capital restant dû lu sur votre espace bancaire (pas la mensualité).</t>
        </r>
      </text>
    </comment>
    <comment ref="I5" authorId="0" shapeId="0" xr:uid="{00000000-0006-0000-0400-000005000000}">
      <text>
        <r>
          <rPr>
            <sz val="11"/>
            <color theme="1"/>
            <rFont val="Calibri"/>
            <scheme val="minor"/>
          </rPr>
          <t>Capital restant dû lu sur votre espace bancaire (pas la mensualité).</t>
        </r>
      </text>
    </comment>
    <comment ref="J5" authorId="0" shapeId="0" xr:uid="{00000000-0006-0000-0400-000006000000}">
      <text>
        <r>
          <rPr>
            <sz val="11"/>
            <color theme="1"/>
            <rFont val="Calibri"/>
            <scheme val="minor"/>
          </rPr>
          <t>Capital restant dû lu sur votre espace bancaire (pas la mensualité).</t>
        </r>
      </text>
    </comment>
    <comment ref="K5" authorId="0" shapeId="0" xr:uid="{00000000-0006-0000-0400-000007000000}">
      <text>
        <r>
          <rPr>
            <sz val="11"/>
            <color theme="1"/>
            <rFont val="Calibri"/>
            <scheme val="minor"/>
          </rPr>
          <t>Capital restant dû lu sur votre espace bancaire (pas la mensualité).</t>
        </r>
      </text>
    </comment>
    <comment ref="L5" authorId="0" shapeId="0" xr:uid="{00000000-0006-0000-0400-000008000000}">
      <text>
        <r>
          <rPr>
            <sz val="11"/>
            <color theme="1"/>
            <rFont val="Calibri"/>
            <scheme val="minor"/>
          </rPr>
          <t>Capital restant dû lu sur votre espace bancaire (pas la mensualité).</t>
        </r>
      </text>
    </comment>
    <comment ref="O5" authorId="0" shapeId="0" xr:uid="{00000000-0006-0000-0400-000009000000}">
      <text>
        <r>
          <rPr>
            <sz val="11"/>
            <color theme="1"/>
            <rFont val="Calibri"/>
            <scheme val="minor"/>
          </rPr>
          <t>Réel − prévu. Négatif = moins de dettes que prévu (bien).</t>
        </r>
      </text>
    </comment>
    <comment ref="R5" authorId="0" shapeId="0" xr:uid="{00000000-0006-0000-0400-00000A000000}">
      <text>
        <r>
          <rPr>
            <sz val="11"/>
            <color theme="1"/>
            <rFont val="Calibri"/>
            <scheme val="minor"/>
          </rPr>
          <t>Réel − prévu. Positif = plus d'épargne que prévu (bien).</t>
        </r>
      </text>
    </comment>
    <comment ref="U5" authorId="0" shapeId="0" xr:uid="{00000000-0006-0000-0400-00000B000000}">
      <text>
        <r>
          <rPr>
            <sz val="11"/>
            <color theme="1"/>
            <rFont val="Calibri"/>
            <scheme val="minor"/>
          </rPr>
          <t>Vert = en avance ou dans les temps, orange = mitigé, rouge = en retard.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500-00000F000000}">
      <text>
        <r>
          <rPr>
            <sz val="11"/>
            <color theme="1"/>
            <rFont val="Calibri"/>
            <scheme val="minor"/>
          </rPr>
          <t>Numéro du mois depuis le début du plan.</t>
        </r>
      </text>
    </comment>
    <comment ref="B4" authorId="0" shapeId="0" xr:uid="{00000000-0006-0000-0500-000010000000}">
      <text>
        <r>
          <rPr>
            <sz val="11"/>
            <color theme="1"/>
            <rFont val="Calibri"/>
            <scheme val="minor"/>
          </rPr>
          <t>Mois concerné.</t>
        </r>
      </text>
    </comment>
    <comment ref="C4" authorId="0" shapeId="0" xr:uid="{00000000-0006-0000-0500-000011000000}">
      <text>
        <r>
          <rPr>
            <sz val="11"/>
            <color theme="1"/>
            <rFont val="Calibri"/>
            <scheme val="minor"/>
          </rPr>
          <t>Vos revenus mensuels (onglet Budget).</t>
        </r>
      </text>
    </comment>
    <comment ref="D4" authorId="0" shapeId="0" xr:uid="{00000000-0006-0000-0500-000001000000}">
      <text>
        <r>
          <rPr>
            <sz val="11"/>
            <color theme="1"/>
            <rFont val="Calibri"/>
            <scheme val="minor"/>
          </rPr>
          <t>Charges fixes + dépenses variables (onglet Budget).</t>
        </r>
      </text>
    </comment>
    <comment ref="E4" authorId="0" shapeId="0" xr:uid="{00000000-0006-0000-0500-000002000000}">
      <text>
        <r>
          <rPr>
            <sz val="11"/>
            <color theme="1"/>
            <rFont val="Calibri"/>
            <scheme val="minor"/>
          </rPr>
          <t>Somme des mensualités normales de vos crédits ce mois-ci. Baisse quand un crédit est terminé.</t>
        </r>
      </text>
    </comment>
    <comment ref="F4" authorId="0" shapeId="0" xr:uid="{00000000-0006-0000-0500-000003000000}">
      <text>
        <r>
          <rPr>
            <sz val="11"/>
            <color theme="1"/>
            <rFont val="Calibri"/>
            <scheme val="minor"/>
          </rPr>
          <t>= Revenus − Dépenses − Mensualités. C'est l'argent à répartir ce mois-ci.</t>
        </r>
      </text>
    </comment>
    <comment ref="G4" authorId="0" shapeId="0" xr:uid="{00000000-0006-0000-0500-000004000000}">
      <text>
        <r>
          <rPr>
            <sz val="11"/>
            <color theme="1"/>
            <rFont val="Calibri"/>
            <scheme val="minor"/>
          </rPr>
          <t>Montant mis de côté ce mois pour le déménagement (jusqu'à l'objectif et la date limite).</t>
        </r>
      </text>
    </comment>
    <comment ref="H4" authorId="0" shapeId="0" xr:uid="{00000000-0006-0000-0500-000005000000}">
      <text>
        <r>
          <rPr>
            <sz val="11"/>
            <color theme="1"/>
            <rFont val="Calibri"/>
            <scheme val="minor"/>
          </rPr>
          <t>Total épargné pour le déménagement à la fin du mois.</t>
        </r>
      </text>
    </comment>
    <comment ref="I4" authorId="0" shapeId="0" xr:uid="{00000000-0006-0000-0500-000006000000}">
      <text>
        <r>
          <rPr>
            <sz val="11"/>
            <color theme="1"/>
            <rFont val="Calibri"/>
            <scheme val="minor"/>
          </rPr>
          <t>Montant versé ce mois dans le fonds d'urgence (une fois le déménagement financé ou la date passée).</t>
        </r>
      </text>
    </comment>
    <comment ref="J4" authorId="0" shapeId="0" xr:uid="{00000000-0006-0000-0500-000007000000}">
      <text>
        <r>
          <rPr>
            <sz val="11"/>
            <color theme="1"/>
            <rFont val="Calibri"/>
            <scheme val="minor"/>
          </rPr>
          <t>Total du fonds d'urgence à la fin du mois.</t>
        </r>
      </text>
    </comment>
    <comment ref="K4" authorId="0" shapeId="0" xr:uid="{00000000-0006-0000-0500-000008000000}">
      <text>
        <r>
          <rPr>
            <sz val="11"/>
            <color theme="1"/>
            <rFont val="Calibri"/>
            <scheme val="minor"/>
          </rPr>
          <t>Ce qui reste après déménagement et fonds d'urgence.</t>
        </r>
      </text>
    </comment>
    <comment ref="L4" authorId="0" shapeId="0" xr:uid="{00000000-0006-0000-0500-000009000000}">
      <text>
        <r>
          <rPr>
            <sz val="11"/>
            <color theme="1"/>
            <rFont val="Calibri"/>
            <scheme val="minor"/>
          </rPr>
          <t>Part du reste utilisée pour rembourser par anticipation (selon le % choisi dans Budget).</t>
        </r>
      </text>
    </comment>
    <comment ref="M4" authorId="0" shapeId="0" xr:uid="{00000000-0006-0000-0500-00000A000000}">
      <text>
        <r>
          <rPr>
            <sz val="11"/>
            <color theme="1"/>
            <rFont val="Calibri"/>
            <scheme val="minor"/>
          </rPr>
          <t>Montant prévu pour le remb. anticipé mais inutilisé car les crédits éligibles sont déjà soldés. Il part en épargne.</t>
        </r>
      </text>
    </comment>
    <comment ref="N4" authorId="0" shapeId="0" xr:uid="{00000000-0006-0000-0500-00000B000000}">
      <text>
        <r>
          <rPr>
            <sz val="11"/>
            <color theme="1"/>
            <rFont val="Calibri"/>
            <scheme val="minor"/>
          </rPr>
          <t>Épargne libre ajoutée ce mois.</t>
        </r>
      </text>
    </comment>
    <comment ref="O4" authorId="0" shapeId="0" xr:uid="{00000000-0006-0000-0500-00000C000000}">
      <text>
        <r>
          <rPr>
            <sz val="11"/>
            <color theme="1"/>
            <rFont val="Calibri"/>
            <scheme val="minor"/>
          </rPr>
          <t>Total de l'épargne libre à la fin du mois.</t>
        </r>
      </text>
    </comment>
    <comment ref="P4" authorId="0" shapeId="0" xr:uid="{00000000-0006-0000-0500-00000D000000}">
      <text>
        <r>
          <rPr>
            <sz val="11"/>
            <color theme="1"/>
            <rFont val="Calibri"/>
            <scheme val="minor"/>
          </rPr>
          <t>Capital total restant à rembourser sur tous vos crédits en fin de mois.</t>
        </r>
      </text>
    </comment>
    <comment ref="Q4" authorId="0" shapeId="0" xr:uid="{00000000-0006-0000-0500-00000E000000}">
      <text>
        <r>
          <rPr>
            <sz val="11"/>
            <color theme="1"/>
            <rFont val="Calibri"/>
            <scheme val="minor"/>
          </rPr>
          <t>S'affiche si vos dépenses dépassent vos revenus ce mois-ci.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600-000001000000}">
      <text>
        <r>
          <rPr>
            <sz val="11"/>
            <color theme="1"/>
            <rFont val="Calibri"/>
            <scheme val="minor"/>
          </rPr>
          <t>Légende :
Un bloc de couleur = un crédit
Colonnes grises = scénario
  SANS remb. anticipé (comparaison)
Violet gras = remb. anticipé
Vert = crédit soldé
Survolez les titres pour
  l'explication de chaque colonne</t>
        </r>
      </text>
    </comment>
    <comment ref="B2" authorId="0" shapeId="0" xr:uid="{00000000-0006-0000-0600-000002000000}">
      <text>
        <r>
          <rPr>
            <sz val="11"/>
            <color theme="1"/>
            <rFont val="Calibri"/>
            <scheme val="minor"/>
          </rPr>
          <t>Capital restant dû au début du mois.</t>
        </r>
      </text>
    </comment>
    <comment ref="C2" authorId="0" shapeId="0" xr:uid="{00000000-0006-0000-0600-000003000000}">
      <text>
        <r>
          <rPr>
            <sz val="11"/>
            <color theme="1"/>
            <rFont val="Calibri"/>
            <scheme val="minor"/>
          </rPr>
          <t>Intérêts du mois (Solde début × TAEG / 12).</t>
        </r>
      </text>
    </comment>
    <comment ref="D2" authorId="0" shapeId="0" xr:uid="{00000000-0006-0000-0600-000004000000}">
      <text>
        <r>
          <rPr>
            <sz val="11"/>
            <color theme="1"/>
            <rFont val="Calibri"/>
            <scheme val="minor"/>
          </rPr>
          <t>Mensualité normale payée ce mois.</t>
        </r>
      </text>
    </comment>
    <comment ref="E2" authorId="0" shapeId="0" xr:uid="{00000000-0006-0000-0600-000005000000}">
      <text>
        <r>
          <rPr>
            <sz val="11"/>
            <color theme="1"/>
            <rFont val="Calibri"/>
            <scheme val="minor"/>
          </rPr>
          <t>Solde après la mensualité normale.</t>
        </r>
      </text>
    </comment>
    <comment ref="F2" authorId="0" shapeId="0" xr:uid="{00000000-0006-0000-0600-000006000000}">
      <text>
        <r>
          <rPr>
            <sz val="11"/>
            <color theme="1"/>
            <rFont val="Calibri"/>
            <scheme val="minor"/>
          </rPr>
          <t>Remboursement anticipé affecté à ce crédit ce mois (priorité TAEG).</t>
        </r>
      </text>
    </comment>
    <comment ref="G2" authorId="0" shapeId="0" xr:uid="{00000000-0006-0000-0600-000007000000}">
      <text>
        <r>
          <rPr>
            <sz val="11"/>
            <color theme="1"/>
            <rFont val="Calibri"/>
            <scheme val="minor"/>
          </rPr>
          <t>Capital restant en fin de mois AVEC le plan.</t>
        </r>
      </text>
    </comment>
    <comment ref="H2" authorId="0" shapeId="0" xr:uid="{00000000-0006-0000-0600-000008000000}">
      <text>
        <r>
          <rPr>
            <sz val="11"/>
            <color theme="1"/>
            <rFont val="Calibri"/>
            <scheme val="minor"/>
          </rPr>
          <t>Capital restant en fin de mois SANS remboursement anticipé (scénario de comparaison).</t>
        </r>
      </text>
    </comment>
    <comment ref="I2" authorId="0" shapeId="0" xr:uid="{00000000-0006-0000-0600-000009000000}">
      <text>
        <r>
          <rPr>
            <sz val="11"/>
            <color theme="1"/>
            <rFont val="Calibri"/>
            <scheme val="minor"/>
          </rPr>
          <t>Intérêts du mois SANS remboursement anticipé (sert à calculer les intérêts économisés).</t>
        </r>
      </text>
    </comment>
    <comment ref="J2" authorId="0" shapeId="0" xr:uid="{00000000-0006-0000-0600-00000A000000}">
      <text>
        <r>
          <rPr>
            <sz val="11"/>
            <color theme="1"/>
            <rFont val="Calibri"/>
            <scheme val="minor"/>
          </rPr>
          <t>Capital restant dû au début du mois.</t>
        </r>
      </text>
    </comment>
    <comment ref="K2" authorId="0" shapeId="0" xr:uid="{00000000-0006-0000-0600-00000B000000}">
      <text>
        <r>
          <rPr>
            <sz val="11"/>
            <color theme="1"/>
            <rFont val="Calibri"/>
            <scheme val="minor"/>
          </rPr>
          <t>Intérêts du mois (Solde début × TAEG / 12).</t>
        </r>
      </text>
    </comment>
    <comment ref="L2" authorId="0" shapeId="0" xr:uid="{00000000-0006-0000-0600-00000C000000}">
      <text>
        <r>
          <rPr>
            <sz val="11"/>
            <color theme="1"/>
            <rFont val="Calibri"/>
            <scheme val="minor"/>
          </rPr>
          <t>Mensualité normale payée ce mois.</t>
        </r>
      </text>
    </comment>
    <comment ref="M2" authorId="0" shapeId="0" xr:uid="{00000000-0006-0000-0600-00000D000000}">
      <text>
        <r>
          <rPr>
            <sz val="11"/>
            <color theme="1"/>
            <rFont val="Calibri"/>
            <scheme val="minor"/>
          </rPr>
          <t>Solde après la mensualité normale.</t>
        </r>
      </text>
    </comment>
    <comment ref="N2" authorId="0" shapeId="0" xr:uid="{00000000-0006-0000-0600-00000E000000}">
      <text>
        <r>
          <rPr>
            <sz val="11"/>
            <color theme="1"/>
            <rFont val="Calibri"/>
            <scheme val="minor"/>
          </rPr>
          <t>Remboursement anticipé affecté à ce crédit ce mois (priorité TAEG).</t>
        </r>
      </text>
    </comment>
    <comment ref="O2" authorId="0" shapeId="0" xr:uid="{00000000-0006-0000-0600-00000F000000}">
      <text>
        <r>
          <rPr>
            <sz val="11"/>
            <color theme="1"/>
            <rFont val="Calibri"/>
            <scheme val="minor"/>
          </rPr>
          <t>Capital restant en fin de mois AVEC le plan.</t>
        </r>
      </text>
    </comment>
    <comment ref="P2" authorId="0" shapeId="0" xr:uid="{00000000-0006-0000-0600-000010000000}">
      <text>
        <r>
          <rPr>
            <sz val="11"/>
            <color theme="1"/>
            <rFont val="Calibri"/>
            <scheme val="minor"/>
          </rPr>
          <t>Capital restant en fin de mois SANS remboursement anticipé (scénario de comparaison).</t>
        </r>
      </text>
    </comment>
    <comment ref="Q2" authorId="0" shapeId="0" xr:uid="{00000000-0006-0000-0600-000011000000}">
      <text>
        <r>
          <rPr>
            <sz val="11"/>
            <color theme="1"/>
            <rFont val="Calibri"/>
            <scheme val="minor"/>
          </rPr>
          <t>Intérêts du mois SANS remboursement anticipé (sert à calculer les intérêts économisés).</t>
        </r>
      </text>
    </comment>
    <comment ref="R2" authorId="0" shapeId="0" xr:uid="{00000000-0006-0000-0600-000012000000}">
      <text>
        <r>
          <rPr>
            <sz val="11"/>
            <color theme="1"/>
            <rFont val="Calibri"/>
            <scheme val="minor"/>
          </rPr>
          <t>Capital restant dû au début du mois.</t>
        </r>
      </text>
    </comment>
    <comment ref="S2" authorId="0" shapeId="0" xr:uid="{00000000-0006-0000-0600-000013000000}">
      <text>
        <r>
          <rPr>
            <sz val="11"/>
            <color theme="1"/>
            <rFont val="Calibri"/>
            <scheme val="minor"/>
          </rPr>
          <t>Intérêts du mois (Solde début × TAEG / 12).</t>
        </r>
      </text>
    </comment>
    <comment ref="T2" authorId="0" shapeId="0" xr:uid="{00000000-0006-0000-0600-000014000000}">
      <text>
        <r>
          <rPr>
            <sz val="11"/>
            <color theme="1"/>
            <rFont val="Calibri"/>
            <scheme val="minor"/>
          </rPr>
          <t>Mensualité normale payée ce mois.</t>
        </r>
      </text>
    </comment>
    <comment ref="U2" authorId="0" shapeId="0" xr:uid="{00000000-0006-0000-0600-000015000000}">
      <text>
        <r>
          <rPr>
            <sz val="11"/>
            <color theme="1"/>
            <rFont val="Calibri"/>
            <scheme val="minor"/>
          </rPr>
          <t>Solde après la mensualité normale.</t>
        </r>
      </text>
    </comment>
    <comment ref="V2" authorId="0" shapeId="0" xr:uid="{00000000-0006-0000-0600-000016000000}">
      <text>
        <r>
          <rPr>
            <sz val="11"/>
            <color theme="1"/>
            <rFont val="Calibri"/>
            <scheme val="minor"/>
          </rPr>
          <t>Remboursement anticipé affecté à ce crédit ce mois (priorité TAEG).</t>
        </r>
      </text>
    </comment>
    <comment ref="W2" authorId="0" shapeId="0" xr:uid="{00000000-0006-0000-0600-000017000000}">
      <text>
        <r>
          <rPr>
            <sz val="11"/>
            <color theme="1"/>
            <rFont val="Calibri"/>
            <scheme val="minor"/>
          </rPr>
          <t>Capital restant en fin de mois AVEC le plan.</t>
        </r>
      </text>
    </comment>
    <comment ref="X2" authorId="0" shapeId="0" xr:uid="{00000000-0006-0000-0600-000018000000}">
      <text>
        <r>
          <rPr>
            <sz val="11"/>
            <color theme="1"/>
            <rFont val="Calibri"/>
            <scheme val="minor"/>
          </rPr>
          <t>Capital restant en fin de mois SANS remboursement anticipé (scénario de comparaison).</t>
        </r>
      </text>
    </comment>
    <comment ref="Y2" authorId="0" shapeId="0" xr:uid="{00000000-0006-0000-0600-000019000000}">
      <text>
        <r>
          <rPr>
            <sz val="11"/>
            <color theme="1"/>
            <rFont val="Calibri"/>
            <scheme val="minor"/>
          </rPr>
          <t>Intérêts du mois SANS remboursement anticipé (sert à calculer les intérêts économisés).</t>
        </r>
      </text>
    </comment>
    <comment ref="Z2" authorId="0" shapeId="0" xr:uid="{00000000-0006-0000-0600-00001A000000}">
      <text>
        <r>
          <rPr>
            <sz val="11"/>
            <color theme="1"/>
            <rFont val="Calibri"/>
            <scheme val="minor"/>
          </rPr>
          <t>Capital restant dû au début du mois.</t>
        </r>
      </text>
    </comment>
    <comment ref="AA2" authorId="0" shapeId="0" xr:uid="{00000000-0006-0000-0600-00001B000000}">
      <text>
        <r>
          <rPr>
            <sz val="11"/>
            <color theme="1"/>
            <rFont val="Calibri"/>
            <scheme val="minor"/>
          </rPr>
          <t>Intérêts du mois (Solde début × TAEG / 12).</t>
        </r>
      </text>
    </comment>
    <comment ref="AB2" authorId="0" shapeId="0" xr:uid="{00000000-0006-0000-0600-00001C000000}">
      <text>
        <r>
          <rPr>
            <sz val="11"/>
            <color theme="1"/>
            <rFont val="Calibri"/>
            <scheme val="minor"/>
          </rPr>
          <t>Mensualité normale payée ce mois.</t>
        </r>
      </text>
    </comment>
    <comment ref="AC2" authorId="0" shapeId="0" xr:uid="{00000000-0006-0000-0600-00001D000000}">
      <text>
        <r>
          <rPr>
            <sz val="11"/>
            <color theme="1"/>
            <rFont val="Calibri"/>
            <scheme val="minor"/>
          </rPr>
          <t>Solde après la mensualité normale.</t>
        </r>
      </text>
    </comment>
    <comment ref="AD2" authorId="0" shapeId="0" xr:uid="{00000000-0006-0000-0600-00001E000000}">
      <text>
        <r>
          <rPr>
            <sz val="11"/>
            <color theme="1"/>
            <rFont val="Calibri"/>
            <scheme val="minor"/>
          </rPr>
          <t>Remboursement anticipé affecté à ce crédit ce mois (priorité TAEG).</t>
        </r>
      </text>
    </comment>
    <comment ref="AE2" authorId="0" shapeId="0" xr:uid="{00000000-0006-0000-0600-00001F000000}">
      <text>
        <r>
          <rPr>
            <sz val="11"/>
            <color theme="1"/>
            <rFont val="Calibri"/>
            <scheme val="minor"/>
          </rPr>
          <t>Capital restant en fin de mois AVEC le plan.</t>
        </r>
      </text>
    </comment>
    <comment ref="AF2" authorId="0" shapeId="0" xr:uid="{00000000-0006-0000-0600-000020000000}">
      <text>
        <r>
          <rPr>
            <sz val="11"/>
            <color theme="1"/>
            <rFont val="Calibri"/>
            <scheme val="minor"/>
          </rPr>
          <t>Capital restant en fin de mois SANS remboursement anticipé (scénario de comparaison).</t>
        </r>
      </text>
    </comment>
    <comment ref="AG2" authorId="0" shapeId="0" xr:uid="{00000000-0006-0000-0600-000021000000}">
      <text>
        <r>
          <rPr>
            <sz val="11"/>
            <color theme="1"/>
            <rFont val="Calibri"/>
            <scheme val="minor"/>
          </rPr>
          <t>Intérêts du mois SANS remboursement anticipé (sert à calculer les intérêts économisés).</t>
        </r>
      </text>
    </comment>
    <comment ref="AH2" authorId="0" shapeId="0" xr:uid="{00000000-0006-0000-0600-000022000000}">
      <text>
        <r>
          <rPr>
            <sz val="11"/>
            <color theme="1"/>
            <rFont val="Calibri"/>
            <scheme val="minor"/>
          </rPr>
          <t>Capital restant dû au début du mois.</t>
        </r>
      </text>
    </comment>
    <comment ref="AI2" authorId="0" shapeId="0" xr:uid="{00000000-0006-0000-0600-000023000000}">
      <text>
        <r>
          <rPr>
            <sz val="11"/>
            <color theme="1"/>
            <rFont val="Calibri"/>
            <scheme val="minor"/>
          </rPr>
          <t>Intérêts du mois (Solde début × TAEG / 12).</t>
        </r>
      </text>
    </comment>
    <comment ref="AJ2" authorId="0" shapeId="0" xr:uid="{00000000-0006-0000-0600-000024000000}">
      <text>
        <r>
          <rPr>
            <sz val="11"/>
            <color theme="1"/>
            <rFont val="Calibri"/>
            <scheme val="minor"/>
          </rPr>
          <t>Mensualité normale payée ce mois.</t>
        </r>
      </text>
    </comment>
    <comment ref="AK2" authorId="0" shapeId="0" xr:uid="{00000000-0006-0000-0600-000025000000}">
      <text>
        <r>
          <rPr>
            <sz val="11"/>
            <color theme="1"/>
            <rFont val="Calibri"/>
            <scheme val="minor"/>
          </rPr>
          <t>Solde après la mensualité normale.</t>
        </r>
      </text>
    </comment>
    <comment ref="AL2" authorId="0" shapeId="0" xr:uid="{00000000-0006-0000-0600-000026000000}">
      <text>
        <r>
          <rPr>
            <sz val="11"/>
            <color theme="1"/>
            <rFont val="Calibri"/>
            <scheme val="minor"/>
          </rPr>
          <t>Remboursement anticipé affecté à ce crédit ce mois (priorité TAEG).</t>
        </r>
      </text>
    </comment>
    <comment ref="AM2" authorId="0" shapeId="0" xr:uid="{00000000-0006-0000-0600-000027000000}">
      <text>
        <r>
          <rPr>
            <sz val="11"/>
            <color theme="1"/>
            <rFont val="Calibri"/>
            <scheme val="minor"/>
          </rPr>
          <t>Capital restant en fin de mois AVEC le plan.</t>
        </r>
      </text>
    </comment>
    <comment ref="AN2" authorId="0" shapeId="0" xr:uid="{00000000-0006-0000-0600-000028000000}">
      <text>
        <r>
          <rPr>
            <sz val="11"/>
            <color theme="1"/>
            <rFont val="Calibri"/>
            <scheme val="minor"/>
          </rPr>
          <t>Capital restant en fin de mois SANS remboursement anticipé (scénario de comparaison).</t>
        </r>
      </text>
    </comment>
    <comment ref="AO2" authorId="0" shapeId="0" xr:uid="{00000000-0006-0000-0600-000029000000}">
      <text>
        <r>
          <rPr>
            <sz val="11"/>
            <color theme="1"/>
            <rFont val="Calibri"/>
            <scheme val="minor"/>
          </rPr>
          <t>Intérêts du mois SANS remboursement anticipé (sert à calculer les intérêts économisés).</t>
        </r>
      </text>
    </comment>
    <comment ref="AP2" authorId="0" shapeId="0" xr:uid="{00000000-0006-0000-0600-00002A000000}">
      <text>
        <r>
          <rPr>
            <sz val="11"/>
            <color theme="1"/>
            <rFont val="Calibri"/>
            <scheme val="minor"/>
          </rPr>
          <t>Capital restant dû au début du mois.</t>
        </r>
      </text>
    </comment>
    <comment ref="AQ2" authorId="0" shapeId="0" xr:uid="{00000000-0006-0000-0600-00002B000000}">
      <text>
        <r>
          <rPr>
            <sz val="11"/>
            <color theme="1"/>
            <rFont val="Calibri"/>
            <scheme val="minor"/>
          </rPr>
          <t>Intérêts du mois (Solde début × TAEG / 12).</t>
        </r>
      </text>
    </comment>
    <comment ref="AR2" authorId="0" shapeId="0" xr:uid="{00000000-0006-0000-0600-00002C000000}">
      <text>
        <r>
          <rPr>
            <sz val="11"/>
            <color theme="1"/>
            <rFont val="Calibri"/>
            <scheme val="minor"/>
          </rPr>
          <t>Mensualité normale payée ce mois.</t>
        </r>
      </text>
    </comment>
    <comment ref="AS2" authorId="0" shapeId="0" xr:uid="{00000000-0006-0000-0600-00002D000000}">
      <text>
        <r>
          <rPr>
            <sz val="11"/>
            <color theme="1"/>
            <rFont val="Calibri"/>
            <scheme val="minor"/>
          </rPr>
          <t>Solde après la mensualité normale.</t>
        </r>
      </text>
    </comment>
    <comment ref="AT2" authorId="0" shapeId="0" xr:uid="{00000000-0006-0000-0600-00002E000000}">
      <text>
        <r>
          <rPr>
            <sz val="11"/>
            <color theme="1"/>
            <rFont val="Calibri"/>
            <scheme val="minor"/>
          </rPr>
          <t>Remboursement anticipé affecté à ce crédit ce mois (priorité TAEG).</t>
        </r>
      </text>
    </comment>
    <comment ref="AU2" authorId="0" shapeId="0" xr:uid="{00000000-0006-0000-0600-00002F000000}">
      <text>
        <r>
          <rPr>
            <sz val="11"/>
            <color theme="1"/>
            <rFont val="Calibri"/>
            <scheme val="minor"/>
          </rPr>
          <t>Capital restant en fin de mois AVEC le plan.</t>
        </r>
      </text>
    </comment>
    <comment ref="AV2" authorId="0" shapeId="0" xr:uid="{00000000-0006-0000-0600-000030000000}">
      <text>
        <r>
          <rPr>
            <sz val="11"/>
            <color theme="1"/>
            <rFont val="Calibri"/>
            <scheme val="minor"/>
          </rPr>
          <t>Capital restant en fin de mois SANS remboursement anticipé (scénario de comparaison).</t>
        </r>
      </text>
    </comment>
    <comment ref="AW2" authorId="0" shapeId="0" xr:uid="{00000000-0006-0000-0600-000031000000}">
      <text>
        <r>
          <rPr>
            <sz val="11"/>
            <color theme="1"/>
            <rFont val="Calibri"/>
            <scheme val="minor"/>
          </rPr>
          <t>Intérêts du mois SANS remboursement anticipé (sert à calculer les intérêts économisés).</t>
        </r>
      </text>
    </comment>
  </commentList>
</comments>
</file>

<file path=xl/sharedStrings.xml><?xml version="1.0" encoding="utf-8"?>
<sst xmlns="http://schemas.openxmlformats.org/spreadsheetml/2006/main" count="267" uniqueCount="220">
  <si>
    <t>Plan financier : dettes, déménagement, épargne</t>
  </si>
  <si>
    <t>Comment l'utiliser</t>
  </si>
  <si>
    <t>1. Onglet Budget : saisissez vos revenus, charges fixes (hors crédits), dépenses variables et paramètres.</t>
  </si>
  <si>
    <t>2. Onglet Crédits : une ligne par crédit (capital restant dû, TAEG, mensualité, durée restante).</t>
  </si>
  <si>
    <t>3. Onglet Synthèse : lisez le résultat (marge, dates clés, intérêts économisés, graphique).</t>
  </si>
  <si>
    <t>4. Onglet Plan : le détail mois par mois. Calcul = moteur de simulation, ne pas modifier.</t>
  </si>
  <si>
    <t>Légende</t>
  </si>
  <si>
    <t>Cellules jaunes / texte bleu = à remplir. Texte noir = formules, ne pas écraser.</t>
  </si>
  <si>
    <t>Les valeurs pré-remplies sont des EXEMPLES : remplacez-les par vos chiffres.</t>
  </si>
  <si>
    <t>Logique du plan (ordre de priorité chaque mois)</t>
  </si>
  <si>
    <t>1. Mensualités normales de tous les crédits.</t>
  </si>
  <si>
    <t>2. Épargne déménagement jusqu'à l'objectif, tant que la date limite n'est pas passée.</t>
  </si>
  <si>
    <t>3. Fonds d'urgence jusqu'à la cible.</t>
  </si>
  <si>
    <t>4. Le reste : X % en remboursement anticipé (paramètre), le solde en épargne libre.</t>
  </si>
  <si>
    <t>5. Remboursement anticipé = méthode avalanche : TAEG le plus élevé d'abord, uniquement si TAEG &gt; taux seuil.</t>
  </si>
  <si>
    <t>6. Quand un crédit est soldé, sa mensualité libérée augmente automatiquement la marge des mois suivants.</t>
  </si>
  <si>
    <t>Limites / hypothèses</t>
  </si>
  <si>
    <t>Intérêts mensuels approximés par TAEG / 12 sur le capital restant (approximation, écart possible avec votre tableau d'amortissement).</t>
  </si>
  <si>
    <t>Indemnités de remboursement anticipé (IRA) non modélisées : vérifiez vos contrats.</t>
  </si>
  <si>
    <t>Revenus et dépenses supposés constants sur toute la durée.</t>
  </si>
  <si>
    <t>Le taux seuil (Livret A) est une valeur d'exemple : mettez le taux en vigueur.</t>
  </si>
  <si>
    <t>Outil d'aide à la décision, pas un conseil financier.</t>
  </si>
  <si>
    <t>Plan et Calcul sont en lecture seule. Vous n'avez rien à y saisir : modifiez uniquement Budget et Crédits.</t>
  </si>
  <si>
    <t>Suivi réel : chaque fin de mois, saisissez vos soldes réels pour comparer avec le plan.</t>
  </si>
  <si>
    <t>Budget mensuel &amp; paramètres</t>
  </si>
  <si>
    <t>REVENUS NETS MENSUELS</t>
  </si>
  <si>
    <t>Salaire net (après impôt à la source)</t>
  </si>
  <si>
    <t>Mes crédits</t>
  </si>
  <si>
    <t>Valeurs d'exemple : remplacez par vos chiffres</t>
  </si>
  <si>
    <t>Primes / 13e mois (lissés par mois)</t>
  </si>
  <si>
    <t>Autres revenus</t>
  </si>
  <si>
    <t>Remplissez une ligne par crédit (jaune). Laissez vides les lignes inutilisées. Valeurs d'exemple à remplacer.</t>
  </si>
  <si>
    <t>Total revenus</t>
  </si>
  <si>
    <t>Nom du crédit</t>
  </si>
  <si>
    <t>Type</t>
  </si>
  <si>
    <t>Capital restant dû</t>
  </si>
  <si>
    <t>TAEG</t>
  </si>
  <si>
    <t>Mensualité</t>
  </si>
  <si>
    <t>Durée restante (mois)</t>
  </si>
  <si>
    <t>Coût total restant</t>
  </si>
  <si>
    <t>Intérêts restants estimés</t>
  </si>
  <si>
    <t>Date de fin prévue</t>
  </si>
  <si>
    <t>Remb. anticipé rentable ?</t>
  </si>
  <si>
    <t>Priorité remb. anticipé</t>
  </si>
  <si>
    <t>Conseil</t>
  </si>
  <si>
    <t>CHARGES FIXES (hors mensualités de crédit)</t>
  </si>
  <si>
    <t>Loyer</t>
  </si>
  <si>
    <t>Prêt personnel</t>
  </si>
  <si>
    <t>Charges / énergie</t>
  </si>
  <si>
    <t>Assurances (habitation, santé...)</t>
  </si>
  <si>
    <t>État des lieux : ma progression réelle</t>
  </si>
  <si>
    <t>Internet / mobile</t>
  </si>
  <si>
    <t>Transport (Navigo, carburant...)</t>
  </si>
  <si>
    <t>Abonnements (streaming, sport...)</t>
  </si>
  <si>
    <t>Chaque début de mois, relevez vos soldes réels (banque) et remplissez les cellules JAUNES de la ligne du mois. Le reste se calcule et se compare au Plan.</t>
  </si>
  <si>
    <t>Impôts / taxes mensualisés</t>
  </si>
  <si>
    <t>Autres charges fixes</t>
  </si>
  <si>
    <t>Total charges fixes</t>
  </si>
  <si>
    <t>MOIS</t>
  </si>
  <si>
    <t>DÉPENSES VARIABLES (moyenne sur 3 mois)</t>
  </si>
  <si>
    <t>Courses</t>
  </si>
  <si>
    <t>Loisirs / sorties / restaurants</t>
  </si>
  <si>
    <t>Shopping</t>
  </si>
  <si>
    <t>Divers</t>
  </si>
  <si>
    <t>BUDGET RÉEL DU MOIS</t>
  </si>
  <si>
    <t>Total dépenses variables</t>
  </si>
  <si>
    <t>PARAMÈTRES DU PLAN</t>
  </si>
  <si>
    <t>SOLDES D'ÉPARGNE RÉELS (fin de mois)</t>
  </si>
  <si>
    <t>Date de début du plan</t>
  </si>
  <si>
    <t>1er mois simulé</t>
  </si>
  <si>
    <t>Objectif épargne déménagement</t>
  </si>
  <si>
    <t>Montant à réunir</t>
  </si>
  <si>
    <t>CAPITAL RESTANT DÛ RÉEL (relevé banque)</t>
  </si>
  <si>
    <t>Date limite déménagement</t>
  </si>
  <si>
    <t>Plus d'épargne déménagement après cette date</t>
  </si>
  <si>
    <t>Déjà épargné pour le déménagement</t>
  </si>
  <si>
    <t>Montant de départ</t>
  </si>
  <si>
    <t>Fonds d'urgence cible</t>
  </si>
  <si>
    <t>Conseil : 3 mois de dépenses (voir ligne 33)</t>
  </si>
  <si>
    <t>Suggestion : 3 mois de dépenses</t>
  </si>
  <si>
    <t>COMPARAISON AVEC LE PLAN (automatique)</t>
  </si>
  <si>
    <t>COMMENT FAIRE CHAQUE MOIS</t>
  </si>
  <si>
    <t>Mois</t>
  </si>
  <si>
    <t>Charges + variables + mensualités, x3</t>
  </si>
  <si>
    <t>Épargne de précaution déjà disponible</t>
  </si>
  <si>
    <t>Montant de départ du fonds d'urgence</t>
  </si>
  <si>
    <t>Taux seuil (épargne sans risque)</t>
  </si>
  <si>
    <t>EXEMPLE : mettez le taux actuel du Livret A. Crédit au TAEG supérieur = remb. anticipé rentable</t>
  </si>
  <si>
    <t>Revenus réels</t>
  </si>
  <si>
    <t>% du reste affecté au remb. anticipé</t>
  </si>
  <si>
    <t>Le reste va en épargne libre (0 % = aucun remb. anticipé)</t>
  </si>
  <si>
    <t>Dépenses réelles (hors crédits)</t>
  </si>
  <si>
    <t>Épargne déménagement</t>
  </si>
  <si>
    <t>Fonds d'urgence</t>
  </si>
  <si>
    <t>Épargne libre</t>
  </si>
  <si>
    <t>Dettes réelles</t>
  </si>
  <si>
    <t>Dettes prévues</t>
  </si>
  <si>
    <t>Écart dettes</t>
  </si>
  <si>
    <t>Épargne réelle totale</t>
  </si>
  <si>
    <t>Épargne prévue totale</t>
  </si>
  <si>
    <t>Écart épargne</t>
  </si>
  <si>
    <t>% objectif déménag.</t>
  </si>
  <si>
    <t>% dettes remboursées</t>
  </si>
  <si>
    <t>Statut</t>
  </si>
  <si>
    <t>1. Ouvrez vos comptes en fin de mois.</t>
  </si>
  <si>
    <t>Revolving</t>
  </si>
  <si>
    <t>TOTAL</t>
  </si>
  <si>
    <t>TAEG : taux annuel effectif global, indiqué sur l'offre de prêt ou le relevé annuel.</t>
  </si>
  <si>
    <t>Priorité 1 = crédit à rembourser par anticipation en premier (TAEG le plus élevé, au-dessus du taux seuil).</t>
  </si>
  <si>
    <t>2. Remplissez la ligne du mois (cellules jaunes).</t>
  </si>
  <si>
    <t>3. Lisez l'écart et le statut.</t>
  </si>
  <si>
    <t>Écart dettes : vert si ≤ prévu.</t>
  </si>
  <si>
    <t>Synthèse du plan</t>
  </si>
  <si>
    <t>Écart épargne : vert si ≥ prévu.</t>
  </si>
  <si>
    <t>Graphe 1 : la ligne rouge doit descendre à 0, la violette monter. Graphe 2 : les lignes pleines doivent atteindre leurs pointillés.</t>
  </si>
  <si>
    <t>SITUATION ACTUELLE</t>
  </si>
  <si>
    <t>Revenus mensuels</t>
  </si>
  <si>
    <t>Charges fixes + dépenses variables</t>
  </si>
  <si>
    <t>Mensualités de crédit</t>
  </si>
  <si>
    <t>Marge mensuelle disponible</t>
  </si>
  <si>
    <t>Ce qui reste chaque mois pour épargner / rembourser</t>
  </si>
  <si>
    <t>Taux d'endettement</t>
  </si>
  <si>
    <t>Mois en cours surligné en jaune.</t>
  </si>
  <si>
    <t>Repère bancaire : 35 % max</t>
  </si>
  <si>
    <t>Alerte endettement</t>
  </si>
  <si>
    <t>Total restant dû</t>
  </si>
  <si>
    <t>TAEG moyen pondéré</t>
  </si>
  <si>
    <t>OBJECTIF DÉMÉNAGEMENT</t>
  </si>
  <si>
    <t>Objectif</t>
  </si>
  <si>
    <t>Épargne mensuelle nécessaire (approx.)</t>
  </si>
  <si>
    <t>Montant restant / nombre de mois jusqu'à la date limite</t>
  </si>
  <si>
    <t>Montant atteint à la date limite</t>
  </si>
  <si>
    <t>Une colonne vide = laissez vide.</t>
  </si>
  <si>
    <t>Objectif atteint le</t>
  </si>
  <si>
    <t>FONDS D'URGENCE</t>
  </si>
  <si>
    <t>Cible</t>
  </si>
  <si>
    <t>Cible atteinte le</t>
  </si>
  <si>
    <t>DETTES</t>
  </si>
  <si>
    <t>Sans dette le (avec le plan)</t>
  </si>
  <si>
    <t>Intérêts payés sans remb. anticipé</t>
  </si>
  <si>
    <t>Estimation TAEG/12</t>
  </si>
  <si>
    <t>Intérêts payés avec le plan</t>
  </si>
  <si>
    <t>Intérêts économisés</t>
  </si>
  <si>
    <t>Avant éventuelles IRA</t>
  </si>
  <si>
    <t>ÉPARGNE (horizon 12 mois)</t>
  </si>
  <si>
    <t>Épargne libre cumulée à 12 mois</t>
  </si>
  <si>
    <t>Fonds d'urgence à 12 mois</t>
  </si>
  <si>
    <t>Dettes restantes à 12 mois</t>
  </si>
  <si>
    <t>Mois avec budget négatif</t>
  </si>
  <si>
    <t>Si vous prenez du retard, ajustez</t>
  </si>
  <si>
    <t>Doit être 0</t>
  </si>
  <si>
    <t>SUIVI RÉEL (dernier mois saisi)</t>
  </si>
  <si>
    <t>Dernier mois renseigné</t>
  </si>
  <si>
    <t>Écart dettes (réel − prévu)</t>
  </si>
  <si>
    <t>Écart épargne (réel − prévu)</t>
  </si>
  <si>
    <t>Budget (dépenses) pour recalculer.</t>
  </si>
  <si>
    <t>Plan mois par mois (LECTURE SEULE : rien à remplir ici)</t>
  </si>
  <si>
    <t>Chaque ligne = 1 mois. Lire de gauche à droite : l'argent disponible est réparti dans l'ordre 1 → 2 → 3 → 4. Pour changer le résultat, modifiez Budget ou Crédits.</t>
  </si>
  <si>
    <t>PÉRIODE</t>
  </si>
  <si>
    <t>① ARGENT DU MOIS : revenus − dépenses − crédits = Disponible</t>
  </si>
  <si>
    <t>② DÉMÉNAGEMENT</t>
  </si>
  <si>
    <t>③ FONDS D'URGENCE</t>
  </si>
  <si>
    <t>④ CE QUI RESTE : remb. anticipé + épargne libre</t>
  </si>
  <si>
    <t>COMMENT LIRE CET ONGLET</t>
  </si>
  <si>
    <t>Date</t>
  </si>
  <si>
    <t>Revenus</t>
  </si>
  <si>
    <t>Dépenses (fixes + var.)</t>
  </si>
  <si>
    <t>Mensualités crédits</t>
  </si>
  <si>
    <t>Disponible</t>
  </si>
  <si>
    <t>→ Déménagement</t>
  </si>
  <si>
    <t>Cumul déménagement</t>
  </si>
  <si>
    <t>→ Fonds d'urgence</t>
  </si>
  <si>
    <t>Cumul fonds d'urgence</t>
  </si>
  <si>
    <t>Reste</t>
  </si>
  <si>
    <t>→ Remb. anticipé</t>
  </si>
  <si>
    <t>Non utilisé (dettes soldées)</t>
  </si>
  <si>
    <t>→ Épargne libre</t>
  </si>
  <si>
    <t>Cumul épargne libre</t>
  </si>
  <si>
    <t>Dettes restantes</t>
  </si>
  <si>
    <t>Alerte</t>
  </si>
  <si>
    <t>flag_dem</t>
  </si>
  <si>
    <t>flag_fu</t>
  </si>
  <si>
    <t>flag_dette</t>
  </si>
  <si>
    <t>Rien à saisir : tout se calcule depuis Budget et Crédits.</t>
  </si>
  <si>
    <t>Objectif déménagement</t>
  </si>
  <si>
    <t>Cible fonds d'urgence</t>
  </si>
  <si>
    <t>Chaque mois, le Disponible (①) est réparti dans l'ordre :</t>
  </si>
  <si>
    <t>① Argent du mois</t>
  </si>
  <si>
    <t>② Déménagement, jusqu'à l'objectif</t>
  </si>
  <si>
    <t>③ Fonds d'urgence, jusqu'à la cible</t>
  </si>
  <si>
    <t>④ Remb. anticipé + épargne libre</t>
  </si>
  <si>
    <t>⚠ Onglet technique : ne rien modifier</t>
  </si>
  <si>
    <t>TOTAUX (repris dans l'onglet Plan)</t>
  </si>
  <si>
    <t>Mois (survolez pour la légende)</t>
  </si>
  <si>
    <t>Solde début</t>
  </si>
  <si>
    <t>Intérêts</t>
  </si>
  <si>
    <t>Mensualité payée</t>
  </si>
  <si>
    <t>Solde après mens.</t>
  </si>
  <si>
    <t>Remb. anticipé</t>
  </si>
  <si>
    <t>Solde fin</t>
  </si>
  <si>
    <t>Solde fin sans anticip.</t>
  </si>
  <si>
    <t>Intérêts sans anticip.</t>
  </si>
  <si>
    <t>Total mensualités</t>
  </si>
  <si>
    <t>Total remb. anticipé</t>
  </si>
  <si>
    <t>Total dettes fin</t>
  </si>
  <si>
    <t>Total intérêts</t>
  </si>
  <si>
    <t>Total intérêts sans anticip.</t>
  </si>
  <si>
    <t>Cellule verte = objectif atteint / dette soldée</t>
  </si>
  <si>
    <t>Ligne rouge = budget négatif ce mois</t>
  </si>
  <si>
    <t>Trait orange = mois de la date limite déménagement</t>
  </si>
  <si>
    <t>Colonnes en gras = résultats clés</t>
  </si>
  <si>
    <t>Survolez un titre de colonne pour son explication.</t>
  </si>
  <si>
    <t>Prêt auto</t>
  </si>
  <si>
    <t>Prêt affecté</t>
  </si>
  <si>
    <t>Carte revolving</t>
  </si>
  <si>
    <t>Prêt travaux</t>
  </si>
  <si>
    <t>Prêt étudiant</t>
  </si>
  <si>
    <t>Dette perso A</t>
  </si>
  <si>
    <t>Dette personnelle</t>
  </si>
  <si>
    <t>Dette perso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</si>
</sst>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€&quot;;\-#,##0&quot; €&quot;;\-"/>
    <numFmt numFmtId="165" formatCode="0.00%;\-0.00%;\-"/>
    <numFmt numFmtId="166" formatCode="m/d/yyyy"/>
    <numFmt numFmtId="167" formatCode="mm/yyyy"/>
    <numFmt numFmtId="168" formatCode="\+#,##0&quot; €&quot;;\-#,##0&quot; €&quot;;&quot;0 €&quot;"/>
    <numFmt numFmtId="169" formatCode="#,##0.00&quot; €&quot;;\-#,##0.00&quot; €&quot;;\-"/>
  </numFmts>
  <fonts count="21" x14ac:knownFonts="1">
    <font>
      <sz val="11"/>
      <color theme="1"/>
      <name val="Calibri"/>
      <scheme val="minor"/>
    </font>
    <font>
      <b/>
      <sz val="14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1"/>
      <color rgb="FFC00000"/>
      <name val="Arial"/>
    </font>
    <font>
      <b/>
      <sz val="11"/>
      <color rgb="FF548235"/>
      <name val="Arial"/>
    </font>
    <font>
      <b/>
      <sz val="11"/>
      <color rgb="FFFFFFFF"/>
      <name val="Arial"/>
    </font>
    <font>
      <sz val="11"/>
      <color rgb="FF0000FF"/>
      <name val="Arial"/>
    </font>
    <font>
      <i/>
      <sz val="11"/>
      <color rgb="FFC00000"/>
      <name val="Arial"/>
    </font>
    <font>
      <b/>
      <i/>
      <sz val="11"/>
      <color rgb="FFC00000"/>
      <name val="Arial"/>
    </font>
    <font>
      <sz val="11"/>
      <name val="Calibri"/>
    </font>
    <font>
      <i/>
      <sz val="11"/>
      <color rgb="FF595959"/>
      <name val="Arial"/>
    </font>
    <font>
      <sz val="11"/>
      <color rgb="FF008000"/>
      <name val="Arial"/>
    </font>
    <font>
      <b/>
      <sz val="11"/>
      <color rgb="FF00800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1"/>
      <color rgb="FF000000"/>
      <name val="Arial"/>
    </font>
    <font>
      <sz val="11"/>
      <color rgb="FFA6A6A6"/>
      <name val="Arial"/>
    </font>
    <font>
      <b/>
      <sz val="12"/>
      <color rgb="FFFFFFFF"/>
      <name val="Arial"/>
    </font>
    <font>
      <b/>
      <sz val="11"/>
      <color rgb="FF7030A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C65911"/>
        <bgColor rgb="FFC65911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9D9F4"/>
        <bgColor rgb="FFE9D9F4"/>
      </patternFill>
    </fill>
    <fill>
      <patternFill patternType="solid">
        <fgColor rgb="FFFDE2E2"/>
        <bgColor rgb="FFFDE2E2"/>
      </patternFill>
    </fill>
    <fill>
      <patternFill patternType="solid">
        <fgColor rgb="FF806000"/>
        <bgColor rgb="FF806000"/>
      </patternFill>
    </fill>
    <fill>
      <patternFill patternType="solid">
        <fgColor rgb="FF262626"/>
        <bgColor rgb="FF262626"/>
      </patternFill>
    </fill>
    <fill>
      <patternFill patternType="solid">
        <fgColor rgb="FFA6A6A6"/>
        <bgColor rgb="FFA6A6A6"/>
      </patternFill>
    </fill>
    <fill>
      <patternFill patternType="solid">
        <fgColor rgb="FFA9D08E"/>
        <bgColor rgb="FFA9D08E"/>
      </patternFill>
    </fill>
    <fill>
      <patternFill patternType="solid">
        <fgColor rgb="FFFF7C80"/>
        <bgColor rgb="FFFF7C80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/>
      <right style="medium">
        <color rgb="FF404040"/>
      </right>
      <top/>
      <bottom/>
      <diagonal/>
    </border>
    <border>
      <left/>
      <right style="medium">
        <color rgb="FF404040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2" fillId="2" borderId="1" xfId="0" applyFont="1" applyFill="1" applyBorder="1"/>
    <xf numFmtId="164" fontId="8" fillId="3" borderId="2" xfId="0" applyNumberFormat="1" applyFont="1" applyFill="1" applyBorder="1"/>
    <xf numFmtId="0" fontId="9" fillId="0" borderId="0" xfId="0" applyFont="1"/>
    <xf numFmtId="0" fontId="7" fillId="2" borderId="2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/>
    <xf numFmtId="0" fontId="8" fillId="3" borderId="2" xfId="0" applyFont="1" applyFill="1" applyBorder="1"/>
    <xf numFmtId="165" fontId="8" fillId="3" borderId="2" xfId="0" applyNumberFormat="1" applyFont="1" applyFill="1" applyBorder="1"/>
    <xf numFmtId="0" fontId="10" fillId="0" borderId="0" xfId="0" applyFont="1"/>
    <xf numFmtId="1" fontId="8" fillId="3" borderId="2" xfId="0" applyNumberFormat="1" applyFont="1" applyFill="1" applyBorder="1"/>
    <xf numFmtId="0" fontId="7" fillId="5" borderId="1" xfId="0" applyFont="1" applyFill="1" applyBorder="1" applyAlignment="1">
      <alignment horizontal="center" vertical="center"/>
    </xf>
    <xf numFmtId="164" fontId="2" fillId="0" borderId="2" xfId="0" applyNumberFormat="1" applyFont="1" applyBorder="1"/>
    <xf numFmtId="166" fontId="8" fillId="3" borderId="2" xfId="0" applyNumberFormat="1" applyFont="1" applyFill="1" applyBorder="1"/>
    <xf numFmtId="0" fontId="12" fillId="0" borderId="0" xfId="0" applyFont="1"/>
    <xf numFmtId="167" fontId="2" fillId="0" borderId="2" xfId="0" applyNumberFormat="1" applyFont="1" applyBorder="1"/>
    <xf numFmtId="164" fontId="2" fillId="0" borderId="0" xfId="0" applyNumberFormat="1" applyFont="1"/>
    <xf numFmtId="0" fontId="7" fillId="5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7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67" fontId="3" fillId="0" borderId="0" xfId="0" applyNumberFormat="1" applyFont="1"/>
    <xf numFmtId="164" fontId="2" fillId="4" borderId="2" xfId="0" applyNumberFormat="1" applyFont="1" applyFill="1" applyBorder="1"/>
    <xf numFmtId="168" fontId="3" fillId="4" borderId="2" xfId="0" applyNumberFormat="1" applyFont="1" applyFill="1" applyBorder="1"/>
    <xf numFmtId="9" fontId="2" fillId="4" borderId="2" xfId="0" applyNumberFormat="1" applyFont="1" applyFill="1" applyBorder="1"/>
    <xf numFmtId="165" fontId="3" fillId="4" borderId="1" xfId="0" applyNumberFormat="1" applyFont="1" applyFill="1" applyBorder="1"/>
    <xf numFmtId="0" fontId="3" fillId="4" borderId="2" xfId="0" applyFont="1" applyFill="1" applyBorder="1"/>
    <xf numFmtId="0" fontId="2" fillId="4" borderId="2" xfId="0" applyFont="1" applyFill="1" applyBorder="1"/>
    <xf numFmtId="164" fontId="13" fillId="0" borderId="2" xfId="0" applyNumberFormat="1" applyFont="1" applyBorder="1"/>
    <xf numFmtId="164" fontId="3" fillId="0" borderId="2" xfId="0" applyNumberFormat="1" applyFont="1" applyBorder="1"/>
    <xf numFmtId="165" fontId="13" fillId="0" borderId="2" xfId="0" applyNumberFormat="1" applyFont="1" applyBorder="1"/>
    <xf numFmtId="49" fontId="13" fillId="0" borderId="2" xfId="0" applyNumberFormat="1" applyFont="1" applyBorder="1"/>
    <xf numFmtId="167" fontId="3" fillId="0" borderId="2" xfId="0" applyNumberFormat="1" applyFont="1" applyBorder="1"/>
    <xf numFmtId="49" fontId="3" fillId="0" borderId="2" xfId="0" applyNumberFormat="1" applyFont="1" applyBorder="1"/>
    <xf numFmtId="167" fontId="13" fillId="0" borderId="2" xfId="0" applyNumberFormat="1" applyFont="1" applyBorder="1"/>
    <xf numFmtId="1" fontId="13" fillId="0" borderId="2" xfId="0" applyNumberFormat="1" applyFont="1" applyBorder="1"/>
    <xf numFmtId="0" fontId="4" fillId="2" borderId="1" xfId="0" applyFont="1" applyFill="1" applyBorder="1"/>
    <xf numFmtId="168" fontId="13" fillId="0" borderId="2" xfId="0" applyNumberFormat="1" applyFont="1" applyBorder="1"/>
    <xf numFmtId="49" fontId="14" fillId="0" borderId="2" xfId="0" applyNumberFormat="1" applyFont="1" applyBorder="1"/>
    <xf numFmtId="0" fontId="15" fillId="0" borderId="0" xfId="0" applyFont="1"/>
    <xf numFmtId="0" fontId="7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16" fillId="0" borderId="0" xfId="0" applyFont="1"/>
    <xf numFmtId="0" fontId="2" fillId="4" borderId="1" xfId="0" applyFont="1" applyFill="1" applyBorder="1"/>
    <xf numFmtId="167" fontId="2" fillId="4" borderId="7" xfId="0" applyNumberFormat="1" applyFont="1" applyFill="1" applyBorder="1"/>
    <xf numFmtId="164" fontId="2" fillId="10" borderId="1" xfId="0" applyNumberFormat="1" applyFont="1" applyFill="1" applyBorder="1"/>
    <xf numFmtId="164" fontId="17" fillId="10" borderId="7" xfId="0" applyNumberFormat="1" applyFont="1" applyFill="1" applyBorder="1"/>
    <xf numFmtId="164" fontId="2" fillId="11" borderId="1" xfId="0" applyNumberFormat="1" applyFont="1" applyFill="1" applyBorder="1"/>
    <xf numFmtId="164" fontId="17" fillId="11" borderId="7" xfId="0" applyNumberFormat="1" applyFont="1" applyFill="1" applyBorder="1"/>
    <xf numFmtId="164" fontId="2" fillId="12" borderId="1" xfId="0" applyNumberFormat="1" applyFont="1" applyFill="1" applyBorder="1"/>
    <xf numFmtId="164" fontId="17" fillId="12" borderId="7" xfId="0" applyNumberFormat="1" applyFont="1" applyFill="1" applyBorder="1"/>
    <xf numFmtId="164" fontId="2" fillId="13" borderId="1" xfId="0" applyNumberFormat="1" applyFont="1" applyFill="1" applyBorder="1"/>
    <xf numFmtId="164" fontId="17" fillId="13" borderId="7" xfId="0" applyNumberFormat="1" applyFont="1" applyFill="1" applyBorder="1"/>
    <xf numFmtId="164" fontId="17" fillId="14" borderId="1" xfId="0" applyNumberFormat="1" applyFont="1" applyFill="1" applyBorder="1"/>
    <xf numFmtId="0" fontId="5" fillId="14" borderId="1" xfId="0" applyFont="1" applyFill="1" applyBorder="1"/>
    <xf numFmtId="0" fontId="18" fillId="0" borderId="0" xfId="0" applyFont="1"/>
    <xf numFmtId="164" fontId="4" fillId="0" borderId="0" xfId="0" applyNumberFormat="1" applyFont="1"/>
    <xf numFmtId="0" fontId="16" fillId="10" borderId="2" xfId="0" applyFont="1" applyFill="1" applyBorder="1"/>
    <xf numFmtId="0" fontId="16" fillId="11" borderId="2" xfId="0" applyFont="1" applyFill="1" applyBorder="1"/>
    <xf numFmtId="0" fontId="16" fillId="12" borderId="2" xfId="0" applyFont="1" applyFill="1" applyBorder="1"/>
    <xf numFmtId="0" fontId="16" fillId="13" borderId="2" xfId="0" applyFont="1" applyFill="1" applyBorder="1"/>
    <xf numFmtId="0" fontId="16" fillId="14" borderId="2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169" fontId="2" fillId="10" borderId="1" xfId="0" applyNumberFormat="1" applyFont="1" applyFill="1" applyBorder="1"/>
    <xf numFmtId="0" fontId="16" fillId="18" borderId="2" xfId="0" applyFont="1" applyFill="1" applyBorder="1"/>
    <xf numFmtId="0" fontId="16" fillId="19" borderId="2" xfId="0" applyFont="1" applyFill="1" applyBorder="1"/>
    <xf numFmtId="169" fontId="20" fillId="10" borderId="1" xfId="0" applyNumberFormat="1" applyFont="1" applyFill="1" applyBorder="1"/>
    <xf numFmtId="169" fontId="3" fillId="10" borderId="1" xfId="0" applyNumberFormat="1" applyFont="1" applyFill="1" applyBorder="1"/>
    <xf numFmtId="169" fontId="2" fillId="20" borderId="1" xfId="0" applyNumberFormat="1" applyFont="1" applyFill="1" applyBorder="1"/>
    <xf numFmtId="169" fontId="2" fillId="20" borderId="9" xfId="0" applyNumberFormat="1" applyFont="1" applyFill="1" applyBorder="1"/>
    <xf numFmtId="169" fontId="2" fillId="12" borderId="1" xfId="0" applyNumberFormat="1" applyFont="1" applyFill="1" applyBorder="1"/>
    <xf numFmtId="169" fontId="20" fillId="12" borderId="1" xfId="0" applyNumberFormat="1" applyFont="1" applyFill="1" applyBorder="1"/>
    <xf numFmtId="169" fontId="3" fillId="12" borderId="1" xfId="0" applyNumberFormat="1" applyFont="1" applyFill="1" applyBorder="1"/>
    <xf numFmtId="169" fontId="2" fillId="11" borderId="1" xfId="0" applyNumberFormat="1" applyFont="1" applyFill="1" applyBorder="1"/>
    <xf numFmtId="169" fontId="20" fillId="11" borderId="1" xfId="0" applyNumberFormat="1" applyFont="1" applyFill="1" applyBorder="1"/>
    <xf numFmtId="169" fontId="3" fillId="11" borderId="1" xfId="0" applyNumberFormat="1" applyFont="1" applyFill="1" applyBorder="1"/>
    <xf numFmtId="169" fontId="2" fillId="13" borderId="1" xfId="0" applyNumberFormat="1" applyFont="1" applyFill="1" applyBorder="1"/>
    <xf numFmtId="169" fontId="20" fillId="13" borderId="1" xfId="0" applyNumberFormat="1" applyFont="1" applyFill="1" applyBorder="1"/>
    <xf numFmtId="169" fontId="3" fillId="13" borderId="1" xfId="0" applyNumberFormat="1" applyFont="1" applyFill="1" applyBorder="1"/>
    <xf numFmtId="169" fontId="2" fillId="21" borderId="1" xfId="0" applyNumberFormat="1" applyFont="1" applyFill="1" applyBorder="1"/>
    <xf numFmtId="169" fontId="20" fillId="21" borderId="1" xfId="0" applyNumberFormat="1" applyFont="1" applyFill="1" applyBorder="1"/>
    <xf numFmtId="169" fontId="3" fillId="21" borderId="1" xfId="0" applyNumberFormat="1" applyFont="1" applyFill="1" applyBorder="1"/>
    <xf numFmtId="169" fontId="2" fillId="14" borderId="1" xfId="0" applyNumberFormat="1" applyFont="1" applyFill="1" applyBorder="1"/>
    <xf numFmtId="169" fontId="20" fillId="14" borderId="1" xfId="0" applyNumberFormat="1" applyFont="1" applyFill="1" applyBorder="1"/>
    <xf numFmtId="169" fontId="3" fillId="14" borderId="1" xfId="0" applyNumberFormat="1" applyFont="1" applyFill="1" applyBorder="1"/>
    <xf numFmtId="169" fontId="3" fillId="22" borderId="1" xfId="0" applyNumberFormat="1" applyFont="1" applyFill="1" applyBorder="1"/>
    <xf numFmtId="0" fontId="9" fillId="0" borderId="0" xfId="0" applyFont="1" applyAlignment="1">
      <alignment horizontal="center"/>
    </xf>
    <xf numFmtId="0" fontId="0" fillId="0" borderId="0" xfId="0"/>
    <xf numFmtId="0" fontId="7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7" fillId="6" borderId="3" xfId="0" applyFont="1" applyFill="1" applyBorder="1" applyAlignment="1">
      <alignment horizontal="center" vertical="center"/>
    </xf>
    <xf numFmtId="0" fontId="11" fillId="0" borderId="5" xfId="0" applyFont="1" applyBorder="1"/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/>
    </xf>
    <xf numFmtId="0" fontId="11" fillId="0" borderId="8" xfId="0" applyFont="1" applyBorder="1"/>
    <xf numFmtId="0" fontId="19" fillId="6" borderId="3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rgb="FFA9D08E"/>
          <bgColor rgb="FFA9D08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Dettes restantes vs épargne libre (24 mois)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Dettes restantes</c:v>
          </c:tx>
          <c:spPr>
            <a:ln w="38100" cmpd="sng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Plan!$B$5:$B$28</c:f>
              <c:numCache>
                <c:formatCode>mm/yyyy</c:formatCode>
                <c:ptCount val="24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  <c:pt idx="12">
                  <c:v>46753</c:v>
                </c:pt>
                <c:pt idx="13">
                  <c:v>46784</c:v>
                </c:pt>
                <c:pt idx="14">
                  <c:v>46813</c:v>
                </c:pt>
                <c:pt idx="15">
                  <c:v>46844</c:v>
                </c:pt>
                <c:pt idx="16">
                  <c:v>46874</c:v>
                </c:pt>
                <c:pt idx="17">
                  <c:v>46905</c:v>
                </c:pt>
                <c:pt idx="18">
                  <c:v>46935</c:v>
                </c:pt>
                <c:pt idx="19">
                  <c:v>46966</c:v>
                </c:pt>
                <c:pt idx="20">
                  <c:v>46997</c:v>
                </c:pt>
                <c:pt idx="21">
                  <c:v>47027</c:v>
                </c:pt>
                <c:pt idx="22">
                  <c:v>47058</c:v>
                </c:pt>
                <c:pt idx="23">
                  <c:v>47088</c:v>
                </c:pt>
              </c:numCache>
            </c:numRef>
          </c:cat>
          <c:val>
            <c:numRef>
              <c:f>Plan!$P$5:$P$28</c:f>
              <c:numCache>
                <c:formatCode>#\ ##0" €";\-#\ ##0" €";\-</c:formatCode>
                <c:ptCount val="24"/>
                <c:pt idx="0">
                  <c:v>15750.7</c:v>
                </c:pt>
                <c:pt idx="1">
                  <c:v>15099.25</c:v>
                </c:pt>
                <c:pt idx="2">
                  <c:v>14445.6</c:v>
                </c:pt>
                <c:pt idx="3">
                  <c:v>13789.77</c:v>
                </c:pt>
                <c:pt idx="4">
                  <c:v>13281.73</c:v>
                </c:pt>
                <c:pt idx="5">
                  <c:v>12821.45</c:v>
                </c:pt>
                <c:pt idx="6">
                  <c:v>12358.929999999998</c:v>
                </c:pt>
                <c:pt idx="7">
                  <c:v>11894.15</c:v>
                </c:pt>
                <c:pt idx="8">
                  <c:v>11427.09</c:v>
                </c:pt>
                <c:pt idx="9">
                  <c:v>10957.72</c:v>
                </c:pt>
                <c:pt idx="10">
                  <c:v>10475.39</c:v>
                </c:pt>
                <c:pt idx="11">
                  <c:v>9615.07</c:v>
                </c:pt>
                <c:pt idx="12">
                  <c:v>8746.31</c:v>
                </c:pt>
                <c:pt idx="13">
                  <c:v>7869</c:v>
                </c:pt>
                <c:pt idx="14">
                  <c:v>7012.08</c:v>
                </c:pt>
                <c:pt idx="15">
                  <c:v>6151.3899999999994</c:v>
                </c:pt>
                <c:pt idx="16">
                  <c:v>5286.9</c:v>
                </c:pt>
                <c:pt idx="17">
                  <c:v>4418.62</c:v>
                </c:pt>
                <c:pt idx="18">
                  <c:v>3594.26</c:v>
                </c:pt>
                <c:pt idx="19">
                  <c:v>2766.83</c:v>
                </c:pt>
                <c:pt idx="20">
                  <c:v>1936.31</c:v>
                </c:pt>
                <c:pt idx="21">
                  <c:v>1102.6999999999998</c:v>
                </c:pt>
                <c:pt idx="22">
                  <c:v>290.12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F-4843-9FAF-D34351774FA6}"/>
            </c:ext>
          </c:extLst>
        </c:ser>
        <c:ser>
          <c:idx val="1"/>
          <c:order val="1"/>
          <c:tx>
            <c:v>Cumul épargne libre</c:v>
          </c:tx>
          <c:spPr>
            <a:ln w="38100" cmpd="sng">
              <a:solidFill>
                <a:srgbClr val="7030A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Plan!$B$5:$B$28</c:f>
              <c:numCache>
                <c:formatCode>mm/yyyy</c:formatCode>
                <c:ptCount val="24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  <c:pt idx="12">
                  <c:v>46753</c:v>
                </c:pt>
                <c:pt idx="13">
                  <c:v>46784</c:v>
                </c:pt>
                <c:pt idx="14">
                  <c:v>46813</c:v>
                </c:pt>
                <c:pt idx="15">
                  <c:v>46844</c:v>
                </c:pt>
                <c:pt idx="16">
                  <c:v>46874</c:v>
                </c:pt>
                <c:pt idx="17">
                  <c:v>46905</c:v>
                </c:pt>
                <c:pt idx="18">
                  <c:v>46935</c:v>
                </c:pt>
                <c:pt idx="19">
                  <c:v>46966</c:v>
                </c:pt>
                <c:pt idx="20">
                  <c:v>46997</c:v>
                </c:pt>
                <c:pt idx="21">
                  <c:v>47027</c:v>
                </c:pt>
                <c:pt idx="22">
                  <c:v>47058</c:v>
                </c:pt>
                <c:pt idx="23">
                  <c:v>47088</c:v>
                </c:pt>
              </c:numCache>
            </c:numRef>
          </c:cat>
          <c:val>
            <c:numRef>
              <c:f>Plan!$O$5:$O$28</c:f>
              <c:numCache>
                <c:formatCode>#\ ##0" €";\-#\ ##0" €";\-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7.0999999999999091</c:v>
                </c:pt>
                <c:pt idx="11">
                  <c:v>264.51999999999992</c:v>
                </c:pt>
                <c:pt idx="12">
                  <c:v>521.93999999999994</c:v>
                </c:pt>
                <c:pt idx="13">
                  <c:v>779.3599999999999</c:v>
                </c:pt>
                <c:pt idx="14">
                  <c:v>1065.74</c:v>
                </c:pt>
                <c:pt idx="15">
                  <c:v>1352.1200000000001</c:v>
                </c:pt>
                <c:pt idx="16">
                  <c:v>1638.5000000000002</c:v>
                </c:pt>
                <c:pt idx="17">
                  <c:v>1924.8800000000003</c:v>
                </c:pt>
                <c:pt idx="18">
                  <c:v>2258.7600000000002</c:v>
                </c:pt>
                <c:pt idx="19">
                  <c:v>2592.6400000000003</c:v>
                </c:pt>
                <c:pt idx="20">
                  <c:v>2926.5200000000004</c:v>
                </c:pt>
                <c:pt idx="21">
                  <c:v>3260.4000000000005</c:v>
                </c:pt>
                <c:pt idx="22">
                  <c:v>3618.4301640000003</c:v>
                </c:pt>
                <c:pt idx="23">
                  <c:v>4502.1301640000001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F-4843-9FAF-D34351774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109249"/>
        <c:axId val="143771296"/>
      </c:lineChart>
      <c:dateAx>
        <c:axId val="390109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43771296"/>
        <c:crosses val="autoZero"/>
        <c:auto val="1"/>
        <c:lblOffset val="100"/>
        <c:baseTimeUnit val="months"/>
      </c:dateAx>
      <c:valAx>
        <c:axId val="143771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901092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Objectifs : déménagement &amp; fonds d'urgence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Cumul déménagement</c:v>
          </c:tx>
          <c:spPr>
            <a:ln w="38100" cmpd="sng">
              <a:solidFill>
                <a:srgbClr val="C6591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Plan!$B$5:$B$16</c:f>
              <c:numCache>
                <c:formatCode>mm/yyyy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Plan!$H$5:$H$16</c:f>
              <c:numCache>
                <c:formatCode>#\ ##0" €";\-#\ ##0" €";\-</c:formatCode>
                <c:ptCount val="12"/>
                <c:pt idx="0">
                  <c:v>943.55</c:v>
                </c:pt>
                <c:pt idx="1">
                  <c:v>1387.1</c:v>
                </c:pt>
                <c:pt idx="2">
                  <c:v>1830.6499999999999</c:v>
                </c:pt>
                <c:pt idx="3">
                  <c:v>2274.1999999999998</c:v>
                </c:pt>
                <c:pt idx="4">
                  <c:v>2867.75</c:v>
                </c:pt>
                <c:pt idx="5">
                  <c:v>3511.3</c:v>
                </c:pt>
                <c:pt idx="6">
                  <c:v>3511.3</c:v>
                </c:pt>
                <c:pt idx="7">
                  <c:v>3511.3</c:v>
                </c:pt>
                <c:pt idx="8">
                  <c:v>3511.3</c:v>
                </c:pt>
                <c:pt idx="9">
                  <c:v>3511.3</c:v>
                </c:pt>
                <c:pt idx="10">
                  <c:v>3511.3</c:v>
                </c:pt>
                <c:pt idx="11">
                  <c:v>3511.3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4-42F2-AF2E-E6DCEA4D7588}"/>
            </c:ext>
          </c:extLst>
        </c:ser>
        <c:ser>
          <c:idx val="1"/>
          <c:order val="1"/>
          <c:tx>
            <c:v>Objectif déménagement</c:v>
          </c:tx>
          <c:spPr>
            <a:ln w="19050" cmpd="sng">
              <a:solidFill>
                <a:srgbClr val="C6591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Plan!$B$5:$B$16</c:f>
              <c:numCache>
                <c:formatCode>mm/yyyy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Plan!$AA$5:$AA$16</c:f>
              <c:numCache>
                <c:formatCode>#\ ##0" €";\-#\ ##0" €";\-</c:formatCode>
                <c:ptCount val="12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4-42F2-AF2E-E6DCEA4D7588}"/>
            </c:ext>
          </c:extLst>
        </c:ser>
        <c:ser>
          <c:idx val="2"/>
          <c:order val="2"/>
          <c:tx>
            <c:v>Cumul fonds d'urgence</c:v>
          </c:tx>
          <c:spPr>
            <a:ln w="38100" cmpd="sng">
              <a:solidFill>
                <a:srgbClr val="54823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Plan!$B$5:$B$16</c:f>
              <c:numCache>
                <c:formatCode>mm/yyyy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Plan!$J$5:$J$16</c:f>
              <c:numCache>
                <c:formatCode>#\ ##0" €";\-#\ ##0" €";\-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1443.55</c:v>
                </c:pt>
                <c:pt idx="7">
                  <c:v>2087.1</c:v>
                </c:pt>
                <c:pt idx="8">
                  <c:v>2730.6499999999996</c:v>
                </c:pt>
                <c:pt idx="9">
                  <c:v>3374.2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4-42F2-AF2E-E6DCEA4D7588}"/>
            </c:ext>
          </c:extLst>
        </c:ser>
        <c:ser>
          <c:idx val="3"/>
          <c:order val="3"/>
          <c:tx>
            <c:v>Cible fonds d'urgence</c:v>
          </c:tx>
          <c:spPr>
            <a:ln w="19050" cmpd="sng">
              <a:solidFill>
                <a:srgbClr val="548235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Plan!$B$5:$B$16</c:f>
              <c:numCache>
                <c:formatCode>mm/yyyy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Plan!$AB$5:$AB$16</c:f>
              <c:numCache>
                <c:formatCode>#\ ##0" €";\-#\ ##0" €";\-</c:formatCode>
                <c:ptCount val="12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34-42F2-AF2E-E6DCEA4D7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506380"/>
        <c:axId val="879659118"/>
      </c:lineChart>
      <c:dateAx>
        <c:axId val="1334506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79659118"/>
        <c:crosses val="autoZero"/>
        <c:auto val="1"/>
        <c:lblOffset val="100"/>
        <c:baseTimeUnit val="months"/>
      </c:dateAx>
      <c:valAx>
        <c:axId val="879659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345063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515225" cy="30575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0</xdr:colOff>
      <xdr:row>20</xdr:row>
      <xdr:rowOff>0</xdr:rowOff>
    </xdr:from>
    <xdr:ext cx="7515225" cy="30765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baseColWidth="10" defaultColWidth="14.42578125" defaultRowHeight="15" customHeight="1" x14ac:dyDescent="0.25"/>
  <cols>
    <col min="1" max="1" width="120" customWidth="1"/>
    <col min="2" max="26" width="8.7109375" customWidth="1"/>
  </cols>
  <sheetData>
    <row r="1" spans="1:1" ht="18" customHeight="1" x14ac:dyDescent="0.25">
      <c r="A1" s="1" t="s">
        <v>0</v>
      </c>
    </row>
    <row r="2" spans="1:1" ht="15" customHeight="1" x14ac:dyDescent="0.25">
      <c r="A2" s="2"/>
    </row>
    <row r="3" spans="1:1" ht="15" customHeight="1" x14ac:dyDescent="0.25">
      <c r="A3" s="3" t="s">
        <v>1</v>
      </c>
    </row>
    <row r="4" spans="1:1" ht="15" customHeight="1" x14ac:dyDescent="0.25">
      <c r="A4" s="2" t="s">
        <v>2</v>
      </c>
    </row>
    <row r="5" spans="1:1" ht="15" customHeight="1" x14ac:dyDescent="0.25">
      <c r="A5" s="2" t="s">
        <v>3</v>
      </c>
    </row>
    <row r="6" spans="1:1" ht="15" customHeight="1" x14ac:dyDescent="0.25">
      <c r="A6" s="2" t="s">
        <v>4</v>
      </c>
    </row>
    <row r="7" spans="1:1" ht="15" customHeight="1" x14ac:dyDescent="0.25">
      <c r="A7" s="2" t="s">
        <v>5</v>
      </c>
    </row>
    <row r="8" spans="1:1" ht="15" customHeight="1" x14ac:dyDescent="0.25">
      <c r="A8" s="2"/>
    </row>
    <row r="9" spans="1:1" ht="15" customHeight="1" x14ac:dyDescent="0.25">
      <c r="A9" s="3" t="s">
        <v>6</v>
      </c>
    </row>
    <row r="10" spans="1:1" ht="15" customHeight="1" x14ac:dyDescent="0.25">
      <c r="A10" s="2" t="s">
        <v>7</v>
      </c>
    </row>
    <row r="11" spans="1:1" ht="15" customHeight="1" x14ac:dyDescent="0.25">
      <c r="A11" s="2" t="s">
        <v>8</v>
      </c>
    </row>
    <row r="12" spans="1:1" ht="15" customHeight="1" x14ac:dyDescent="0.25">
      <c r="A12" s="2"/>
    </row>
    <row r="13" spans="1:1" ht="15" customHeight="1" x14ac:dyDescent="0.25">
      <c r="A13" s="3" t="s">
        <v>9</v>
      </c>
    </row>
    <row r="14" spans="1:1" ht="15" customHeight="1" x14ac:dyDescent="0.25">
      <c r="A14" s="2" t="s">
        <v>10</v>
      </c>
    </row>
    <row r="15" spans="1:1" ht="15" customHeight="1" x14ac:dyDescent="0.25">
      <c r="A15" s="2" t="s">
        <v>11</v>
      </c>
    </row>
    <row r="16" spans="1:1" ht="15" customHeight="1" x14ac:dyDescent="0.25">
      <c r="A16" s="2" t="s">
        <v>12</v>
      </c>
    </row>
    <row r="17" spans="1:1" ht="15" customHeight="1" x14ac:dyDescent="0.25">
      <c r="A17" s="2" t="s">
        <v>13</v>
      </c>
    </row>
    <row r="18" spans="1:1" ht="15" customHeight="1" x14ac:dyDescent="0.25">
      <c r="A18" s="2" t="s">
        <v>14</v>
      </c>
    </row>
    <row r="19" spans="1:1" ht="15" customHeight="1" x14ac:dyDescent="0.25">
      <c r="A19" s="2" t="s">
        <v>15</v>
      </c>
    </row>
    <row r="20" spans="1:1" ht="15" customHeight="1" x14ac:dyDescent="0.25">
      <c r="A20" s="2"/>
    </row>
    <row r="21" spans="1:1" ht="15" customHeight="1" x14ac:dyDescent="0.25">
      <c r="A21" s="3" t="s">
        <v>16</v>
      </c>
    </row>
    <row r="22" spans="1:1" ht="15" customHeight="1" x14ac:dyDescent="0.25">
      <c r="A22" s="2" t="s">
        <v>17</v>
      </c>
    </row>
    <row r="23" spans="1:1" ht="15" customHeight="1" x14ac:dyDescent="0.25">
      <c r="A23" s="2" t="s">
        <v>18</v>
      </c>
    </row>
    <row r="24" spans="1:1" ht="15" customHeight="1" x14ac:dyDescent="0.25">
      <c r="A24" s="2" t="s">
        <v>19</v>
      </c>
    </row>
    <row r="25" spans="1:1" ht="15" customHeight="1" x14ac:dyDescent="0.25">
      <c r="A25" s="2" t="s">
        <v>20</v>
      </c>
    </row>
    <row r="26" spans="1:1" ht="15" customHeight="1" x14ac:dyDescent="0.25">
      <c r="A26" s="2" t="s">
        <v>21</v>
      </c>
    </row>
    <row r="27" spans="1:1" ht="15.75" customHeight="1" x14ac:dyDescent="0.25">
      <c r="A27" s="4"/>
    </row>
    <row r="28" spans="1:1" ht="15" customHeight="1" x14ac:dyDescent="0.25">
      <c r="A28" s="5" t="s">
        <v>22</v>
      </c>
    </row>
    <row r="29" spans="1:1" ht="15.75" customHeight="1" x14ac:dyDescent="0.25">
      <c r="A29" s="6" t="s">
        <v>23</v>
      </c>
    </row>
    <row r="30" spans="1:1" ht="15.75" customHeight="1" x14ac:dyDescent="0.25">
      <c r="A30" s="4"/>
    </row>
    <row r="31" spans="1:1" ht="15.75" customHeight="1" x14ac:dyDescent="0.25">
      <c r="A31" s="4"/>
    </row>
    <row r="32" spans="1:1" ht="15.75" customHeight="1" x14ac:dyDescent="0.25">
      <c r="A32" s="4"/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42578125" defaultRowHeight="15" customHeight="1" x14ac:dyDescent="0.25"/>
  <cols>
    <col min="1" max="1" width="46" customWidth="1"/>
    <col min="2" max="2" width="18" customWidth="1"/>
    <col min="3" max="3" width="52" customWidth="1"/>
    <col min="4" max="26" width="8.7109375" customWidth="1"/>
  </cols>
  <sheetData>
    <row r="1" spans="1:5" ht="18" customHeight="1" x14ac:dyDescent="0.25">
      <c r="A1" s="1" t="s">
        <v>112</v>
      </c>
      <c r="B1" s="2"/>
      <c r="C1" s="2"/>
      <c r="E1" s="20" t="s">
        <v>114</v>
      </c>
    </row>
    <row r="2" spans="1:5" ht="15" customHeight="1" x14ac:dyDescent="0.25">
      <c r="A2" s="2"/>
      <c r="B2" s="2"/>
      <c r="C2" s="2"/>
    </row>
    <row r="3" spans="1:5" ht="15" customHeight="1" x14ac:dyDescent="0.25">
      <c r="A3" s="7" t="s">
        <v>115</v>
      </c>
      <c r="B3" s="8"/>
      <c r="C3" s="8"/>
    </row>
    <row r="4" spans="1:5" ht="15" customHeight="1" x14ac:dyDescent="0.25">
      <c r="A4" s="2" t="s">
        <v>116</v>
      </c>
      <c r="B4" s="36">
        <f>Budget!B7</f>
        <v>2900</v>
      </c>
      <c r="C4" s="2"/>
    </row>
    <row r="5" spans="1:5" ht="15" customHeight="1" x14ac:dyDescent="0.25">
      <c r="A5" s="2" t="s">
        <v>117</v>
      </c>
      <c r="B5" s="36">
        <f>Budget!B18+Budget!B25</f>
        <v>1725</v>
      </c>
      <c r="C5" s="2"/>
    </row>
    <row r="6" spans="1:5" ht="15" customHeight="1" x14ac:dyDescent="0.25">
      <c r="A6" s="2" t="s">
        <v>118</v>
      </c>
      <c r="B6" s="36">
        <f>Crédits!E11</f>
        <v>731.45</v>
      </c>
      <c r="C6" s="2"/>
    </row>
    <row r="7" spans="1:5" ht="15" customHeight="1" x14ac:dyDescent="0.25">
      <c r="A7" s="3" t="s">
        <v>119</v>
      </c>
      <c r="B7" s="37">
        <f>B4-B5-B6</f>
        <v>443.54999999999995</v>
      </c>
      <c r="C7" s="20" t="s">
        <v>120</v>
      </c>
    </row>
    <row r="8" spans="1:5" ht="15" customHeight="1" x14ac:dyDescent="0.25">
      <c r="A8" s="2" t="s">
        <v>121</v>
      </c>
      <c r="B8" s="38">
        <f>IFERROR(B6/B4,0)</f>
        <v>0.25222413793103449</v>
      </c>
      <c r="C8" s="20" t="s">
        <v>123</v>
      </c>
    </row>
    <row r="9" spans="1:5" ht="15" customHeight="1" x14ac:dyDescent="0.25">
      <c r="A9" s="2" t="s">
        <v>124</v>
      </c>
      <c r="B9" s="39" t="str">
        <f>IF(B8&gt;0.35,"Au-dessus de 35 %",IF(B8&gt;0.3,"Proche du seuil","OK"))</f>
        <v>OK</v>
      </c>
      <c r="C9" s="2"/>
    </row>
    <row r="10" spans="1:5" ht="15" customHeight="1" x14ac:dyDescent="0.25">
      <c r="A10" s="2" t="s">
        <v>125</v>
      </c>
      <c r="B10" s="36">
        <f>Crédits!C11</f>
        <v>16400</v>
      </c>
      <c r="C10" s="2"/>
    </row>
    <row r="11" spans="1:5" ht="15" customHeight="1" x14ac:dyDescent="0.25">
      <c r="A11" s="2" t="s">
        <v>126</v>
      </c>
      <c r="B11" s="38">
        <f>Crédits!D11</f>
        <v>6.0106707317073176E-2</v>
      </c>
      <c r="C11" s="2"/>
    </row>
    <row r="12" spans="1:5" ht="15" customHeight="1" x14ac:dyDescent="0.25">
      <c r="A12" s="2"/>
      <c r="B12" s="2"/>
      <c r="C12" s="2"/>
    </row>
    <row r="13" spans="1:5" ht="15" customHeight="1" x14ac:dyDescent="0.25">
      <c r="A13" s="7" t="s">
        <v>127</v>
      </c>
      <c r="B13" s="8"/>
      <c r="C13" s="8"/>
    </row>
    <row r="14" spans="1:5" ht="15" customHeight="1" x14ac:dyDescent="0.25">
      <c r="A14" s="2" t="s">
        <v>128</v>
      </c>
      <c r="B14" s="36">
        <f>Budget!B29</f>
        <v>4000</v>
      </c>
      <c r="C14" s="2"/>
    </row>
    <row r="15" spans="1:5" ht="15" customHeight="1" x14ac:dyDescent="0.25">
      <c r="A15" s="2" t="s">
        <v>129</v>
      </c>
      <c r="B15" s="36">
        <f>IFERROR(MAX(0,Budget!B29-Budget!B31)/MAX(1,DATEDIF(Budget!B28,Budget!B30,"m")+1),0)</f>
        <v>583.33333333333337</v>
      </c>
      <c r="C15" s="20" t="s">
        <v>130</v>
      </c>
    </row>
    <row r="16" spans="1:5" ht="15" customHeight="1" x14ac:dyDescent="0.25">
      <c r="A16" s="2" t="s">
        <v>131</v>
      </c>
      <c r="B16" s="36">
        <f t="array" ref="B16">IFERROR(INDEX(Plan!H5:H304,MATCH(Budget!B30,Plan!B5:B304,1)),Budget!B31)</f>
        <v>3511.3</v>
      </c>
      <c r="C16" s="2"/>
    </row>
    <row r="17" spans="1:3" ht="15" customHeight="1" x14ac:dyDescent="0.25">
      <c r="A17" s="3" t="s">
        <v>133</v>
      </c>
      <c r="B17" s="40" t="str">
        <f t="array" ref="B17">IFERROR(INDEX(Plan!B5:B304,MATCH(1,Plan!R5:R304,0)),"Non atteint")</f>
        <v>Non atteint</v>
      </c>
      <c r="C17" s="2"/>
    </row>
    <row r="18" spans="1:3" ht="15" customHeight="1" x14ac:dyDescent="0.25">
      <c r="A18" s="3" t="s">
        <v>103</v>
      </c>
      <c r="B18" s="41" t="str">
        <f>IF(B16&gt;=B14,"Objectif tenu","Objectif NON tenu : réduire dépenses ou décaler la date")</f>
        <v>Objectif NON tenu : réduire dépenses ou décaler la date</v>
      </c>
      <c r="C18" s="2"/>
    </row>
    <row r="19" spans="1:3" ht="15" customHeight="1" x14ac:dyDescent="0.25">
      <c r="A19" s="2"/>
      <c r="B19" s="2"/>
      <c r="C19" s="2"/>
    </row>
    <row r="20" spans="1:3" ht="15" customHeight="1" x14ac:dyDescent="0.25">
      <c r="A20" s="7" t="s">
        <v>134</v>
      </c>
      <c r="B20" s="8"/>
      <c r="C20" s="8"/>
    </row>
    <row r="21" spans="1:3" ht="15" customHeight="1" x14ac:dyDescent="0.25">
      <c r="A21" s="2" t="s">
        <v>135</v>
      </c>
      <c r="B21" s="36">
        <f>Budget!B32</f>
        <v>4000</v>
      </c>
      <c r="C21" s="2"/>
    </row>
    <row r="22" spans="1:3" ht="15" customHeight="1" x14ac:dyDescent="0.25">
      <c r="A22" s="2" t="s">
        <v>136</v>
      </c>
      <c r="B22" s="42">
        <f t="array" ref="B22">IFERROR(INDEX(Plan!B5:B304,MATCH(1,Plan!S5:S304,0)),"Non atteint (25 ans)")</f>
        <v>46692</v>
      </c>
      <c r="C22" s="2"/>
    </row>
    <row r="23" spans="1:3" ht="15" customHeight="1" x14ac:dyDescent="0.25">
      <c r="A23" s="2"/>
      <c r="B23" s="2"/>
      <c r="C23" s="2"/>
    </row>
    <row r="24" spans="1:3" ht="15" customHeight="1" x14ac:dyDescent="0.25">
      <c r="A24" s="7" t="s">
        <v>137</v>
      </c>
      <c r="B24" s="8"/>
      <c r="C24" s="8"/>
    </row>
    <row r="25" spans="1:3" ht="15" customHeight="1" x14ac:dyDescent="0.25">
      <c r="A25" s="3" t="s">
        <v>138</v>
      </c>
      <c r="B25" s="40">
        <f t="array" ref="B25">IF(Crédits!C11&lt;=0,"Aucune dette",IFERROR(INDEX(Plan!B5:B304,MATCH(1,Plan!T5:T304,0)),"Au-delà de 25 ans"))</f>
        <v>47088</v>
      </c>
      <c r="C25" s="2"/>
    </row>
    <row r="26" spans="1:3" ht="15" customHeight="1" x14ac:dyDescent="0.25">
      <c r="A26" s="2" t="s">
        <v>139</v>
      </c>
      <c r="B26" s="36">
        <f>SUM(Calcul!BB3:BB302)</f>
        <v>1480.9950970833336</v>
      </c>
      <c r="C26" s="20" t="s">
        <v>140</v>
      </c>
    </row>
    <row r="27" spans="1:3" ht="15" customHeight="1" x14ac:dyDescent="0.25">
      <c r="A27" s="2" t="s">
        <v>141</v>
      </c>
      <c r="B27" s="36">
        <f>SUM(Calcul!BA3:BA302)</f>
        <v>1086.6234866666666</v>
      </c>
      <c r="C27" s="2"/>
    </row>
    <row r="28" spans="1:3" ht="15" customHeight="1" x14ac:dyDescent="0.25">
      <c r="A28" s="3" t="s">
        <v>142</v>
      </c>
      <c r="B28" s="37">
        <f>B26-B27</f>
        <v>394.37161041666695</v>
      </c>
      <c r="C28" s="20" t="s">
        <v>143</v>
      </c>
    </row>
    <row r="29" spans="1:3" ht="15" customHeight="1" x14ac:dyDescent="0.25">
      <c r="A29" s="2"/>
      <c r="B29" s="2"/>
      <c r="C29" s="2"/>
    </row>
    <row r="30" spans="1:3" ht="15" customHeight="1" x14ac:dyDescent="0.25">
      <c r="A30" s="7" t="s">
        <v>144</v>
      </c>
      <c r="B30" s="8"/>
      <c r="C30" s="8"/>
    </row>
    <row r="31" spans="1:3" ht="15" customHeight="1" x14ac:dyDescent="0.25">
      <c r="A31" s="2" t="s">
        <v>145</v>
      </c>
      <c r="B31" s="36">
        <f>Plan!O16</f>
        <v>264.51999999999992</v>
      </c>
      <c r="C31" s="2"/>
    </row>
    <row r="32" spans="1:3" ht="15" customHeight="1" x14ac:dyDescent="0.25">
      <c r="A32" s="2" t="s">
        <v>146</v>
      </c>
      <c r="B32" s="36">
        <f>Plan!J16</f>
        <v>4000</v>
      </c>
      <c r="C32" s="2"/>
    </row>
    <row r="33" spans="1:3" ht="15" customHeight="1" x14ac:dyDescent="0.25">
      <c r="A33" s="2" t="s">
        <v>147</v>
      </c>
      <c r="B33" s="36">
        <f>Plan!P16</f>
        <v>9615.07</v>
      </c>
      <c r="C33" s="2"/>
    </row>
    <row r="34" spans="1:3" ht="15" customHeight="1" x14ac:dyDescent="0.25">
      <c r="A34" s="2" t="s">
        <v>148</v>
      </c>
      <c r="B34" s="43">
        <f>COUNTIF(Plan!Q5:Q304,"Budget négatif !")</f>
        <v>0</v>
      </c>
      <c r="C34" s="20" t="s">
        <v>150</v>
      </c>
    </row>
    <row r="35" spans="1:3" ht="15.75" customHeight="1" x14ac:dyDescent="0.25">
      <c r="A35" s="4"/>
      <c r="B35" s="4"/>
      <c r="C35" s="4"/>
    </row>
    <row r="36" spans="1:3" ht="15.75" customHeight="1" x14ac:dyDescent="0.25">
      <c r="A36" s="7" t="s">
        <v>151</v>
      </c>
      <c r="B36" s="44"/>
      <c r="C36" s="44"/>
    </row>
    <row r="37" spans="1:3" ht="15.75" customHeight="1" x14ac:dyDescent="0.25">
      <c r="A37" s="2" t="s">
        <v>152</v>
      </c>
      <c r="B37" s="42" t="str">
        <f t="array" ref="B37">IF(MAX('Suivi réel'!V6:V29)=0,"Aucune saisie",INDEX('Suivi réel'!A:A,MAX('Suivi réel'!V6:V29)))</f>
        <v>Aucune saisie</v>
      </c>
      <c r="C37" s="4"/>
    </row>
    <row r="38" spans="1:3" ht="15.75" customHeight="1" x14ac:dyDescent="0.25">
      <c r="A38" s="2" t="s">
        <v>153</v>
      </c>
      <c r="B38" s="45">
        <f t="array" ref="B38">IF(MAX('Suivi réel'!V6:V29)=0,0,INDEX('Suivi réel'!O:O,MAX('Suivi réel'!V6:V29)))</f>
        <v>0</v>
      </c>
      <c r="C38" s="4"/>
    </row>
    <row r="39" spans="1:3" ht="15.75" customHeight="1" x14ac:dyDescent="0.25">
      <c r="A39" s="2" t="s">
        <v>154</v>
      </c>
      <c r="B39" s="45">
        <f t="array" ref="B39">IF(MAX('Suivi réel'!V6:V29)=0,0,INDEX('Suivi réel'!R:R,MAX('Suivi réel'!V6:V29)))</f>
        <v>0</v>
      </c>
      <c r="C39" s="4"/>
    </row>
    <row r="40" spans="1:3" ht="15.75" customHeight="1" x14ac:dyDescent="0.25">
      <c r="A40" s="3" t="s">
        <v>103</v>
      </c>
      <c r="B40" s="46" t="str">
        <f t="array" ref="B40">IF(MAX('Suivi réel'!V6:V29)=0,"—",INDEX('Suivi réel'!U:U,MAX('Suivi réel'!V6:V29)))</f>
        <v>—</v>
      </c>
      <c r="C40" s="4"/>
    </row>
    <row r="41" spans="1:3" ht="15.75" customHeight="1" x14ac:dyDescent="0.25">
      <c r="A41" s="4"/>
      <c r="B41" s="4"/>
      <c r="C41" s="4"/>
    </row>
    <row r="42" spans="1:3" ht="15.75" customHeight="1" x14ac:dyDescent="0.25">
      <c r="A42" s="4"/>
      <c r="B42" s="4"/>
      <c r="C42" s="4"/>
    </row>
    <row r="43" spans="1:3" ht="15.75" customHeight="1" x14ac:dyDescent="0.25">
      <c r="A43" s="4"/>
      <c r="B43" s="4"/>
      <c r="C43" s="4"/>
    </row>
    <row r="44" spans="1:3" ht="15.75" customHeight="1" x14ac:dyDescent="0.25">
      <c r="A44" s="4"/>
      <c r="B44" s="4"/>
      <c r="C44" s="4"/>
    </row>
    <row r="45" spans="1:3" ht="15.75" customHeight="1" x14ac:dyDescent="0.25">
      <c r="A45" s="4"/>
      <c r="B45" s="4"/>
      <c r="C45" s="4"/>
    </row>
    <row r="46" spans="1:3" ht="15.75" customHeight="1" x14ac:dyDescent="0.25">
      <c r="A46" s="4"/>
      <c r="B46" s="4"/>
      <c r="C46" s="4"/>
    </row>
    <row r="47" spans="1:3" ht="15.75" customHeight="1" x14ac:dyDescent="0.25">
      <c r="A47" s="4"/>
      <c r="B47" s="4"/>
      <c r="C47" s="4"/>
    </row>
    <row r="48" spans="1:3" ht="15.75" customHeight="1" x14ac:dyDescent="0.25">
      <c r="A48" s="4"/>
      <c r="B48" s="4"/>
      <c r="C48" s="4"/>
    </row>
    <row r="49" spans="1:3" ht="15.75" customHeight="1" x14ac:dyDescent="0.25">
      <c r="A49" s="4"/>
      <c r="B49" s="4"/>
      <c r="C49" s="4"/>
    </row>
    <row r="50" spans="1:3" ht="15.75" customHeight="1" x14ac:dyDescent="0.25">
      <c r="A50" s="4"/>
      <c r="B50" s="4"/>
      <c r="C50" s="4"/>
    </row>
    <row r="51" spans="1:3" ht="15.75" customHeight="1" x14ac:dyDescent="0.25">
      <c r="A51" s="4"/>
      <c r="B51" s="4"/>
      <c r="C51" s="4"/>
    </row>
    <row r="52" spans="1:3" ht="15.75" customHeight="1" x14ac:dyDescent="0.25">
      <c r="A52" s="4"/>
      <c r="B52" s="4"/>
      <c r="C52" s="4"/>
    </row>
    <row r="53" spans="1:3" ht="15.75" customHeight="1" x14ac:dyDescent="0.25">
      <c r="A53" s="4"/>
      <c r="B53" s="4"/>
      <c r="C53" s="4"/>
    </row>
    <row r="54" spans="1:3" ht="15.75" customHeight="1" x14ac:dyDescent="0.25">
      <c r="A54" s="4"/>
      <c r="B54" s="4"/>
      <c r="C54" s="4"/>
    </row>
    <row r="55" spans="1:3" ht="15.75" customHeight="1" x14ac:dyDescent="0.25">
      <c r="A55" s="4"/>
      <c r="B55" s="4"/>
      <c r="C55" s="4"/>
    </row>
    <row r="56" spans="1:3" ht="15.75" customHeight="1" x14ac:dyDescent="0.25">
      <c r="A56" s="4"/>
      <c r="B56" s="4"/>
      <c r="C56" s="4"/>
    </row>
    <row r="57" spans="1:3" ht="15.75" customHeight="1" x14ac:dyDescent="0.25">
      <c r="A57" s="4"/>
      <c r="B57" s="4"/>
      <c r="C57" s="4"/>
    </row>
    <row r="58" spans="1:3" ht="15.75" customHeight="1" x14ac:dyDescent="0.25">
      <c r="A58" s="4"/>
      <c r="B58" s="4"/>
      <c r="C58" s="4"/>
    </row>
    <row r="59" spans="1:3" ht="15.75" customHeight="1" x14ac:dyDescent="0.25">
      <c r="A59" s="4"/>
      <c r="B59" s="4"/>
      <c r="C59" s="4"/>
    </row>
    <row r="60" spans="1:3" ht="15.75" customHeight="1" x14ac:dyDescent="0.25">
      <c r="A60" s="4"/>
      <c r="B60" s="4"/>
      <c r="C60" s="4"/>
    </row>
    <row r="61" spans="1:3" ht="15.75" customHeight="1" x14ac:dyDescent="0.25">
      <c r="A61" s="4"/>
      <c r="B61" s="4"/>
      <c r="C61" s="4"/>
    </row>
    <row r="62" spans="1:3" ht="15.75" customHeight="1" x14ac:dyDescent="0.25">
      <c r="A62" s="4"/>
      <c r="B62" s="4"/>
      <c r="C62" s="4"/>
    </row>
    <row r="63" spans="1:3" ht="15.75" customHeight="1" x14ac:dyDescent="0.25">
      <c r="A63" s="4"/>
      <c r="B63" s="4"/>
      <c r="C63" s="4"/>
    </row>
    <row r="64" spans="1:3" ht="15.75" customHeight="1" x14ac:dyDescent="0.25">
      <c r="A64" s="4"/>
      <c r="B64" s="4"/>
      <c r="C64" s="4"/>
    </row>
    <row r="65" spans="1:3" ht="15.75" customHeight="1" x14ac:dyDescent="0.25">
      <c r="A65" s="4"/>
      <c r="B65" s="4"/>
      <c r="C65" s="4"/>
    </row>
    <row r="66" spans="1:3" ht="15.75" customHeight="1" x14ac:dyDescent="0.25">
      <c r="A66" s="4"/>
      <c r="B66" s="4"/>
      <c r="C66" s="4"/>
    </row>
    <row r="67" spans="1:3" ht="15.75" customHeight="1" x14ac:dyDescent="0.25">
      <c r="A67" s="4"/>
      <c r="B67" s="4"/>
      <c r="C67" s="4"/>
    </row>
    <row r="68" spans="1:3" ht="15.75" customHeight="1" x14ac:dyDescent="0.25">
      <c r="A68" s="4"/>
      <c r="B68" s="4"/>
      <c r="C68" s="4"/>
    </row>
    <row r="69" spans="1:3" ht="15.75" customHeight="1" x14ac:dyDescent="0.25">
      <c r="A69" s="4"/>
      <c r="B69" s="4"/>
      <c r="C69" s="4"/>
    </row>
    <row r="70" spans="1:3" ht="15.75" customHeight="1" x14ac:dyDescent="0.25">
      <c r="A70" s="4"/>
      <c r="B70" s="4"/>
      <c r="C70" s="4"/>
    </row>
    <row r="71" spans="1:3" ht="15.75" customHeight="1" x14ac:dyDescent="0.25">
      <c r="A71" s="4"/>
      <c r="B71" s="4"/>
      <c r="C71" s="4"/>
    </row>
    <row r="72" spans="1:3" ht="15.75" customHeight="1" x14ac:dyDescent="0.25">
      <c r="A72" s="4"/>
      <c r="B72" s="4"/>
      <c r="C72" s="4"/>
    </row>
    <row r="73" spans="1:3" ht="15.75" customHeight="1" x14ac:dyDescent="0.25">
      <c r="A73" s="4"/>
      <c r="B73" s="4"/>
      <c r="C73" s="4"/>
    </row>
    <row r="74" spans="1:3" ht="15.75" customHeight="1" x14ac:dyDescent="0.25">
      <c r="A74" s="4"/>
      <c r="B74" s="4"/>
      <c r="C74" s="4"/>
    </row>
    <row r="75" spans="1:3" ht="15.75" customHeight="1" x14ac:dyDescent="0.25">
      <c r="A75" s="4"/>
      <c r="B75" s="4"/>
      <c r="C75" s="4"/>
    </row>
    <row r="76" spans="1:3" ht="15.75" customHeight="1" x14ac:dyDescent="0.25">
      <c r="A76" s="4"/>
      <c r="B76" s="4"/>
      <c r="C76" s="4"/>
    </row>
    <row r="77" spans="1:3" ht="15.75" customHeight="1" x14ac:dyDescent="0.25">
      <c r="A77" s="4"/>
      <c r="B77" s="4"/>
      <c r="C77" s="4"/>
    </row>
    <row r="78" spans="1:3" ht="15.75" customHeight="1" x14ac:dyDescent="0.25">
      <c r="A78" s="4"/>
      <c r="B78" s="4"/>
      <c r="C78" s="4"/>
    </row>
    <row r="79" spans="1:3" ht="15.75" customHeight="1" x14ac:dyDescent="0.25">
      <c r="A79" s="4"/>
      <c r="B79" s="4"/>
      <c r="C79" s="4"/>
    </row>
    <row r="80" spans="1:3" ht="15.75" customHeight="1" x14ac:dyDescent="0.25">
      <c r="A80" s="4"/>
      <c r="B80" s="4"/>
      <c r="C80" s="4"/>
    </row>
    <row r="81" spans="1:3" ht="15.75" customHeight="1" x14ac:dyDescent="0.25">
      <c r="A81" s="4"/>
      <c r="B81" s="4"/>
      <c r="C81" s="4"/>
    </row>
    <row r="82" spans="1:3" ht="15.75" customHeight="1" x14ac:dyDescent="0.25">
      <c r="A82" s="4"/>
      <c r="B82" s="4"/>
      <c r="C82" s="4"/>
    </row>
    <row r="83" spans="1:3" ht="15.75" customHeight="1" x14ac:dyDescent="0.25">
      <c r="A83" s="4"/>
      <c r="B83" s="4"/>
      <c r="C83" s="4"/>
    </row>
    <row r="84" spans="1:3" ht="15.75" customHeight="1" x14ac:dyDescent="0.25">
      <c r="A84" s="4"/>
      <c r="B84" s="4"/>
      <c r="C84" s="4"/>
    </row>
    <row r="85" spans="1:3" ht="15.75" customHeight="1" x14ac:dyDescent="0.25">
      <c r="A85" s="4"/>
      <c r="B85" s="4"/>
      <c r="C85" s="4"/>
    </row>
    <row r="86" spans="1:3" ht="15.75" customHeight="1" x14ac:dyDescent="0.25">
      <c r="A86" s="4"/>
      <c r="B86" s="4"/>
      <c r="C86" s="4"/>
    </row>
    <row r="87" spans="1:3" ht="15.75" customHeight="1" x14ac:dyDescent="0.25">
      <c r="A87" s="4"/>
      <c r="B87" s="4"/>
      <c r="C87" s="4"/>
    </row>
    <row r="88" spans="1:3" ht="15.75" customHeight="1" x14ac:dyDescent="0.25">
      <c r="A88" s="4"/>
      <c r="B88" s="4"/>
      <c r="C88" s="4"/>
    </row>
    <row r="89" spans="1:3" ht="15.75" customHeight="1" x14ac:dyDescent="0.25">
      <c r="A89" s="4"/>
      <c r="B89" s="4"/>
      <c r="C89" s="4"/>
    </row>
    <row r="90" spans="1:3" ht="15.75" customHeight="1" x14ac:dyDescent="0.25">
      <c r="A90" s="4"/>
      <c r="B90" s="4"/>
      <c r="C90" s="4"/>
    </row>
    <row r="91" spans="1:3" ht="15.75" customHeight="1" x14ac:dyDescent="0.25">
      <c r="A91" s="4"/>
      <c r="B91" s="4"/>
      <c r="C91" s="4"/>
    </row>
    <row r="92" spans="1:3" ht="15.75" customHeight="1" x14ac:dyDescent="0.25">
      <c r="A92" s="4"/>
      <c r="B92" s="4"/>
      <c r="C92" s="4"/>
    </row>
    <row r="93" spans="1:3" ht="15.75" customHeight="1" x14ac:dyDescent="0.25">
      <c r="A93" s="4"/>
      <c r="B93" s="4"/>
      <c r="C93" s="4"/>
    </row>
    <row r="94" spans="1:3" ht="15.75" customHeight="1" x14ac:dyDescent="0.25">
      <c r="A94" s="4"/>
      <c r="B94" s="4"/>
      <c r="C94" s="4"/>
    </row>
    <row r="95" spans="1:3" ht="15.75" customHeight="1" x14ac:dyDescent="0.25">
      <c r="A95" s="4"/>
      <c r="B95" s="4"/>
      <c r="C95" s="4"/>
    </row>
    <row r="96" spans="1:3" ht="15.75" customHeight="1" x14ac:dyDescent="0.25">
      <c r="A96" s="4"/>
      <c r="B96" s="4"/>
      <c r="C96" s="4"/>
    </row>
    <row r="97" spans="1:3" ht="15.75" customHeight="1" x14ac:dyDescent="0.25">
      <c r="A97" s="4"/>
      <c r="B97" s="4"/>
      <c r="C97" s="4"/>
    </row>
    <row r="98" spans="1:3" ht="15.75" customHeight="1" x14ac:dyDescent="0.25">
      <c r="A98" s="4"/>
      <c r="B98" s="4"/>
      <c r="C98" s="4"/>
    </row>
    <row r="99" spans="1:3" ht="15.75" customHeight="1" x14ac:dyDescent="0.25">
      <c r="A99" s="4"/>
      <c r="B99" s="4"/>
      <c r="C99" s="4"/>
    </row>
    <row r="100" spans="1:3" ht="15.75" customHeight="1" x14ac:dyDescent="0.25">
      <c r="A100" s="4"/>
      <c r="B100" s="4"/>
      <c r="C100" s="4"/>
    </row>
    <row r="101" spans="1:3" ht="15.75" customHeight="1" x14ac:dyDescent="0.25">
      <c r="A101" s="4"/>
      <c r="B101" s="4"/>
      <c r="C101" s="4"/>
    </row>
    <row r="102" spans="1:3" ht="15.75" customHeight="1" x14ac:dyDescent="0.25">
      <c r="A102" s="4"/>
      <c r="B102" s="4"/>
      <c r="C102" s="4"/>
    </row>
    <row r="103" spans="1:3" ht="15.75" customHeight="1" x14ac:dyDescent="0.25">
      <c r="A103" s="4"/>
      <c r="B103" s="4"/>
      <c r="C103" s="4"/>
    </row>
    <row r="104" spans="1:3" ht="15.75" customHeight="1" x14ac:dyDescent="0.25">
      <c r="A104" s="4"/>
      <c r="B104" s="4"/>
      <c r="C104" s="4"/>
    </row>
    <row r="105" spans="1:3" ht="15.75" customHeight="1" x14ac:dyDescent="0.25">
      <c r="A105" s="4"/>
      <c r="B105" s="4"/>
      <c r="C105" s="4"/>
    </row>
    <row r="106" spans="1:3" ht="15.75" customHeight="1" x14ac:dyDescent="0.25">
      <c r="A106" s="4"/>
      <c r="B106" s="4"/>
      <c r="C106" s="4"/>
    </row>
    <row r="107" spans="1:3" ht="15.75" customHeight="1" x14ac:dyDescent="0.25">
      <c r="A107" s="4"/>
      <c r="B107" s="4"/>
      <c r="C107" s="4"/>
    </row>
    <row r="108" spans="1:3" ht="15.75" customHeight="1" x14ac:dyDescent="0.25">
      <c r="A108" s="4"/>
      <c r="B108" s="4"/>
      <c r="C108" s="4"/>
    </row>
    <row r="109" spans="1:3" ht="15.75" customHeight="1" x14ac:dyDescent="0.25">
      <c r="A109" s="4"/>
      <c r="B109" s="4"/>
      <c r="C109" s="4"/>
    </row>
    <row r="110" spans="1:3" ht="15.75" customHeight="1" x14ac:dyDescent="0.25">
      <c r="A110" s="4"/>
      <c r="B110" s="4"/>
      <c r="C110" s="4"/>
    </row>
    <row r="111" spans="1:3" ht="15.75" customHeight="1" x14ac:dyDescent="0.25">
      <c r="A111" s="4"/>
      <c r="B111" s="4"/>
      <c r="C111" s="4"/>
    </row>
    <row r="112" spans="1:3" ht="15.75" customHeight="1" x14ac:dyDescent="0.25">
      <c r="A112" s="4"/>
      <c r="B112" s="4"/>
      <c r="C112" s="4"/>
    </row>
    <row r="113" spans="1:3" ht="15.75" customHeight="1" x14ac:dyDescent="0.25">
      <c r="A113" s="4"/>
      <c r="B113" s="4"/>
      <c r="C113" s="4"/>
    </row>
    <row r="114" spans="1:3" ht="15.75" customHeight="1" x14ac:dyDescent="0.25">
      <c r="A114" s="4"/>
      <c r="B114" s="4"/>
      <c r="C114" s="4"/>
    </row>
    <row r="115" spans="1:3" ht="15.75" customHeight="1" x14ac:dyDescent="0.25">
      <c r="A115" s="4"/>
      <c r="B115" s="4"/>
      <c r="C115" s="4"/>
    </row>
    <row r="116" spans="1:3" ht="15.75" customHeight="1" x14ac:dyDescent="0.25">
      <c r="A116" s="4"/>
      <c r="B116" s="4"/>
      <c r="C116" s="4"/>
    </row>
    <row r="117" spans="1:3" ht="15.75" customHeight="1" x14ac:dyDescent="0.25">
      <c r="A117" s="4"/>
      <c r="B117" s="4"/>
      <c r="C117" s="4"/>
    </row>
    <row r="118" spans="1:3" ht="15.75" customHeight="1" x14ac:dyDescent="0.25">
      <c r="A118" s="4"/>
      <c r="B118" s="4"/>
      <c r="C118" s="4"/>
    </row>
    <row r="119" spans="1:3" ht="15.75" customHeight="1" x14ac:dyDescent="0.25">
      <c r="A119" s="4"/>
      <c r="B119" s="4"/>
      <c r="C119" s="4"/>
    </row>
    <row r="120" spans="1:3" ht="15.75" customHeight="1" x14ac:dyDescent="0.25">
      <c r="A120" s="4"/>
      <c r="B120" s="4"/>
      <c r="C120" s="4"/>
    </row>
    <row r="121" spans="1:3" ht="15.75" customHeight="1" x14ac:dyDescent="0.25">
      <c r="A121" s="4"/>
      <c r="B121" s="4"/>
      <c r="C121" s="4"/>
    </row>
    <row r="122" spans="1:3" ht="15.75" customHeight="1" x14ac:dyDescent="0.25">
      <c r="A122" s="4"/>
      <c r="B122" s="4"/>
      <c r="C122" s="4"/>
    </row>
    <row r="123" spans="1:3" ht="15.75" customHeight="1" x14ac:dyDescent="0.25">
      <c r="A123" s="4"/>
      <c r="B123" s="4"/>
      <c r="C123" s="4"/>
    </row>
    <row r="124" spans="1:3" ht="15.75" customHeight="1" x14ac:dyDescent="0.25">
      <c r="A124" s="4"/>
      <c r="B124" s="4"/>
      <c r="C124" s="4"/>
    </row>
    <row r="125" spans="1:3" ht="15.75" customHeight="1" x14ac:dyDescent="0.25">
      <c r="A125" s="4"/>
      <c r="B125" s="4"/>
      <c r="C125" s="4"/>
    </row>
    <row r="126" spans="1:3" ht="15.75" customHeight="1" x14ac:dyDescent="0.25">
      <c r="A126" s="4"/>
      <c r="B126" s="4"/>
      <c r="C126" s="4"/>
    </row>
    <row r="127" spans="1:3" ht="15.75" customHeight="1" x14ac:dyDescent="0.25">
      <c r="A127" s="4"/>
      <c r="B127" s="4"/>
      <c r="C127" s="4"/>
    </row>
    <row r="128" spans="1:3" ht="15.75" customHeight="1" x14ac:dyDescent="0.25">
      <c r="A128" s="4"/>
      <c r="B128" s="4"/>
      <c r="C128" s="4"/>
    </row>
    <row r="129" spans="1:3" ht="15.75" customHeight="1" x14ac:dyDescent="0.25">
      <c r="A129" s="4"/>
      <c r="B129" s="4"/>
      <c r="C129" s="4"/>
    </row>
    <row r="130" spans="1:3" ht="15.75" customHeight="1" x14ac:dyDescent="0.25">
      <c r="A130" s="4"/>
      <c r="B130" s="4"/>
      <c r="C130" s="4"/>
    </row>
    <row r="131" spans="1:3" ht="15.75" customHeight="1" x14ac:dyDescent="0.25">
      <c r="A131" s="4"/>
      <c r="B131" s="4"/>
      <c r="C131" s="4"/>
    </row>
    <row r="132" spans="1:3" ht="15.75" customHeight="1" x14ac:dyDescent="0.25">
      <c r="A132" s="4"/>
      <c r="B132" s="4"/>
      <c r="C132" s="4"/>
    </row>
    <row r="133" spans="1:3" ht="15.75" customHeight="1" x14ac:dyDescent="0.25">
      <c r="A133" s="4"/>
      <c r="B133" s="4"/>
      <c r="C133" s="4"/>
    </row>
    <row r="134" spans="1:3" ht="15.75" customHeight="1" x14ac:dyDescent="0.25">
      <c r="A134" s="4"/>
      <c r="B134" s="4"/>
      <c r="C134" s="4"/>
    </row>
    <row r="135" spans="1:3" ht="15.75" customHeight="1" x14ac:dyDescent="0.25">
      <c r="A135" s="4"/>
      <c r="B135" s="4"/>
      <c r="C135" s="4"/>
    </row>
    <row r="136" spans="1:3" ht="15.75" customHeight="1" x14ac:dyDescent="0.25">
      <c r="A136" s="4"/>
      <c r="B136" s="4"/>
      <c r="C136" s="4"/>
    </row>
    <row r="137" spans="1:3" ht="15.75" customHeight="1" x14ac:dyDescent="0.25">
      <c r="A137" s="4"/>
      <c r="B137" s="4"/>
      <c r="C137" s="4"/>
    </row>
    <row r="138" spans="1:3" ht="15.75" customHeight="1" x14ac:dyDescent="0.25">
      <c r="A138" s="4"/>
      <c r="B138" s="4"/>
      <c r="C138" s="4"/>
    </row>
    <row r="139" spans="1:3" ht="15.75" customHeight="1" x14ac:dyDescent="0.25">
      <c r="A139" s="4"/>
      <c r="B139" s="4"/>
      <c r="C139" s="4"/>
    </row>
    <row r="140" spans="1:3" ht="15.75" customHeight="1" x14ac:dyDescent="0.25">
      <c r="A140" s="4"/>
      <c r="B140" s="4"/>
      <c r="C140" s="4"/>
    </row>
    <row r="141" spans="1:3" ht="15.75" customHeight="1" x14ac:dyDescent="0.25">
      <c r="A141" s="4"/>
      <c r="B141" s="4"/>
      <c r="C141" s="4"/>
    </row>
    <row r="142" spans="1:3" ht="15.75" customHeight="1" x14ac:dyDescent="0.25">
      <c r="A142" s="4"/>
      <c r="B142" s="4"/>
      <c r="C142" s="4"/>
    </row>
    <row r="143" spans="1:3" ht="15.75" customHeight="1" x14ac:dyDescent="0.25">
      <c r="A143" s="4"/>
      <c r="B143" s="4"/>
      <c r="C143" s="4"/>
    </row>
    <row r="144" spans="1:3" ht="15.75" customHeight="1" x14ac:dyDescent="0.25">
      <c r="A144" s="4"/>
      <c r="B144" s="4"/>
      <c r="C144" s="4"/>
    </row>
    <row r="145" spans="1:3" ht="15.75" customHeight="1" x14ac:dyDescent="0.25">
      <c r="A145" s="4"/>
      <c r="B145" s="4"/>
      <c r="C145" s="4"/>
    </row>
    <row r="146" spans="1:3" ht="15.75" customHeight="1" x14ac:dyDescent="0.25">
      <c r="A146" s="4"/>
      <c r="B146" s="4"/>
      <c r="C146" s="4"/>
    </row>
    <row r="147" spans="1:3" ht="15.75" customHeight="1" x14ac:dyDescent="0.25">
      <c r="A147" s="4"/>
      <c r="B147" s="4"/>
      <c r="C147" s="4"/>
    </row>
    <row r="148" spans="1:3" ht="15.75" customHeight="1" x14ac:dyDescent="0.25">
      <c r="A148" s="4"/>
      <c r="B148" s="4"/>
      <c r="C148" s="4"/>
    </row>
    <row r="149" spans="1:3" ht="15.75" customHeight="1" x14ac:dyDescent="0.25">
      <c r="A149" s="4"/>
      <c r="B149" s="4"/>
      <c r="C149" s="4"/>
    </row>
    <row r="150" spans="1:3" ht="15.75" customHeight="1" x14ac:dyDescent="0.25">
      <c r="A150" s="4"/>
      <c r="B150" s="4"/>
      <c r="C150" s="4"/>
    </row>
    <row r="151" spans="1:3" ht="15.75" customHeight="1" x14ac:dyDescent="0.25">
      <c r="A151" s="4"/>
      <c r="B151" s="4"/>
      <c r="C151" s="4"/>
    </row>
    <row r="152" spans="1:3" ht="15.75" customHeight="1" x14ac:dyDescent="0.25">
      <c r="A152" s="4"/>
      <c r="B152" s="4"/>
      <c r="C152" s="4"/>
    </row>
    <row r="153" spans="1:3" ht="15.75" customHeight="1" x14ac:dyDescent="0.25">
      <c r="A153" s="4"/>
      <c r="B153" s="4"/>
      <c r="C153" s="4"/>
    </row>
    <row r="154" spans="1:3" ht="15.75" customHeight="1" x14ac:dyDescent="0.25">
      <c r="A154" s="4"/>
      <c r="B154" s="4"/>
      <c r="C154" s="4"/>
    </row>
    <row r="155" spans="1:3" ht="15.75" customHeight="1" x14ac:dyDescent="0.25">
      <c r="A155" s="4"/>
      <c r="B155" s="4"/>
      <c r="C155" s="4"/>
    </row>
    <row r="156" spans="1:3" ht="15.75" customHeight="1" x14ac:dyDescent="0.25">
      <c r="A156" s="4"/>
      <c r="B156" s="4"/>
      <c r="C156" s="4"/>
    </row>
    <row r="157" spans="1:3" ht="15.75" customHeight="1" x14ac:dyDescent="0.25">
      <c r="A157" s="4"/>
      <c r="B157" s="4"/>
      <c r="C157" s="4"/>
    </row>
    <row r="158" spans="1:3" ht="15.75" customHeight="1" x14ac:dyDescent="0.25">
      <c r="A158" s="4"/>
      <c r="B158" s="4"/>
      <c r="C158" s="4"/>
    </row>
    <row r="159" spans="1:3" ht="15.75" customHeight="1" x14ac:dyDescent="0.25">
      <c r="A159" s="4"/>
      <c r="B159" s="4"/>
      <c r="C159" s="4"/>
    </row>
    <row r="160" spans="1:3" ht="15.75" customHeight="1" x14ac:dyDescent="0.25">
      <c r="A160" s="4"/>
      <c r="B160" s="4"/>
      <c r="C160" s="4"/>
    </row>
    <row r="161" spans="1:3" ht="15.75" customHeight="1" x14ac:dyDescent="0.25">
      <c r="A161" s="4"/>
      <c r="B161" s="4"/>
      <c r="C161" s="4"/>
    </row>
    <row r="162" spans="1:3" ht="15.75" customHeight="1" x14ac:dyDescent="0.25">
      <c r="A162" s="4"/>
      <c r="B162" s="4"/>
      <c r="C162" s="4"/>
    </row>
    <row r="163" spans="1:3" ht="15.75" customHeight="1" x14ac:dyDescent="0.25">
      <c r="A163" s="4"/>
      <c r="B163" s="4"/>
      <c r="C163" s="4"/>
    </row>
    <row r="164" spans="1:3" ht="15.75" customHeight="1" x14ac:dyDescent="0.25">
      <c r="A164" s="4"/>
      <c r="B164" s="4"/>
      <c r="C164" s="4"/>
    </row>
    <row r="165" spans="1:3" ht="15.75" customHeight="1" x14ac:dyDescent="0.25">
      <c r="A165" s="4"/>
      <c r="B165" s="4"/>
      <c r="C165" s="4"/>
    </row>
    <row r="166" spans="1:3" ht="15.75" customHeight="1" x14ac:dyDescent="0.25">
      <c r="A166" s="4"/>
      <c r="B166" s="4"/>
      <c r="C166" s="4"/>
    </row>
    <row r="167" spans="1:3" ht="15.75" customHeight="1" x14ac:dyDescent="0.25">
      <c r="A167" s="4"/>
      <c r="B167" s="4"/>
      <c r="C167" s="4"/>
    </row>
    <row r="168" spans="1:3" ht="15.75" customHeight="1" x14ac:dyDescent="0.25">
      <c r="A168" s="4"/>
      <c r="B168" s="4"/>
      <c r="C168" s="4"/>
    </row>
    <row r="169" spans="1:3" ht="15.75" customHeight="1" x14ac:dyDescent="0.25">
      <c r="A169" s="4"/>
      <c r="B169" s="4"/>
      <c r="C169" s="4"/>
    </row>
    <row r="170" spans="1:3" ht="15.75" customHeight="1" x14ac:dyDescent="0.25">
      <c r="A170" s="4"/>
      <c r="B170" s="4"/>
      <c r="C170" s="4"/>
    </row>
    <row r="171" spans="1:3" ht="15.75" customHeight="1" x14ac:dyDescent="0.25">
      <c r="A171" s="4"/>
      <c r="B171" s="4"/>
      <c r="C171" s="4"/>
    </row>
    <row r="172" spans="1:3" ht="15.75" customHeight="1" x14ac:dyDescent="0.25">
      <c r="A172" s="4"/>
      <c r="B172" s="4"/>
      <c r="C172" s="4"/>
    </row>
    <row r="173" spans="1:3" ht="15.75" customHeight="1" x14ac:dyDescent="0.25">
      <c r="A173" s="4"/>
      <c r="B173" s="4"/>
      <c r="C173" s="4"/>
    </row>
    <row r="174" spans="1:3" ht="15.75" customHeight="1" x14ac:dyDescent="0.25">
      <c r="A174" s="4"/>
      <c r="B174" s="4"/>
      <c r="C174" s="4"/>
    </row>
    <row r="175" spans="1:3" ht="15.75" customHeight="1" x14ac:dyDescent="0.25">
      <c r="A175" s="4"/>
      <c r="B175" s="4"/>
      <c r="C175" s="4"/>
    </row>
    <row r="176" spans="1:3" ht="15.75" customHeight="1" x14ac:dyDescent="0.25">
      <c r="A176" s="4"/>
      <c r="B176" s="4"/>
      <c r="C176" s="4"/>
    </row>
    <row r="177" spans="1:3" ht="15.75" customHeight="1" x14ac:dyDescent="0.25">
      <c r="A177" s="4"/>
      <c r="B177" s="4"/>
      <c r="C177" s="4"/>
    </row>
    <row r="178" spans="1:3" ht="15.75" customHeight="1" x14ac:dyDescent="0.25">
      <c r="A178" s="4"/>
      <c r="B178" s="4"/>
      <c r="C178" s="4"/>
    </row>
    <row r="179" spans="1:3" ht="15.75" customHeight="1" x14ac:dyDescent="0.25">
      <c r="A179" s="4"/>
      <c r="B179" s="4"/>
      <c r="C179" s="4"/>
    </row>
    <row r="180" spans="1:3" ht="15.75" customHeight="1" x14ac:dyDescent="0.25">
      <c r="A180" s="4"/>
      <c r="B180" s="4"/>
      <c r="C180" s="4"/>
    </row>
    <row r="181" spans="1:3" ht="15.75" customHeight="1" x14ac:dyDescent="0.25">
      <c r="A181" s="4"/>
      <c r="B181" s="4"/>
      <c r="C181" s="4"/>
    </row>
    <row r="182" spans="1:3" ht="15.75" customHeight="1" x14ac:dyDescent="0.25">
      <c r="A182" s="4"/>
      <c r="B182" s="4"/>
      <c r="C182" s="4"/>
    </row>
    <row r="183" spans="1:3" ht="15.75" customHeight="1" x14ac:dyDescent="0.25">
      <c r="A183" s="4"/>
      <c r="B183" s="4"/>
      <c r="C183" s="4"/>
    </row>
    <row r="184" spans="1:3" ht="15.75" customHeight="1" x14ac:dyDescent="0.25">
      <c r="A184" s="4"/>
      <c r="B184" s="4"/>
      <c r="C184" s="4"/>
    </row>
    <row r="185" spans="1:3" ht="15.75" customHeight="1" x14ac:dyDescent="0.25">
      <c r="A185" s="4"/>
      <c r="B185" s="4"/>
      <c r="C185" s="4"/>
    </row>
    <row r="186" spans="1:3" ht="15.75" customHeight="1" x14ac:dyDescent="0.25">
      <c r="A186" s="4"/>
      <c r="B186" s="4"/>
      <c r="C186" s="4"/>
    </row>
    <row r="187" spans="1:3" ht="15.75" customHeight="1" x14ac:dyDescent="0.25">
      <c r="A187" s="4"/>
      <c r="B187" s="4"/>
      <c r="C187" s="4"/>
    </row>
    <row r="188" spans="1:3" ht="15.75" customHeight="1" x14ac:dyDescent="0.25">
      <c r="A188" s="4"/>
      <c r="B188" s="4"/>
      <c r="C188" s="4"/>
    </row>
    <row r="189" spans="1:3" ht="15.75" customHeight="1" x14ac:dyDescent="0.25">
      <c r="A189" s="4"/>
      <c r="B189" s="4"/>
      <c r="C189" s="4"/>
    </row>
    <row r="190" spans="1:3" ht="15.75" customHeight="1" x14ac:dyDescent="0.25">
      <c r="A190" s="4"/>
      <c r="B190" s="4"/>
      <c r="C190" s="4"/>
    </row>
    <row r="191" spans="1:3" ht="15.75" customHeight="1" x14ac:dyDescent="0.25">
      <c r="A191" s="4"/>
      <c r="B191" s="4"/>
      <c r="C191" s="4"/>
    </row>
    <row r="192" spans="1:3" ht="15.75" customHeight="1" x14ac:dyDescent="0.25">
      <c r="A192" s="4"/>
      <c r="B192" s="4"/>
      <c r="C192" s="4"/>
    </row>
    <row r="193" spans="1:3" ht="15.75" customHeight="1" x14ac:dyDescent="0.25">
      <c r="A193" s="4"/>
      <c r="B193" s="4"/>
      <c r="C193" s="4"/>
    </row>
    <row r="194" spans="1:3" ht="15.75" customHeight="1" x14ac:dyDescent="0.25">
      <c r="A194" s="4"/>
      <c r="B194" s="4"/>
      <c r="C194" s="4"/>
    </row>
    <row r="195" spans="1:3" ht="15.75" customHeight="1" x14ac:dyDescent="0.25">
      <c r="A195" s="4"/>
      <c r="B195" s="4"/>
      <c r="C195" s="4"/>
    </row>
    <row r="196" spans="1:3" ht="15.75" customHeight="1" x14ac:dyDescent="0.25">
      <c r="A196" s="4"/>
      <c r="B196" s="4"/>
      <c r="C196" s="4"/>
    </row>
    <row r="197" spans="1:3" ht="15.75" customHeight="1" x14ac:dyDescent="0.25">
      <c r="A197" s="4"/>
      <c r="B197" s="4"/>
      <c r="C197" s="4"/>
    </row>
    <row r="198" spans="1:3" ht="15.75" customHeight="1" x14ac:dyDescent="0.25">
      <c r="A198" s="4"/>
      <c r="B198" s="4"/>
      <c r="C198" s="4"/>
    </row>
    <row r="199" spans="1:3" ht="15.75" customHeight="1" x14ac:dyDescent="0.25">
      <c r="A199" s="4"/>
      <c r="B199" s="4"/>
      <c r="C199" s="4"/>
    </row>
    <row r="200" spans="1:3" ht="15.75" customHeight="1" x14ac:dyDescent="0.25">
      <c r="A200" s="4"/>
      <c r="B200" s="4"/>
      <c r="C200" s="4"/>
    </row>
    <row r="201" spans="1:3" ht="15.75" customHeight="1" x14ac:dyDescent="0.25">
      <c r="A201" s="4"/>
      <c r="B201" s="4"/>
      <c r="C201" s="4"/>
    </row>
    <row r="202" spans="1:3" ht="15.75" customHeight="1" x14ac:dyDescent="0.25">
      <c r="A202" s="4"/>
      <c r="B202" s="4"/>
      <c r="C202" s="4"/>
    </row>
    <row r="203" spans="1:3" ht="15.75" customHeight="1" x14ac:dyDescent="0.25">
      <c r="A203" s="4"/>
      <c r="B203" s="4"/>
      <c r="C203" s="4"/>
    </row>
    <row r="204" spans="1:3" ht="15.75" customHeight="1" x14ac:dyDescent="0.25">
      <c r="A204" s="4"/>
      <c r="B204" s="4"/>
      <c r="C204" s="4"/>
    </row>
    <row r="205" spans="1:3" ht="15.75" customHeight="1" x14ac:dyDescent="0.25">
      <c r="A205" s="4"/>
      <c r="B205" s="4"/>
      <c r="C205" s="4"/>
    </row>
    <row r="206" spans="1:3" ht="15.75" customHeight="1" x14ac:dyDescent="0.25">
      <c r="A206" s="4"/>
      <c r="B206" s="4"/>
      <c r="C206" s="4"/>
    </row>
    <row r="207" spans="1:3" ht="15.75" customHeight="1" x14ac:dyDescent="0.25">
      <c r="A207" s="4"/>
      <c r="B207" s="4"/>
      <c r="C207" s="4"/>
    </row>
    <row r="208" spans="1:3" ht="15.75" customHeight="1" x14ac:dyDescent="0.25">
      <c r="A208" s="4"/>
      <c r="B208" s="4"/>
      <c r="C208" s="4"/>
    </row>
    <row r="209" spans="1:3" ht="15.75" customHeight="1" x14ac:dyDescent="0.25">
      <c r="A209" s="4"/>
      <c r="B209" s="4"/>
      <c r="C209" s="4"/>
    </row>
    <row r="210" spans="1:3" ht="15.75" customHeight="1" x14ac:dyDescent="0.25">
      <c r="A210" s="4"/>
      <c r="B210" s="4"/>
      <c r="C210" s="4"/>
    </row>
    <row r="211" spans="1:3" ht="15.75" customHeight="1" x14ac:dyDescent="0.25">
      <c r="A211" s="4"/>
      <c r="B211" s="4"/>
      <c r="C211" s="4"/>
    </row>
    <row r="212" spans="1:3" ht="15.75" customHeight="1" x14ac:dyDescent="0.25">
      <c r="A212" s="4"/>
      <c r="B212" s="4"/>
      <c r="C212" s="4"/>
    </row>
    <row r="213" spans="1:3" ht="15.75" customHeight="1" x14ac:dyDescent="0.25">
      <c r="A213" s="4"/>
      <c r="B213" s="4"/>
      <c r="C213" s="4"/>
    </row>
    <row r="214" spans="1:3" ht="15.75" customHeight="1" x14ac:dyDescent="0.25">
      <c r="A214" s="4"/>
      <c r="B214" s="4"/>
      <c r="C214" s="4"/>
    </row>
    <row r="215" spans="1:3" ht="15.75" customHeight="1" x14ac:dyDescent="0.25">
      <c r="A215" s="4"/>
      <c r="B215" s="4"/>
      <c r="C215" s="4"/>
    </row>
    <row r="216" spans="1:3" ht="15.75" customHeight="1" x14ac:dyDescent="0.25">
      <c r="A216" s="4"/>
      <c r="B216" s="4"/>
      <c r="C216" s="4"/>
    </row>
    <row r="217" spans="1:3" ht="15.75" customHeight="1" x14ac:dyDescent="0.25">
      <c r="A217" s="4"/>
      <c r="B217" s="4"/>
      <c r="C217" s="4"/>
    </row>
    <row r="218" spans="1:3" ht="15.75" customHeight="1" x14ac:dyDescent="0.25">
      <c r="A218" s="4"/>
      <c r="B218" s="4"/>
      <c r="C218" s="4"/>
    </row>
    <row r="219" spans="1:3" ht="15.75" customHeight="1" x14ac:dyDescent="0.25">
      <c r="A219" s="4"/>
      <c r="B219" s="4"/>
      <c r="C219" s="4"/>
    </row>
    <row r="220" spans="1:3" ht="15.75" customHeight="1" x14ac:dyDescent="0.25">
      <c r="A220" s="4"/>
      <c r="B220" s="4"/>
      <c r="C220" s="4"/>
    </row>
    <row r="221" spans="1:3" ht="15.75" customHeight="1" x14ac:dyDescent="0.25">
      <c r="A221" s="4"/>
      <c r="B221" s="4"/>
      <c r="C221" s="4"/>
    </row>
    <row r="222" spans="1:3" ht="15.75" customHeight="1" x14ac:dyDescent="0.25">
      <c r="A222" s="4"/>
      <c r="B222" s="4"/>
      <c r="C222" s="4"/>
    </row>
    <row r="223" spans="1:3" ht="15.75" customHeight="1" x14ac:dyDescent="0.25">
      <c r="A223" s="4"/>
      <c r="B223" s="4"/>
      <c r="C223" s="4"/>
    </row>
    <row r="224" spans="1:3" ht="15.75" customHeight="1" x14ac:dyDescent="0.25">
      <c r="A224" s="4"/>
      <c r="B224" s="4"/>
      <c r="C224" s="4"/>
    </row>
    <row r="225" spans="1:3" ht="15.75" customHeight="1" x14ac:dyDescent="0.25">
      <c r="A225" s="4"/>
      <c r="B225" s="4"/>
      <c r="C225" s="4"/>
    </row>
    <row r="226" spans="1:3" ht="15.75" customHeight="1" x14ac:dyDescent="0.25">
      <c r="A226" s="4"/>
      <c r="B226" s="4"/>
      <c r="C226" s="4"/>
    </row>
    <row r="227" spans="1:3" ht="15.75" customHeight="1" x14ac:dyDescent="0.25">
      <c r="A227" s="4"/>
      <c r="B227" s="4"/>
      <c r="C227" s="4"/>
    </row>
    <row r="228" spans="1:3" ht="15.75" customHeight="1" x14ac:dyDescent="0.25">
      <c r="A228" s="4"/>
      <c r="B228" s="4"/>
      <c r="C228" s="4"/>
    </row>
    <row r="229" spans="1:3" ht="15.75" customHeight="1" x14ac:dyDescent="0.25">
      <c r="A229" s="4"/>
      <c r="B229" s="4"/>
      <c r="C229" s="4"/>
    </row>
    <row r="230" spans="1:3" ht="15.75" customHeight="1" x14ac:dyDescent="0.25">
      <c r="A230" s="4"/>
      <c r="B230" s="4"/>
      <c r="C230" s="4"/>
    </row>
    <row r="231" spans="1:3" ht="15.75" customHeight="1" x14ac:dyDescent="0.25">
      <c r="A231" s="4"/>
      <c r="B231" s="4"/>
      <c r="C231" s="4"/>
    </row>
    <row r="232" spans="1:3" ht="15.75" customHeight="1" x14ac:dyDescent="0.25">
      <c r="A232" s="4"/>
      <c r="B232" s="4"/>
      <c r="C232" s="4"/>
    </row>
    <row r="233" spans="1:3" ht="15.75" customHeight="1" x14ac:dyDescent="0.25">
      <c r="A233" s="4"/>
      <c r="B233" s="4"/>
      <c r="C233" s="4"/>
    </row>
    <row r="234" spans="1:3" ht="15.75" customHeight="1" x14ac:dyDescent="0.25">
      <c r="A234" s="4"/>
      <c r="B234" s="4"/>
      <c r="C234" s="4"/>
    </row>
    <row r="235" spans="1:3" ht="15.75" customHeight="1" x14ac:dyDescent="0.25">
      <c r="A235" s="4"/>
      <c r="B235" s="4"/>
      <c r="C235" s="4"/>
    </row>
    <row r="236" spans="1:3" ht="15.75" customHeight="1" x14ac:dyDescent="0.25">
      <c r="A236" s="4"/>
      <c r="B236" s="4"/>
      <c r="C236" s="4"/>
    </row>
    <row r="237" spans="1:3" ht="15.75" customHeight="1" x14ac:dyDescent="0.25">
      <c r="A237" s="4"/>
      <c r="B237" s="4"/>
      <c r="C237" s="4"/>
    </row>
    <row r="238" spans="1:3" ht="15.75" customHeight="1" x14ac:dyDescent="0.25">
      <c r="A238" s="4"/>
      <c r="B238" s="4"/>
      <c r="C238" s="4"/>
    </row>
    <row r="239" spans="1:3" ht="15.75" customHeight="1" x14ac:dyDescent="0.25">
      <c r="A239" s="4"/>
      <c r="B239" s="4"/>
      <c r="C239" s="4"/>
    </row>
    <row r="240" spans="1:3" ht="15.75" customHeight="1" x14ac:dyDescent="0.25">
      <c r="A240" s="4"/>
      <c r="B240" s="4"/>
      <c r="C240" s="4"/>
    </row>
    <row r="241" spans="1:3" ht="15.75" customHeight="1" x14ac:dyDescent="0.25">
      <c r="A241" s="4"/>
      <c r="B241" s="4"/>
      <c r="C241" s="4"/>
    </row>
    <row r="242" spans="1:3" ht="15.75" customHeight="1" x14ac:dyDescent="0.25">
      <c r="A242" s="4"/>
      <c r="B242" s="4"/>
      <c r="C242" s="4"/>
    </row>
    <row r="243" spans="1:3" ht="15.75" customHeight="1" x14ac:dyDescent="0.25">
      <c r="A243" s="4"/>
      <c r="B243" s="4"/>
      <c r="C243" s="4"/>
    </row>
    <row r="244" spans="1:3" ht="15.75" customHeight="1" x14ac:dyDescent="0.25">
      <c r="A244" s="4"/>
      <c r="B244" s="4"/>
      <c r="C244" s="4"/>
    </row>
    <row r="245" spans="1:3" ht="15.75" customHeight="1" x14ac:dyDescent="0.25">
      <c r="A245" s="4"/>
      <c r="B245" s="4"/>
      <c r="C245" s="4"/>
    </row>
    <row r="246" spans="1:3" ht="15.75" customHeight="1" x14ac:dyDescent="0.25">
      <c r="A246" s="4"/>
      <c r="B246" s="4"/>
      <c r="C246" s="4"/>
    </row>
    <row r="247" spans="1:3" ht="15.75" customHeight="1" x14ac:dyDescent="0.25">
      <c r="A247" s="4"/>
      <c r="B247" s="4"/>
      <c r="C247" s="4"/>
    </row>
    <row r="248" spans="1:3" ht="15.75" customHeight="1" x14ac:dyDescent="0.25">
      <c r="A248" s="4"/>
      <c r="B248" s="4"/>
      <c r="C248" s="4"/>
    </row>
    <row r="249" spans="1:3" ht="15.75" customHeight="1" x14ac:dyDescent="0.25">
      <c r="A249" s="4"/>
      <c r="B249" s="4"/>
      <c r="C249" s="4"/>
    </row>
    <row r="250" spans="1:3" ht="15.75" customHeight="1" x14ac:dyDescent="0.25">
      <c r="A250" s="4"/>
      <c r="B250" s="4"/>
      <c r="C250" s="4"/>
    </row>
    <row r="251" spans="1:3" ht="15.75" customHeight="1" x14ac:dyDescent="0.25">
      <c r="A251" s="4"/>
      <c r="B251" s="4"/>
      <c r="C251" s="4"/>
    </row>
    <row r="252" spans="1:3" ht="15.75" customHeight="1" x14ac:dyDescent="0.25">
      <c r="A252" s="4"/>
      <c r="B252" s="4"/>
      <c r="C252" s="4"/>
    </row>
    <row r="253" spans="1:3" ht="15.75" customHeight="1" x14ac:dyDescent="0.25">
      <c r="A253" s="4"/>
      <c r="B253" s="4"/>
      <c r="C253" s="4"/>
    </row>
    <row r="254" spans="1:3" ht="15.75" customHeight="1" x14ac:dyDescent="0.25">
      <c r="A254" s="4"/>
      <c r="B254" s="4"/>
      <c r="C254" s="4"/>
    </row>
    <row r="255" spans="1:3" ht="15.75" customHeight="1" x14ac:dyDescent="0.25">
      <c r="A255" s="4"/>
      <c r="B255" s="4"/>
      <c r="C255" s="4"/>
    </row>
    <row r="256" spans="1:3" ht="15.75" customHeight="1" x14ac:dyDescent="0.25">
      <c r="A256" s="4"/>
      <c r="B256" s="4"/>
      <c r="C256" s="4"/>
    </row>
    <row r="257" spans="1:3" ht="15.75" customHeight="1" x14ac:dyDescent="0.25">
      <c r="A257" s="4"/>
      <c r="B257" s="4"/>
      <c r="C257" s="4"/>
    </row>
    <row r="258" spans="1:3" ht="15.75" customHeight="1" x14ac:dyDescent="0.25">
      <c r="A258" s="4"/>
      <c r="B258" s="4"/>
      <c r="C258" s="4"/>
    </row>
    <row r="259" spans="1:3" ht="15.75" customHeight="1" x14ac:dyDescent="0.25">
      <c r="A259" s="4"/>
      <c r="B259" s="4"/>
      <c r="C259" s="4"/>
    </row>
    <row r="260" spans="1:3" ht="15.75" customHeight="1" x14ac:dyDescent="0.25">
      <c r="A260" s="4"/>
      <c r="B260" s="4"/>
      <c r="C260" s="4"/>
    </row>
    <row r="261" spans="1:3" ht="15.75" customHeight="1" x14ac:dyDescent="0.25">
      <c r="A261" s="4"/>
      <c r="B261" s="4"/>
      <c r="C261" s="4"/>
    </row>
    <row r="262" spans="1:3" ht="15.75" customHeight="1" x14ac:dyDescent="0.25">
      <c r="A262" s="4"/>
      <c r="B262" s="4"/>
      <c r="C262" s="4"/>
    </row>
    <row r="263" spans="1:3" ht="15.75" customHeight="1" x14ac:dyDescent="0.25">
      <c r="A263" s="4"/>
      <c r="B263" s="4"/>
      <c r="C263" s="4"/>
    </row>
    <row r="264" spans="1:3" ht="15.75" customHeight="1" x14ac:dyDescent="0.25">
      <c r="A264" s="4"/>
      <c r="B264" s="4"/>
      <c r="C264" s="4"/>
    </row>
    <row r="265" spans="1:3" ht="15.75" customHeight="1" x14ac:dyDescent="0.25">
      <c r="A265" s="4"/>
      <c r="B265" s="4"/>
      <c r="C265" s="4"/>
    </row>
    <row r="266" spans="1:3" ht="15.75" customHeight="1" x14ac:dyDescent="0.25">
      <c r="A266" s="4"/>
      <c r="B266" s="4"/>
      <c r="C266" s="4"/>
    </row>
    <row r="267" spans="1:3" ht="15.75" customHeight="1" x14ac:dyDescent="0.25">
      <c r="A267" s="4"/>
      <c r="B267" s="4"/>
      <c r="C267" s="4"/>
    </row>
    <row r="268" spans="1:3" ht="15.75" customHeight="1" x14ac:dyDescent="0.25">
      <c r="A268" s="4"/>
      <c r="B268" s="4"/>
      <c r="C268" s="4"/>
    </row>
    <row r="269" spans="1:3" ht="15.75" customHeight="1" x14ac:dyDescent="0.25">
      <c r="A269" s="4"/>
      <c r="B269" s="4"/>
      <c r="C269" s="4"/>
    </row>
    <row r="270" spans="1:3" ht="15.75" customHeight="1" x14ac:dyDescent="0.25">
      <c r="A270" s="4"/>
      <c r="B270" s="4"/>
      <c r="C270" s="4"/>
    </row>
    <row r="271" spans="1:3" ht="15.75" customHeight="1" x14ac:dyDescent="0.25">
      <c r="A271" s="4"/>
      <c r="B271" s="4"/>
      <c r="C271" s="4"/>
    </row>
    <row r="272" spans="1:3" ht="15.75" customHeight="1" x14ac:dyDescent="0.25">
      <c r="A272" s="4"/>
      <c r="B272" s="4"/>
      <c r="C272" s="4"/>
    </row>
    <row r="273" spans="1:3" ht="15.75" customHeight="1" x14ac:dyDescent="0.25">
      <c r="A273" s="4"/>
      <c r="B273" s="4"/>
      <c r="C273" s="4"/>
    </row>
    <row r="274" spans="1:3" ht="15.75" customHeight="1" x14ac:dyDescent="0.25">
      <c r="A274" s="4"/>
      <c r="B274" s="4"/>
      <c r="C274" s="4"/>
    </row>
    <row r="275" spans="1:3" ht="15.75" customHeight="1" x14ac:dyDescent="0.25">
      <c r="A275" s="4"/>
      <c r="B275" s="4"/>
      <c r="C275" s="4"/>
    </row>
    <row r="276" spans="1:3" ht="15.75" customHeight="1" x14ac:dyDescent="0.25">
      <c r="A276" s="4"/>
      <c r="B276" s="4"/>
      <c r="C276" s="4"/>
    </row>
    <row r="277" spans="1:3" ht="15.75" customHeight="1" x14ac:dyDescent="0.25">
      <c r="A277" s="4"/>
      <c r="B277" s="4"/>
      <c r="C277" s="4"/>
    </row>
    <row r="278" spans="1:3" ht="15.75" customHeight="1" x14ac:dyDescent="0.25">
      <c r="A278" s="4"/>
      <c r="B278" s="4"/>
      <c r="C278" s="4"/>
    </row>
    <row r="279" spans="1:3" ht="15.75" customHeight="1" x14ac:dyDescent="0.25">
      <c r="A279" s="4"/>
      <c r="B279" s="4"/>
      <c r="C279" s="4"/>
    </row>
    <row r="280" spans="1:3" ht="15.75" customHeight="1" x14ac:dyDescent="0.25">
      <c r="A280" s="4"/>
      <c r="B280" s="4"/>
      <c r="C280" s="4"/>
    </row>
    <row r="281" spans="1:3" ht="15.75" customHeight="1" x14ac:dyDescent="0.25">
      <c r="A281" s="4"/>
      <c r="B281" s="4"/>
      <c r="C281" s="4"/>
    </row>
    <row r="282" spans="1:3" ht="15.75" customHeight="1" x14ac:dyDescent="0.25">
      <c r="A282" s="4"/>
      <c r="B282" s="4"/>
      <c r="C282" s="4"/>
    </row>
    <row r="283" spans="1:3" ht="15.75" customHeight="1" x14ac:dyDescent="0.25">
      <c r="A283" s="4"/>
      <c r="B283" s="4"/>
      <c r="C283" s="4"/>
    </row>
    <row r="284" spans="1:3" ht="15.75" customHeight="1" x14ac:dyDescent="0.25">
      <c r="A284" s="4"/>
      <c r="B284" s="4"/>
      <c r="C284" s="4"/>
    </row>
    <row r="285" spans="1:3" ht="15.75" customHeight="1" x14ac:dyDescent="0.25">
      <c r="A285" s="4"/>
      <c r="B285" s="4"/>
      <c r="C285" s="4"/>
    </row>
    <row r="286" spans="1:3" ht="15.75" customHeight="1" x14ac:dyDescent="0.25">
      <c r="A286" s="4"/>
      <c r="B286" s="4"/>
      <c r="C286" s="4"/>
    </row>
    <row r="287" spans="1:3" ht="15.75" customHeight="1" x14ac:dyDescent="0.25">
      <c r="A287" s="4"/>
      <c r="B287" s="4"/>
      <c r="C287" s="4"/>
    </row>
    <row r="288" spans="1:3" ht="15.75" customHeight="1" x14ac:dyDescent="0.25">
      <c r="A288" s="4"/>
      <c r="B288" s="4"/>
      <c r="C288" s="4"/>
    </row>
    <row r="289" spans="1:3" ht="15.75" customHeight="1" x14ac:dyDescent="0.25">
      <c r="A289" s="4"/>
      <c r="B289" s="4"/>
      <c r="C289" s="4"/>
    </row>
    <row r="290" spans="1:3" ht="15.75" customHeight="1" x14ac:dyDescent="0.25">
      <c r="A290" s="4"/>
      <c r="B290" s="4"/>
      <c r="C290" s="4"/>
    </row>
    <row r="291" spans="1:3" ht="15.75" customHeight="1" x14ac:dyDescent="0.25">
      <c r="A291" s="4"/>
      <c r="B291" s="4"/>
      <c r="C291" s="4"/>
    </row>
    <row r="292" spans="1:3" ht="15.75" customHeight="1" x14ac:dyDescent="0.25">
      <c r="A292" s="4"/>
      <c r="B292" s="4"/>
      <c r="C292" s="4"/>
    </row>
    <row r="293" spans="1:3" ht="15.75" customHeight="1" x14ac:dyDescent="0.25">
      <c r="A293" s="4"/>
      <c r="B293" s="4"/>
      <c r="C293" s="4"/>
    </row>
    <row r="294" spans="1:3" ht="15.75" customHeight="1" x14ac:dyDescent="0.25">
      <c r="A294" s="4"/>
      <c r="B294" s="4"/>
      <c r="C294" s="4"/>
    </row>
    <row r="295" spans="1:3" ht="15.75" customHeight="1" x14ac:dyDescent="0.25">
      <c r="A295" s="4"/>
      <c r="B295" s="4"/>
      <c r="C295" s="4"/>
    </row>
    <row r="296" spans="1:3" ht="15.75" customHeight="1" x14ac:dyDescent="0.25">
      <c r="A296" s="4"/>
      <c r="B296" s="4"/>
      <c r="C296" s="4"/>
    </row>
    <row r="297" spans="1:3" ht="15.75" customHeight="1" x14ac:dyDescent="0.25">
      <c r="A297" s="4"/>
      <c r="B297" s="4"/>
      <c r="C297" s="4"/>
    </row>
    <row r="298" spans="1:3" ht="15.75" customHeight="1" x14ac:dyDescent="0.25">
      <c r="A298" s="4"/>
      <c r="B298" s="4"/>
      <c r="C298" s="4"/>
    </row>
    <row r="299" spans="1:3" ht="15.75" customHeight="1" x14ac:dyDescent="0.25">
      <c r="A299" s="4"/>
      <c r="B299" s="4"/>
      <c r="C299" s="4"/>
    </row>
    <row r="300" spans="1:3" ht="15.75" customHeight="1" x14ac:dyDescent="0.25">
      <c r="A300" s="4"/>
      <c r="B300" s="4"/>
      <c r="C300" s="4"/>
    </row>
    <row r="301" spans="1:3" ht="15.75" customHeight="1" x14ac:dyDescent="0.25">
      <c r="A301" s="4"/>
      <c r="B301" s="4"/>
      <c r="C301" s="4"/>
    </row>
    <row r="302" spans="1:3" ht="15.75" customHeight="1" x14ac:dyDescent="0.25">
      <c r="A302" s="4"/>
      <c r="B302" s="4"/>
      <c r="C302" s="4"/>
    </row>
    <row r="303" spans="1:3" ht="15.75" customHeight="1" x14ac:dyDescent="0.25">
      <c r="A303" s="4"/>
      <c r="B303" s="4"/>
      <c r="C303" s="4"/>
    </row>
    <row r="304" spans="1:3" ht="15.75" customHeight="1" x14ac:dyDescent="0.25">
      <c r="A304" s="4"/>
      <c r="B304" s="4"/>
      <c r="C304" s="4"/>
    </row>
    <row r="305" spans="1:3" ht="15.75" customHeight="1" x14ac:dyDescent="0.25">
      <c r="A305" s="4"/>
      <c r="B305" s="4"/>
      <c r="C305" s="4"/>
    </row>
    <row r="306" spans="1:3" ht="15.75" customHeight="1" x14ac:dyDescent="0.25">
      <c r="A306" s="4"/>
      <c r="B306" s="4"/>
      <c r="C306" s="4"/>
    </row>
    <row r="307" spans="1:3" ht="15.75" customHeight="1" x14ac:dyDescent="0.25">
      <c r="A307" s="4"/>
      <c r="B307" s="4"/>
      <c r="C307" s="4"/>
    </row>
    <row r="308" spans="1:3" ht="15.75" customHeight="1" x14ac:dyDescent="0.25">
      <c r="A308" s="4"/>
      <c r="B308" s="4"/>
      <c r="C308" s="4"/>
    </row>
    <row r="309" spans="1:3" ht="15.75" customHeight="1" x14ac:dyDescent="0.25">
      <c r="A309" s="4"/>
      <c r="B309" s="4"/>
      <c r="C309" s="4"/>
    </row>
    <row r="310" spans="1:3" ht="15.75" customHeight="1" x14ac:dyDescent="0.25">
      <c r="A310" s="4"/>
      <c r="B310" s="4"/>
      <c r="C310" s="4"/>
    </row>
    <row r="311" spans="1:3" ht="15.75" customHeight="1" x14ac:dyDescent="0.25">
      <c r="A311" s="4"/>
      <c r="B311" s="4"/>
      <c r="C311" s="4"/>
    </row>
    <row r="312" spans="1:3" ht="15.75" customHeight="1" x14ac:dyDescent="0.25">
      <c r="A312" s="4"/>
      <c r="B312" s="4"/>
      <c r="C312" s="4"/>
    </row>
    <row r="313" spans="1:3" ht="15.75" customHeight="1" x14ac:dyDescent="0.25">
      <c r="A313" s="4"/>
      <c r="B313" s="4"/>
      <c r="C313" s="4"/>
    </row>
    <row r="314" spans="1:3" ht="15.75" customHeight="1" x14ac:dyDescent="0.25">
      <c r="A314" s="4"/>
      <c r="B314" s="4"/>
      <c r="C314" s="4"/>
    </row>
    <row r="315" spans="1:3" ht="15.75" customHeight="1" x14ac:dyDescent="0.25">
      <c r="A315" s="4"/>
      <c r="B315" s="4"/>
      <c r="C315" s="4"/>
    </row>
    <row r="316" spans="1:3" ht="15.75" customHeight="1" x14ac:dyDescent="0.25">
      <c r="A316" s="4"/>
      <c r="B316" s="4"/>
      <c r="C316" s="4"/>
    </row>
    <row r="317" spans="1:3" ht="15.75" customHeight="1" x14ac:dyDescent="0.25">
      <c r="A317" s="4"/>
      <c r="B317" s="4"/>
      <c r="C317" s="4"/>
    </row>
    <row r="318" spans="1:3" ht="15.75" customHeight="1" x14ac:dyDescent="0.25">
      <c r="A318" s="4"/>
      <c r="B318" s="4"/>
      <c r="C318" s="4"/>
    </row>
    <row r="319" spans="1:3" ht="15.75" customHeight="1" x14ac:dyDescent="0.25">
      <c r="A319" s="4"/>
      <c r="B319" s="4"/>
      <c r="C319" s="4"/>
    </row>
    <row r="320" spans="1:3" ht="15.75" customHeight="1" x14ac:dyDescent="0.25">
      <c r="A320" s="4"/>
      <c r="B320" s="4"/>
      <c r="C320" s="4"/>
    </row>
    <row r="321" spans="1:3" ht="15.75" customHeight="1" x14ac:dyDescent="0.25">
      <c r="A321" s="4"/>
      <c r="B321" s="4"/>
      <c r="C321" s="4"/>
    </row>
    <row r="322" spans="1:3" ht="15.75" customHeight="1" x14ac:dyDescent="0.25">
      <c r="A322" s="4"/>
      <c r="B322" s="4"/>
      <c r="C322" s="4"/>
    </row>
    <row r="323" spans="1:3" ht="15.75" customHeight="1" x14ac:dyDescent="0.25">
      <c r="A323" s="4"/>
      <c r="B323" s="4"/>
      <c r="C323" s="4"/>
    </row>
    <row r="324" spans="1:3" ht="15.75" customHeight="1" x14ac:dyDescent="0.25">
      <c r="A324" s="4"/>
      <c r="B324" s="4"/>
      <c r="C324" s="4"/>
    </row>
    <row r="325" spans="1:3" ht="15.75" customHeight="1" x14ac:dyDescent="0.25">
      <c r="A325" s="4"/>
      <c r="B325" s="4"/>
      <c r="C325" s="4"/>
    </row>
    <row r="326" spans="1:3" ht="15.75" customHeight="1" x14ac:dyDescent="0.25">
      <c r="A326" s="4"/>
      <c r="B326" s="4"/>
      <c r="C326" s="4"/>
    </row>
    <row r="327" spans="1:3" ht="15.75" customHeight="1" x14ac:dyDescent="0.25">
      <c r="A327" s="4"/>
      <c r="B327" s="4"/>
      <c r="C327" s="4"/>
    </row>
    <row r="328" spans="1:3" ht="15.75" customHeight="1" x14ac:dyDescent="0.25">
      <c r="A328" s="4"/>
      <c r="B328" s="4"/>
      <c r="C328" s="4"/>
    </row>
    <row r="329" spans="1:3" ht="15.75" customHeight="1" x14ac:dyDescent="0.25">
      <c r="A329" s="4"/>
      <c r="B329" s="4"/>
      <c r="C329" s="4"/>
    </row>
    <row r="330" spans="1:3" ht="15.75" customHeight="1" x14ac:dyDescent="0.25">
      <c r="A330" s="4"/>
      <c r="B330" s="4"/>
      <c r="C330" s="4"/>
    </row>
    <row r="331" spans="1:3" ht="15.75" customHeight="1" x14ac:dyDescent="0.25">
      <c r="A331" s="4"/>
      <c r="B331" s="4"/>
      <c r="C331" s="4"/>
    </row>
    <row r="332" spans="1:3" ht="15.75" customHeight="1" x14ac:dyDescent="0.25">
      <c r="A332" s="4"/>
      <c r="B332" s="4"/>
      <c r="C332" s="4"/>
    </row>
    <row r="333" spans="1:3" ht="15.75" customHeight="1" x14ac:dyDescent="0.25">
      <c r="A333" s="4"/>
      <c r="B333" s="4"/>
      <c r="C333" s="4"/>
    </row>
    <row r="334" spans="1:3" ht="15.75" customHeight="1" x14ac:dyDescent="0.25">
      <c r="A334" s="4"/>
      <c r="B334" s="4"/>
      <c r="C334" s="4"/>
    </row>
    <row r="335" spans="1:3" ht="15.75" customHeight="1" x14ac:dyDescent="0.25">
      <c r="A335" s="4"/>
      <c r="B335" s="4"/>
      <c r="C335" s="4"/>
    </row>
    <row r="336" spans="1:3" ht="15.75" customHeight="1" x14ac:dyDescent="0.25">
      <c r="A336" s="4"/>
      <c r="B336" s="4"/>
      <c r="C336" s="4"/>
    </row>
    <row r="337" spans="1:3" ht="15.75" customHeight="1" x14ac:dyDescent="0.25">
      <c r="A337" s="4"/>
      <c r="B337" s="4"/>
      <c r="C337" s="4"/>
    </row>
    <row r="338" spans="1:3" ht="15.75" customHeight="1" x14ac:dyDescent="0.25">
      <c r="A338" s="4"/>
      <c r="B338" s="4"/>
      <c r="C338" s="4"/>
    </row>
    <row r="339" spans="1:3" ht="15.75" customHeight="1" x14ac:dyDescent="0.25">
      <c r="A339" s="4"/>
      <c r="B339" s="4"/>
      <c r="C339" s="4"/>
    </row>
    <row r="340" spans="1:3" ht="15.75" customHeight="1" x14ac:dyDescent="0.25">
      <c r="A340" s="4"/>
      <c r="B340" s="4"/>
      <c r="C340" s="4"/>
    </row>
    <row r="341" spans="1:3" ht="15.75" customHeight="1" x14ac:dyDescent="0.25">
      <c r="A341" s="4"/>
      <c r="B341" s="4"/>
      <c r="C341" s="4"/>
    </row>
    <row r="342" spans="1:3" ht="15.75" customHeight="1" x14ac:dyDescent="0.25">
      <c r="A342" s="4"/>
      <c r="B342" s="4"/>
      <c r="C342" s="4"/>
    </row>
    <row r="343" spans="1:3" ht="15.75" customHeight="1" x14ac:dyDescent="0.25">
      <c r="A343" s="4"/>
      <c r="B343" s="4"/>
      <c r="C343" s="4"/>
    </row>
    <row r="344" spans="1:3" ht="15.75" customHeight="1" x14ac:dyDescent="0.25">
      <c r="A344" s="4"/>
      <c r="B344" s="4"/>
      <c r="C344" s="4"/>
    </row>
    <row r="345" spans="1:3" ht="15.75" customHeight="1" x14ac:dyDescent="0.25">
      <c r="A345" s="4"/>
      <c r="B345" s="4"/>
      <c r="C345" s="4"/>
    </row>
    <row r="346" spans="1:3" ht="15.75" customHeight="1" x14ac:dyDescent="0.25">
      <c r="A346" s="4"/>
      <c r="B346" s="4"/>
      <c r="C346" s="4"/>
    </row>
    <row r="347" spans="1:3" ht="15.75" customHeight="1" x14ac:dyDescent="0.25">
      <c r="A347" s="4"/>
      <c r="B347" s="4"/>
      <c r="C347" s="4"/>
    </row>
    <row r="348" spans="1:3" ht="15.75" customHeight="1" x14ac:dyDescent="0.25">
      <c r="A348" s="4"/>
      <c r="B348" s="4"/>
      <c r="C348" s="4"/>
    </row>
    <row r="349" spans="1:3" ht="15.75" customHeight="1" x14ac:dyDescent="0.25">
      <c r="A349" s="4"/>
      <c r="B349" s="4"/>
      <c r="C349" s="4"/>
    </row>
    <row r="350" spans="1:3" ht="15.75" customHeight="1" x14ac:dyDescent="0.25">
      <c r="A350" s="4"/>
      <c r="B350" s="4"/>
      <c r="C350" s="4"/>
    </row>
    <row r="351" spans="1:3" ht="15.75" customHeight="1" x14ac:dyDescent="0.25">
      <c r="A351" s="4"/>
      <c r="B351" s="4"/>
      <c r="C351" s="4"/>
    </row>
    <row r="352" spans="1:3" ht="15.75" customHeight="1" x14ac:dyDescent="0.25">
      <c r="A352" s="4"/>
      <c r="B352" s="4"/>
      <c r="C352" s="4"/>
    </row>
    <row r="353" spans="1:3" ht="15.75" customHeight="1" x14ac:dyDescent="0.25">
      <c r="A353" s="4"/>
      <c r="B353" s="4"/>
      <c r="C353" s="4"/>
    </row>
    <row r="354" spans="1:3" ht="15.75" customHeight="1" x14ac:dyDescent="0.25">
      <c r="A354" s="4"/>
      <c r="B354" s="4"/>
      <c r="C354" s="4"/>
    </row>
    <row r="355" spans="1:3" ht="15.75" customHeight="1" x14ac:dyDescent="0.25">
      <c r="A355" s="4"/>
      <c r="B355" s="4"/>
      <c r="C355" s="4"/>
    </row>
    <row r="356" spans="1:3" ht="15.75" customHeight="1" x14ac:dyDescent="0.25">
      <c r="A356" s="4"/>
      <c r="B356" s="4"/>
      <c r="C356" s="4"/>
    </row>
    <row r="357" spans="1:3" ht="15.75" customHeight="1" x14ac:dyDescent="0.25">
      <c r="A357" s="4"/>
      <c r="B357" s="4"/>
      <c r="C357" s="4"/>
    </row>
    <row r="358" spans="1:3" ht="15.75" customHeight="1" x14ac:dyDescent="0.25">
      <c r="A358" s="4"/>
      <c r="B358" s="4"/>
      <c r="C358" s="4"/>
    </row>
    <row r="359" spans="1:3" ht="15.75" customHeight="1" x14ac:dyDescent="0.25">
      <c r="A359" s="4"/>
      <c r="B359" s="4"/>
      <c r="C359" s="4"/>
    </row>
    <row r="360" spans="1:3" ht="15.75" customHeight="1" x14ac:dyDescent="0.25">
      <c r="A360" s="4"/>
      <c r="B360" s="4"/>
      <c r="C360" s="4"/>
    </row>
    <row r="361" spans="1:3" ht="15.75" customHeight="1" x14ac:dyDescent="0.25">
      <c r="A361" s="4"/>
      <c r="B361" s="4"/>
      <c r="C361" s="4"/>
    </row>
    <row r="362" spans="1:3" ht="15.75" customHeight="1" x14ac:dyDescent="0.25">
      <c r="A362" s="4"/>
      <c r="B362" s="4"/>
      <c r="C362" s="4"/>
    </row>
    <row r="363" spans="1:3" ht="15.75" customHeight="1" x14ac:dyDescent="0.25">
      <c r="A363" s="4"/>
      <c r="B363" s="4"/>
      <c r="C363" s="4"/>
    </row>
    <row r="364" spans="1:3" ht="15.75" customHeight="1" x14ac:dyDescent="0.25">
      <c r="A364" s="4"/>
      <c r="B364" s="4"/>
      <c r="C364" s="4"/>
    </row>
    <row r="365" spans="1:3" ht="15.75" customHeight="1" x14ac:dyDescent="0.25">
      <c r="A365" s="4"/>
      <c r="B365" s="4"/>
      <c r="C365" s="4"/>
    </row>
    <row r="366" spans="1:3" ht="15.75" customHeight="1" x14ac:dyDescent="0.25">
      <c r="A366" s="4"/>
      <c r="B366" s="4"/>
      <c r="C366" s="4"/>
    </row>
    <row r="367" spans="1:3" ht="15.75" customHeight="1" x14ac:dyDescent="0.25">
      <c r="A367" s="4"/>
      <c r="B367" s="4"/>
      <c r="C367" s="4"/>
    </row>
    <row r="368" spans="1:3" ht="15.75" customHeight="1" x14ac:dyDescent="0.25">
      <c r="A368" s="4"/>
      <c r="B368" s="4"/>
      <c r="C368" s="4"/>
    </row>
    <row r="369" spans="1:3" ht="15.75" customHeight="1" x14ac:dyDescent="0.25">
      <c r="A369" s="4"/>
      <c r="B369" s="4"/>
      <c r="C369" s="4"/>
    </row>
    <row r="370" spans="1:3" ht="15.75" customHeight="1" x14ac:dyDescent="0.25">
      <c r="A370" s="4"/>
      <c r="B370" s="4"/>
      <c r="C370" s="4"/>
    </row>
    <row r="371" spans="1:3" ht="15.75" customHeight="1" x14ac:dyDescent="0.25">
      <c r="A371" s="4"/>
      <c r="B371" s="4"/>
      <c r="C371" s="4"/>
    </row>
    <row r="372" spans="1:3" ht="15.75" customHeight="1" x14ac:dyDescent="0.25">
      <c r="A372" s="4"/>
      <c r="B372" s="4"/>
      <c r="C372" s="4"/>
    </row>
    <row r="373" spans="1:3" ht="15.75" customHeight="1" x14ac:dyDescent="0.25">
      <c r="A373" s="4"/>
      <c r="B373" s="4"/>
      <c r="C373" s="4"/>
    </row>
    <row r="374" spans="1:3" ht="15.75" customHeight="1" x14ac:dyDescent="0.25">
      <c r="A374" s="4"/>
      <c r="B374" s="4"/>
      <c r="C374" s="4"/>
    </row>
    <row r="375" spans="1:3" ht="15.75" customHeight="1" x14ac:dyDescent="0.25">
      <c r="A375" s="4"/>
      <c r="B375" s="4"/>
      <c r="C375" s="4"/>
    </row>
    <row r="376" spans="1:3" ht="15.75" customHeight="1" x14ac:dyDescent="0.25">
      <c r="A376" s="4"/>
      <c r="B376" s="4"/>
      <c r="C376" s="4"/>
    </row>
    <row r="377" spans="1:3" ht="15.75" customHeight="1" x14ac:dyDescent="0.25">
      <c r="A377" s="4"/>
      <c r="B377" s="4"/>
      <c r="C377" s="4"/>
    </row>
    <row r="378" spans="1:3" ht="15.75" customHeight="1" x14ac:dyDescent="0.25">
      <c r="A378" s="4"/>
      <c r="B378" s="4"/>
      <c r="C378" s="4"/>
    </row>
    <row r="379" spans="1:3" ht="15.75" customHeight="1" x14ac:dyDescent="0.25">
      <c r="A379" s="4"/>
      <c r="B379" s="4"/>
      <c r="C379" s="4"/>
    </row>
    <row r="380" spans="1:3" ht="15.75" customHeight="1" x14ac:dyDescent="0.25">
      <c r="A380" s="4"/>
      <c r="B380" s="4"/>
      <c r="C380" s="4"/>
    </row>
    <row r="381" spans="1:3" ht="15.75" customHeight="1" x14ac:dyDescent="0.25">
      <c r="A381" s="4"/>
      <c r="B381" s="4"/>
      <c r="C381" s="4"/>
    </row>
    <row r="382" spans="1:3" ht="15.75" customHeight="1" x14ac:dyDescent="0.25">
      <c r="A382" s="4"/>
      <c r="B382" s="4"/>
      <c r="C382" s="4"/>
    </row>
    <row r="383" spans="1:3" ht="15.75" customHeight="1" x14ac:dyDescent="0.25">
      <c r="A383" s="4"/>
      <c r="B383" s="4"/>
      <c r="C383" s="4"/>
    </row>
    <row r="384" spans="1:3" ht="15.75" customHeight="1" x14ac:dyDescent="0.25">
      <c r="A384" s="4"/>
      <c r="B384" s="4"/>
      <c r="C384" s="4"/>
    </row>
    <row r="385" spans="1:3" ht="15.75" customHeight="1" x14ac:dyDescent="0.25">
      <c r="A385" s="4"/>
      <c r="B385" s="4"/>
      <c r="C385" s="4"/>
    </row>
    <row r="386" spans="1:3" ht="15.75" customHeight="1" x14ac:dyDescent="0.25">
      <c r="A386" s="4"/>
      <c r="B386" s="4"/>
      <c r="C386" s="4"/>
    </row>
    <row r="387" spans="1:3" ht="15.75" customHeight="1" x14ac:dyDescent="0.25">
      <c r="A387" s="4"/>
      <c r="B387" s="4"/>
      <c r="C387" s="4"/>
    </row>
    <row r="388" spans="1:3" ht="15.75" customHeight="1" x14ac:dyDescent="0.25">
      <c r="A388" s="4"/>
      <c r="B388" s="4"/>
      <c r="C388" s="4"/>
    </row>
    <row r="389" spans="1:3" ht="15.75" customHeight="1" x14ac:dyDescent="0.25">
      <c r="A389" s="4"/>
      <c r="B389" s="4"/>
      <c r="C389" s="4"/>
    </row>
    <row r="390" spans="1:3" ht="15.75" customHeight="1" x14ac:dyDescent="0.25">
      <c r="A390" s="4"/>
      <c r="B390" s="4"/>
      <c r="C390" s="4"/>
    </row>
    <row r="391" spans="1:3" ht="15.75" customHeight="1" x14ac:dyDescent="0.25">
      <c r="A391" s="4"/>
      <c r="B391" s="4"/>
      <c r="C391" s="4"/>
    </row>
    <row r="392" spans="1:3" ht="15.75" customHeight="1" x14ac:dyDescent="0.25">
      <c r="A392" s="4"/>
      <c r="B392" s="4"/>
      <c r="C392" s="4"/>
    </row>
    <row r="393" spans="1:3" ht="15.75" customHeight="1" x14ac:dyDescent="0.25">
      <c r="A393" s="4"/>
      <c r="B393" s="4"/>
      <c r="C393" s="4"/>
    </row>
    <row r="394" spans="1:3" ht="15.75" customHeight="1" x14ac:dyDescent="0.25">
      <c r="A394" s="4"/>
      <c r="B394" s="4"/>
      <c r="C394" s="4"/>
    </row>
    <row r="395" spans="1:3" ht="15.75" customHeight="1" x14ac:dyDescent="0.25">
      <c r="A395" s="4"/>
      <c r="B395" s="4"/>
      <c r="C395" s="4"/>
    </row>
    <row r="396" spans="1:3" ht="15.75" customHeight="1" x14ac:dyDescent="0.25">
      <c r="A396" s="4"/>
      <c r="B396" s="4"/>
      <c r="C396" s="4"/>
    </row>
    <row r="397" spans="1:3" ht="15.75" customHeight="1" x14ac:dyDescent="0.25">
      <c r="A397" s="4"/>
      <c r="B397" s="4"/>
      <c r="C397" s="4"/>
    </row>
    <row r="398" spans="1:3" ht="15.75" customHeight="1" x14ac:dyDescent="0.25">
      <c r="A398" s="4"/>
      <c r="B398" s="4"/>
      <c r="C398" s="4"/>
    </row>
    <row r="399" spans="1:3" ht="15.75" customHeight="1" x14ac:dyDescent="0.25">
      <c r="A399" s="4"/>
      <c r="B399" s="4"/>
      <c r="C399" s="4"/>
    </row>
    <row r="400" spans="1:3" ht="15.75" customHeight="1" x14ac:dyDescent="0.25">
      <c r="A400" s="4"/>
      <c r="B400" s="4"/>
      <c r="C400" s="4"/>
    </row>
    <row r="401" spans="1:3" ht="15.75" customHeight="1" x14ac:dyDescent="0.25">
      <c r="A401" s="4"/>
      <c r="B401" s="4"/>
      <c r="C401" s="4"/>
    </row>
    <row r="402" spans="1:3" ht="15.75" customHeight="1" x14ac:dyDescent="0.25">
      <c r="A402" s="4"/>
      <c r="B402" s="4"/>
      <c r="C402" s="4"/>
    </row>
    <row r="403" spans="1:3" ht="15.75" customHeight="1" x14ac:dyDescent="0.25">
      <c r="A403" s="4"/>
      <c r="B403" s="4"/>
      <c r="C403" s="4"/>
    </row>
    <row r="404" spans="1:3" ht="15.75" customHeight="1" x14ac:dyDescent="0.25">
      <c r="A404" s="4"/>
      <c r="B404" s="4"/>
      <c r="C404" s="4"/>
    </row>
    <row r="405" spans="1:3" ht="15.75" customHeight="1" x14ac:dyDescent="0.25">
      <c r="A405" s="4"/>
      <c r="B405" s="4"/>
      <c r="C405" s="4"/>
    </row>
    <row r="406" spans="1:3" ht="15.75" customHeight="1" x14ac:dyDescent="0.25">
      <c r="A406" s="4"/>
      <c r="B406" s="4"/>
      <c r="C406" s="4"/>
    </row>
    <row r="407" spans="1:3" ht="15.75" customHeight="1" x14ac:dyDescent="0.25">
      <c r="A407" s="4"/>
      <c r="B407" s="4"/>
      <c r="C407" s="4"/>
    </row>
    <row r="408" spans="1:3" ht="15.75" customHeight="1" x14ac:dyDescent="0.25">
      <c r="A408" s="4"/>
      <c r="B408" s="4"/>
      <c r="C408" s="4"/>
    </row>
    <row r="409" spans="1:3" ht="15.75" customHeight="1" x14ac:dyDescent="0.25">
      <c r="A409" s="4"/>
      <c r="B409" s="4"/>
      <c r="C409" s="4"/>
    </row>
    <row r="410" spans="1:3" ht="15.75" customHeight="1" x14ac:dyDescent="0.25">
      <c r="A410" s="4"/>
      <c r="B410" s="4"/>
      <c r="C410" s="4"/>
    </row>
    <row r="411" spans="1:3" ht="15.75" customHeight="1" x14ac:dyDescent="0.25">
      <c r="A411" s="4"/>
      <c r="B411" s="4"/>
      <c r="C411" s="4"/>
    </row>
    <row r="412" spans="1:3" ht="15.75" customHeight="1" x14ac:dyDescent="0.25">
      <c r="A412" s="4"/>
      <c r="B412" s="4"/>
      <c r="C412" s="4"/>
    </row>
    <row r="413" spans="1:3" ht="15.75" customHeight="1" x14ac:dyDescent="0.25">
      <c r="A413" s="4"/>
      <c r="B413" s="4"/>
      <c r="C413" s="4"/>
    </row>
    <row r="414" spans="1:3" ht="15.75" customHeight="1" x14ac:dyDescent="0.25">
      <c r="A414" s="4"/>
      <c r="B414" s="4"/>
      <c r="C414" s="4"/>
    </row>
    <row r="415" spans="1:3" ht="15.75" customHeight="1" x14ac:dyDescent="0.25">
      <c r="A415" s="4"/>
      <c r="B415" s="4"/>
      <c r="C415" s="4"/>
    </row>
    <row r="416" spans="1:3" ht="15.75" customHeight="1" x14ac:dyDescent="0.25">
      <c r="A416" s="4"/>
      <c r="B416" s="4"/>
      <c r="C416" s="4"/>
    </row>
    <row r="417" spans="1:3" ht="15.75" customHeight="1" x14ac:dyDescent="0.25">
      <c r="A417" s="4"/>
      <c r="B417" s="4"/>
      <c r="C417" s="4"/>
    </row>
    <row r="418" spans="1:3" ht="15.75" customHeight="1" x14ac:dyDescent="0.25">
      <c r="A418" s="4"/>
      <c r="B418" s="4"/>
      <c r="C418" s="4"/>
    </row>
    <row r="419" spans="1:3" ht="15.75" customHeight="1" x14ac:dyDescent="0.25">
      <c r="A419" s="4"/>
      <c r="B419" s="4"/>
      <c r="C419" s="4"/>
    </row>
    <row r="420" spans="1:3" ht="15.75" customHeight="1" x14ac:dyDescent="0.25">
      <c r="A420" s="4"/>
      <c r="B420" s="4"/>
      <c r="C420" s="4"/>
    </row>
    <row r="421" spans="1:3" ht="15.75" customHeight="1" x14ac:dyDescent="0.25">
      <c r="A421" s="4"/>
      <c r="B421" s="4"/>
      <c r="C421" s="4"/>
    </row>
    <row r="422" spans="1:3" ht="15.75" customHeight="1" x14ac:dyDescent="0.25">
      <c r="A422" s="4"/>
      <c r="B422" s="4"/>
      <c r="C422" s="4"/>
    </row>
    <row r="423" spans="1:3" ht="15.75" customHeight="1" x14ac:dyDescent="0.25">
      <c r="A423" s="4"/>
      <c r="B423" s="4"/>
      <c r="C423" s="4"/>
    </row>
    <row r="424" spans="1:3" ht="15.75" customHeight="1" x14ac:dyDescent="0.25">
      <c r="A424" s="4"/>
      <c r="B424" s="4"/>
      <c r="C424" s="4"/>
    </row>
    <row r="425" spans="1:3" ht="15.75" customHeight="1" x14ac:dyDescent="0.25">
      <c r="A425" s="4"/>
      <c r="B425" s="4"/>
      <c r="C425" s="4"/>
    </row>
    <row r="426" spans="1:3" ht="15.75" customHeight="1" x14ac:dyDescent="0.25">
      <c r="A426" s="4"/>
      <c r="B426" s="4"/>
      <c r="C426" s="4"/>
    </row>
    <row r="427" spans="1:3" ht="15.75" customHeight="1" x14ac:dyDescent="0.25">
      <c r="A427" s="4"/>
      <c r="B427" s="4"/>
      <c r="C427" s="4"/>
    </row>
    <row r="428" spans="1:3" ht="15.75" customHeight="1" x14ac:dyDescent="0.25">
      <c r="A428" s="4"/>
      <c r="B428" s="4"/>
      <c r="C428" s="4"/>
    </row>
    <row r="429" spans="1:3" ht="15.75" customHeight="1" x14ac:dyDescent="0.25">
      <c r="A429" s="4"/>
      <c r="B429" s="4"/>
      <c r="C429" s="4"/>
    </row>
    <row r="430" spans="1:3" ht="15.75" customHeight="1" x14ac:dyDescent="0.25">
      <c r="A430" s="4"/>
      <c r="B430" s="4"/>
      <c r="C430" s="4"/>
    </row>
    <row r="431" spans="1:3" ht="15.75" customHeight="1" x14ac:dyDescent="0.25">
      <c r="A431" s="4"/>
      <c r="B431" s="4"/>
      <c r="C431" s="4"/>
    </row>
    <row r="432" spans="1:3" ht="15.75" customHeight="1" x14ac:dyDescent="0.25">
      <c r="A432" s="4"/>
      <c r="B432" s="4"/>
      <c r="C432" s="4"/>
    </row>
    <row r="433" spans="1:3" ht="15.75" customHeight="1" x14ac:dyDescent="0.25">
      <c r="A433" s="4"/>
      <c r="B433" s="4"/>
      <c r="C433" s="4"/>
    </row>
    <row r="434" spans="1:3" ht="15.75" customHeight="1" x14ac:dyDescent="0.25">
      <c r="A434" s="4"/>
      <c r="B434" s="4"/>
      <c r="C434" s="4"/>
    </row>
    <row r="435" spans="1:3" ht="15.75" customHeight="1" x14ac:dyDescent="0.25">
      <c r="A435" s="4"/>
      <c r="B435" s="4"/>
      <c r="C435" s="4"/>
    </row>
    <row r="436" spans="1:3" ht="15.75" customHeight="1" x14ac:dyDescent="0.25">
      <c r="A436" s="4"/>
      <c r="B436" s="4"/>
      <c r="C436" s="4"/>
    </row>
    <row r="437" spans="1:3" ht="15.75" customHeight="1" x14ac:dyDescent="0.25">
      <c r="A437" s="4"/>
      <c r="B437" s="4"/>
      <c r="C437" s="4"/>
    </row>
    <row r="438" spans="1:3" ht="15.75" customHeight="1" x14ac:dyDescent="0.25">
      <c r="A438" s="4"/>
      <c r="B438" s="4"/>
      <c r="C438" s="4"/>
    </row>
    <row r="439" spans="1:3" ht="15.75" customHeight="1" x14ac:dyDescent="0.25">
      <c r="A439" s="4"/>
      <c r="B439" s="4"/>
      <c r="C439" s="4"/>
    </row>
    <row r="440" spans="1:3" ht="15.75" customHeight="1" x14ac:dyDescent="0.25">
      <c r="A440" s="4"/>
      <c r="B440" s="4"/>
      <c r="C440" s="4"/>
    </row>
    <row r="441" spans="1:3" ht="15.75" customHeight="1" x14ac:dyDescent="0.25">
      <c r="A441" s="4"/>
      <c r="B441" s="4"/>
      <c r="C441" s="4"/>
    </row>
    <row r="442" spans="1:3" ht="15.75" customHeight="1" x14ac:dyDescent="0.25">
      <c r="A442" s="4"/>
      <c r="B442" s="4"/>
      <c r="C442" s="4"/>
    </row>
    <row r="443" spans="1:3" ht="15.75" customHeight="1" x14ac:dyDescent="0.25">
      <c r="A443" s="4"/>
      <c r="B443" s="4"/>
      <c r="C443" s="4"/>
    </row>
    <row r="444" spans="1:3" ht="15.75" customHeight="1" x14ac:dyDescent="0.25">
      <c r="A444" s="4"/>
      <c r="B444" s="4"/>
      <c r="C444" s="4"/>
    </row>
    <row r="445" spans="1:3" ht="15.75" customHeight="1" x14ac:dyDescent="0.25">
      <c r="A445" s="4"/>
      <c r="B445" s="4"/>
      <c r="C445" s="4"/>
    </row>
    <row r="446" spans="1:3" ht="15.75" customHeight="1" x14ac:dyDescent="0.25">
      <c r="A446" s="4"/>
      <c r="B446" s="4"/>
      <c r="C446" s="4"/>
    </row>
    <row r="447" spans="1:3" ht="15.75" customHeight="1" x14ac:dyDescent="0.25">
      <c r="A447" s="4"/>
      <c r="B447" s="4"/>
      <c r="C447" s="4"/>
    </row>
    <row r="448" spans="1:3" ht="15.75" customHeight="1" x14ac:dyDescent="0.25">
      <c r="A448" s="4"/>
      <c r="B448" s="4"/>
      <c r="C448" s="4"/>
    </row>
    <row r="449" spans="1:3" ht="15.75" customHeight="1" x14ac:dyDescent="0.25">
      <c r="A449" s="4"/>
      <c r="B449" s="4"/>
      <c r="C449" s="4"/>
    </row>
    <row r="450" spans="1:3" ht="15.75" customHeight="1" x14ac:dyDescent="0.25">
      <c r="A450" s="4"/>
      <c r="B450" s="4"/>
      <c r="C450" s="4"/>
    </row>
    <row r="451" spans="1:3" ht="15.75" customHeight="1" x14ac:dyDescent="0.25">
      <c r="A451" s="4"/>
      <c r="B451" s="4"/>
      <c r="C451" s="4"/>
    </row>
    <row r="452" spans="1:3" ht="15.75" customHeight="1" x14ac:dyDescent="0.25">
      <c r="A452" s="4"/>
      <c r="B452" s="4"/>
      <c r="C452" s="4"/>
    </row>
    <row r="453" spans="1:3" ht="15.75" customHeight="1" x14ac:dyDescent="0.25">
      <c r="A453" s="4"/>
      <c r="B453" s="4"/>
      <c r="C453" s="4"/>
    </row>
    <row r="454" spans="1:3" ht="15.75" customHeight="1" x14ac:dyDescent="0.25">
      <c r="A454" s="4"/>
      <c r="B454" s="4"/>
      <c r="C454" s="4"/>
    </row>
    <row r="455" spans="1:3" ht="15.75" customHeight="1" x14ac:dyDescent="0.25">
      <c r="A455" s="4"/>
      <c r="B455" s="4"/>
      <c r="C455" s="4"/>
    </row>
    <row r="456" spans="1:3" ht="15.75" customHeight="1" x14ac:dyDescent="0.25">
      <c r="A456" s="4"/>
      <c r="B456" s="4"/>
      <c r="C456" s="4"/>
    </row>
    <row r="457" spans="1:3" ht="15.75" customHeight="1" x14ac:dyDescent="0.25">
      <c r="A457" s="4"/>
      <c r="B457" s="4"/>
      <c r="C457" s="4"/>
    </row>
    <row r="458" spans="1:3" ht="15.75" customHeight="1" x14ac:dyDescent="0.25">
      <c r="A458" s="4"/>
      <c r="B458" s="4"/>
      <c r="C458" s="4"/>
    </row>
    <row r="459" spans="1:3" ht="15.75" customHeight="1" x14ac:dyDescent="0.25">
      <c r="A459" s="4"/>
      <c r="B459" s="4"/>
      <c r="C459" s="4"/>
    </row>
    <row r="460" spans="1:3" ht="15.75" customHeight="1" x14ac:dyDescent="0.25">
      <c r="A460" s="4"/>
      <c r="B460" s="4"/>
      <c r="C460" s="4"/>
    </row>
    <row r="461" spans="1:3" ht="15.75" customHeight="1" x14ac:dyDescent="0.25">
      <c r="A461" s="4"/>
      <c r="B461" s="4"/>
      <c r="C461" s="4"/>
    </row>
    <row r="462" spans="1:3" ht="15.75" customHeight="1" x14ac:dyDescent="0.25">
      <c r="A462" s="4"/>
      <c r="B462" s="4"/>
      <c r="C462" s="4"/>
    </row>
    <row r="463" spans="1:3" ht="15.75" customHeight="1" x14ac:dyDescent="0.25">
      <c r="A463" s="4"/>
      <c r="B463" s="4"/>
      <c r="C463" s="4"/>
    </row>
    <row r="464" spans="1:3" ht="15.75" customHeight="1" x14ac:dyDescent="0.25">
      <c r="A464" s="4"/>
      <c r="B464" s="4"/>
      <c r="C464" s="4"/>
    </row>
    <row r="465" spans="1:3" ht="15.75" customHeight="1" x14ac:dyDescent="0.25">
      <c r="A465" s="4"/>
      <c r="B465" s="4"/>
      <c r="C465" s="4"/>
    </row>
    <row r="466" spans="1:3" ht="15.75" customHeight="1" x14ac:dyDescent="0.25">
      <c r="A466" s="4"/>
      <c r="B466" s="4"/>
      <c r="C466" s="4"/>
    </row>
    <row r="467" spans="1:3" ht="15.75" customHeight="1" x14ac:dyDescent="0.25">
      <c r="A467" s="4"/>
      <c r="B467" s="4"/>
      <c r="C467" s="4"/>
    </row>
    <row r="468" spans="1:3" ht="15.75" customHeight="1" x14ac:dyDescent="0.25">
      <c r="A468" s="4"/>
      <c r="B468" s="4"/>
      <c r="C468" s="4"/>
    </row>
    <row r="469" spans="1:3" ht="15.75" customHeight="1" x14ac:dyDescent="0.25">
      <c r="A469" s="4"/>
      <c r="B469" s="4"/>
      <c r="C469" s="4"/>
    </row>
    <row r="470" spans="1:3" ht="15.75" customHeight="1" x14ac:dyDescent="0.25">
      <c r="A470" s="4"/>
      <c r="B470" s="4"/>
      <c r="C470" s="4"/>
    </row>
    <row r="471" spans="1:3" ht="15.75" customHeight="1" x14ac:dyDescent="0.25">
      <c r="A471" s="4"/>
      <c r="B471" s="4"/>
      <c r="C471" s="4"/>
    </row>
    <row r="472" spans="1:3" ht="15.75" customHeight="1" x14ac:dyDescent="0.25">
      <c r="A472" s="4"/>
      <c r="B472" s="4"/>
      <c r="C472" s="4"/>
    </row>
    <row r="473" spans="1:3" ht="15.75" customHeight="1" x14ac:dyDescent="0.25">
      <c r="A473" s="4"/>
      <c r="B473" s="4"/>
      <c r="C473" s="4"/>
    </row>
    <row r="474" spans="1:3" ht="15.75" customHeight="1" x14ac:dyDescent="0.25">
      <c r="A474" s="4"/>
      <c r="B474" s="4"/>
      <c r="C474" s="4"/>
    </row>
    <row r="475" spans="1:3" ht="15.75" customHeight="1" x14ac:dyDescent="0.25">
      <c r="A475" s="4"/>
      <c r="B475" s="4"/>
      <c r="C475" s="4"/>
    </row>
    <row r="476" spans="1:3" ht="15.75" customHeight="1" x14ac:dyDescent="0.25">
      <c r="A476" s="4"/>
      <c r="B476" s="4"/>
      <c r="C476" s="4"/>
    </row>
    <row r="477" spans="1:3" ht="15.75" customHeight="1" x14ac:dyDescent="0.25">
      <c r="A477" s="4"/>
      <c r="B477" s="4"/>
      <c r="C477" s="4"/>
    </row>
    <row r="478" spans="1:3" ht="15.75" customHeight="1" x14ac:dyDescent="0.25">
      <c r="A478" s="4"/>
      <c r="B478" s="4"/>
      <c r="C478" s="4"/>
    </row>
    <row r="479" spans="1:3" ht="15.75" customHeight="1" x14ac:dyDescent="0.25">
      <c r="A479" s="4"/>
      <c r="B479" s="4"/>
      <c r="C479" s="4"/>
    </row>
    <row r="480" spans="1:3" ht="15.75" customHeight="1" x14ac:dyDescent="0.25">
      <c r="A480" s="4"/>
      <c r="B480" s="4"/>
      <c r="C480" s="4"/>
    </row>
    <row r="481" spans="1:3" ht="15.75" customHeight="1" x14ac:dyDescent="0.25">
      <c r="A481" s="4"/>
      <c r="B481" s="4"/>
      <c r="C481" s="4"/>
    </row>
    <row r="482" spans="1:3" ht="15.75" customHeight="1" x14ac:dyDescent="0.25">
      <c r="A482" s="4"/>
      <c r="B482" s="4"/>
      <c r="C482" s="4"/>
    </row>
    <row r="483" spans="1:3" ht="15.75" customHeight="1" x14ac:dyDescent="0.25">
      <c r="A483" s="4"/>
      <c r="B483" s="4"/>
      <c r="C483" s="4"/>
    </row>
    <row r="484" spans="1:3" ht="15.75" customHeight="1" x14ac:dyDescent="0.25">
      <c r="A484" s="4"/>
      <c r="B484" s="4"/>
      <c r="C484" s="4"/>
    </row>
    <row r="485" spans="1:3" ht="15.75" customHeight="1" x14ac:dyDescent="0.25">
      <c r="A485" s="4"/>
      <c r="B485" s="4"/>
      <c r="C485" s="4"/>
    </row>
    <row r="486" spans="1:3" ht="15.75" customHeight="1" x14ac:dyDescent="0.25">
      <c r="A486" s="4"/>
      <c r="B486" s="4"/>
      <c r="C486" s="4"/>
    </row>
    <row r="487" spans="1:3" ht="15.75" customHeight="1" x14ac:dyDescent="0.25">
      <c r="A487" s="4"/>
      <c r="B487" s="4"/>
      <c r="C487" s="4"/>
    </row>
    <row r="488" spans="1:3" ht="15.75" customHeight="1" x14ac:dyDescent="0.25">
      <c r="A488" s="4"/>
      <c r="B488" s="4"/>
      <c r="C488" s="4"/>
    </row>
    <row r="489" spans="1:3" ht="15.75" customHeight="1" x14ac:dyDescent="0.25">
      <c r="A489" s="4"/>
      <c r="B489" s="4"/>
      <c r="C489" s="4"/>
    </row>
    <row r="490" spans="1:3" ht="15.75" customHeight="1" x14ac:dyDescent="0.25">
      <c r="A490" s="4"/>
      <c r="B490" s="4"/>
      <c r="C490" s="4"/>
    </row>
    <row r="491" spans="1:3" ht="15.75" customHeight="1" x14ac:dyDescent="0.25">
      <c r="A491" s="4"/>
      <c r="B491" s="4"/>
      <c r="C491" s="4"/>
    </row>
    <row r="492" spans="1:3" ht="15.75" customHeight="1" x14ac:dyDescent="0.25">
      <c r="A492" s="4"/>
      <c r="B492" s="4"/>
      <c r="C492" s="4"/>
    </row>
    <row r="493" spans="1:3" ht="15.75" customHeight="1" x14ac:dyDescent="0.25">
      <c r="A493" s="4"/>
      <c r="B493" s="4"/>
      <c r="C493" s="4"/>
    </row>
    <row r="494" spans="1:3" ht="15.75" customHeight="1" x14ac:dyDescent="0.25">
      <c r="A494" s="4"/>
      <c r="B494" s="4"/>
      <c r="C494" s="4"/>
    </row>
    <row r="495" spans="1:3" ht="15.75" customHeight="1" x14ac:dyDescent="0.25">
      <c r="A495" s="4"/>
      <c r="B495" s="4"/>
      <c r="C495" s="4"/>
    </row>
    <row r="496" spans="1:3" ht="15.75" customHeight="1" x14ac:dyDescent="0.25">
      <c r="A496" s="4"/>
      <c r="B496" s="4"/>
      <c r="C496" s="4"/>
    </row>
    <row r="497" spans="1:3" ht="15.75" customHeight="1" x14ac:dyDescent="0.25">
      <c r="A497" s="4"/>
      <c r="B497" s="4"/>
      <c r="C497" s="4"/>
    </row>
    <row r="498" spans="1:3" ht="15.75" customHeight="1" x14ac:dyDescent="0.25">
      <c r="A498" s="4"/>
      <c r="B498" s="4"/>
      <c r="C498" s="4"/>
    </row>
    <row r="499" spans="1:3" ht="15.75" customHeight="1" x14ac:dyDescent="0.25">
      <c r="A499" s="4"/>
      <c r="B499" s="4"/>
      <c r="C499" s="4"/>
    </row>
    <row r="500" spans="1:3" ht="15.75" customHeight="1" x14ac:dyDescent="0.25">
      <c r="A500" s="4"/>
      <c r="B500" s="4"/>
      <c r="C500" s="4"/>
    </row>
    <row r="501" spans="1:3" ht="15.75" customHeight="1" x14ac:dyDescent="0.25">
      <c r="A501" s="4"/>
      <c r="B501" s="4"/>
      <c r="C501" s="4"/>
    </row>
    <row r="502" spans="1:3" ht="15.75" customHeight="1" x14ac:dyDescent="0.25">
      <c r="A502" s="4"/>
      <c r="B502" s="4"/>
      <c r="C502" s="4"/>
    </row>
    <row r="503" spans="1:3" ht="15.75" customHeight="1" x14ac:dyDescent="0.25">
      <c r="A503" s="4"/>
      <c r="B503" s="4"/>
      <c r="C503" s="4"/>
    </row>
    <row r="504" spans="1:3" ht="15.75" customHeight="1" x14ac:dyDescent="0.25">
      <c r="A504" s="4"/>
      <c r="B504" s="4"/>
      <c r="C504" s="4"/>
    </row>
    <row r="505" spans="1:3" ht="15.75" customHeight="1" x14ac:dyDescent="0.25">
      <c r="A505" s="4"/>
      <c r="B505" s="4"/>
      <c r="C505" s="4"/>
    </row>
    <row r="506" spans="1:3" ht="15.75" customHeight="1" x14ac:dyDescent="0.25">
      <c r="A506" s="4"/>
      <c r="B506" s="4"/>
      <c r="C506" s="4"/>
    </row>
    <row r="507" spans="1:3" ht="15.75" customHeight="1" x14ac:dyDescent="0.25">
      <c r="A507" s="4"/>
      <c r="B507" s="4"/>
      <c r="C507" s="4"/>
    </row>
    <row r="508" spans="1:3" ht="15.75" customHeight="1" x14ac:dyDescent="0.25">
      <c r="A508" s="4"/>
      <c r="B508" s="4"/>
      <c r="C508" s="4"/>
    </row>
    <row r="509" spans="1:3" ht="15.75" customHeight="1" x14ac:dyDescent="0.25">
      <c r="A509" s="4"/>
      <c r="B509" s="4"/>
      <c r="C509" s="4"/>
    </row>
    <row r="510" spans="1:3" ht="15.75" customHeight="1" x14ac:dyDescent="0.25">
      <c r="A510" s="4"/>
      <c r="B510" s="4"/>
      <c r="C510" s="4"/>
    </row>
    <row r="511" spans="1:3" ht="15.75" customHeight="1" x14ac:dyDescent="0.25">
      <c r="A511" s="4"/>
      <c r="B511" s="4"/>
      <c r="C511" s="4"/>
    </row>
    <row r="512" spans="1:3" ht="15.75" customHeight="1" x14ac:dyDescent="0.25">
      <c r="A512" s="4"/>
      <c r="B512" s="4"/>
      <c r="C512" s="4"/>
    </row>
    <row r="513" spans="1:3" ht="15.75" customHeight="1" x14ac:dyDescent="0.25">
      <c r="A513" s="4"/>
      <c r="B513" s="4"/>
      <c r="C513" s="4"/>
    </row>
    <row r="514" spans="1:3" ht="15.75" customHeight="1" x14ac:dyDescent="0.25">
      <c r="A514" s="4"/>
      <c r="B514" s="4"/>
      <c r="C514" s="4"/>
    </row>
    <row r="515" spans="1:3" ht="15.75" customHeight="1" x14ac:dyDescent="0.25">
      <c r="A515" s="4"/>
      <c r="B515" s="4"/>
      <c r="C515" s="4"/>
    </row>
    <row r="516" spans="1:3" ht="15.75" customHeight="1" x14ac:dyDescent="0.25">
      <c r="A516" s="4"/>
      <c r="B516" s="4"/>
      <c r="C516" s="4"/>
    </row>
    <row r="517" spans="1:3" ht="15.75" customHeight="1" x14ac:dyDescent="0.25">
      <c r="A517" s="4"/>
      <c r="B517" s="4"/>
      <c r="C517" s="4"/>
    </row>
    <row r="518" spans="1:3" ht="15.75" customHeight="1" x14ac:dyDescent="0.25">
      <c r="A518" s="4"/>
      <c r="B518" s="4"/>
      <c r="C518" s="4"/>
    </row>
    <row r="519" spans="1:3" ht="15.75" customHeight="1" x14ac:dyDescent="0.25">
      <c r="A519" s="4"/>
      <c r="B519" s="4"/>
      <c r="C519" s="4"/>
    </row>
    <row r="520" spans="1:3" ht="15.75" customHeight="1" x14ac:dyDescent="0.25">
      <c r="A520" s="4"/>
      <c r="B520" s="4"/>
      <c r="C520" s="4"/>
    </row>
    <row r="521" spans="1:3" ht="15.75" customHeight="1" x14ac:dyDescent="0.25">
      <c r="A521" s="4"/>
      <c r="B521" s="4"/>
      <c r="C521" s="4"/>
    </row>
    <row r="522" spans="1:3" ht="15.75" customHeight="1" x14ac:dyDescent="0.25">
      <c r="A522" s="4"/>
      <c r="B522" s="4"/>
      <c r="C522" s="4"/>
    </row>
    <row r="523" spans="1:3" ht="15.75" customHeight="1" x14ac:dyDescent="0.25">
      <c r="A523" s="4"/>
      <c r="B523" s="4"/>
      <c r="C523" s="4"/>
    </row>
    <row r="524" spans="1:3" ht="15.75" customHeight="1" x14ac:dyDescent="0.25">
      <c r="A524" s="4"/>
      <c r="B524" s="4"/>
      <c r="C524" s="4"/>
    </row>
    <row r="525" spans="1:3" ht="15.75" customHeight="1" x14ac:dyDescent="0.25">
      <c r="A525" s="4"/>
      <c r="B525" s="4"/>
      <c r="C525" s="4"/>
    </row>
    <row r="526" spans="1:3" ht="15.75" customHeight="1" x14ac:dyDescent="0.25">
      <c r="A526" s="4"/>
      <c r="B526" s="4"/>
      <c r="C526" s="4"/>
    </row>
    <row r="527" spans="1:3" ht="15.75" customHeight="1" x14ac:dyDescent="0.25">
      <c r="A527" s="4"/>
      <c r="B527" s="4"/>
      <c r="C527" s="4"/>
    </row>
    <row r="528" spans="1:3" ht="15.75" customHeight="1" x14ac:dyDescent="0.25">
      <c r="A528" s="4"/>
      <c r="B528" s="4"/>
      <c r="C528" s="4"/>
    </row>
    <row r="529" spans="1:3" ht="15.75" customHeight="1" x14ac:dyDescent="0.25">
      <c r="A529" s="4"/>
      <c r="B529" s="4"/>
      <c r="C529" s="4"/>
    </row>
    <row r="530" spans="1:3" ht="15.75" customHeight="1" x14ac:dyDescent="0.25">
      <c r="A530" s="4"/>
      <c r="B530" s="4"/>
      <c r="C530" s="4"/>
    </row>
    <row r="531" spans="1:3" ht="15.75" customHeight="1" x14ac:dyDescent="0.25">
      <c r="A531" s="4"/>
      <c r="B531" s="4"/>
      <c r="C531" s="4"/>
    </row>
    <row r="532" spans="1:3" ht="15.75" customHeight="1" x14ac:dyDescent="0.25">
      <c r="A532" s="4"/>
      <c r="B532" s="4"/>
      <c r="C532" s="4"/>
    </row>
    <row r="533" spans="1:3" ht="15.75" customHeight="1" x14ac:dyDescent="0.25">
      <c r="A533" s="4"/>
      <c r="B533" s="4"/>
      <c r="C533" s="4"/>
    </row>
    <row r="534" spans="1:3" ht="15.75" customHeight="1" x14ac:dyDescent="0.25">
      <c r="A534" s="4"/>
      <c r="B534" s="4"/>
      <c r="C534" s="4"/>
    </row>
    <row r="535" spans="1:3" ht="15.75" customHeight="1" x14ac:dyDescent="0.25">
      <c r="A535" s="4"/>
      <c r="B535" s="4"/>
      <c r="C535" s="4"/>
    </row>
    <row r="536" spans="1:3" ht="15.75" customHeight="1" x14ac:dyDescent="0.25">
      <c r="A536" s="4"/>
      <c r="B536" s="4"/>
      <c r="C536" s="4"/>
    </row>
    <row r="537" spans="1:3" ht="15.75" customHeight="1" x14ac:dyDescent="0.25">
      <c r="A537" s="4"/>
      <c r="B537" s="4"/>
      <c r="C537" s="4"/>
    </row>
    <row r="538" spans="1:3" ht="15.75" customHeight="1" x14ac:dyDescent="0.25">
      <c r="A538" s="4"/>
      <c r="B538" s="4"/>
      <c r="C538" s="4"/>
    </row>
    <row r="539" spans="1:3" ht="15.75" customHeight="1" x14ac:dyDescent="0.25">
      <c r="A539" s="4"/>
      <c r="B539" s="4"/>
      <c r="C539" s="4"/>
    </row>
    <row r="540" spans="1:3" ht="15.75" customHeight="1" x14ac:dyDescent="0.25">
      <c r="A540" s="4"/>
      <c r="B540" s="4"/>
      <c r="C540" s="4"/>
    </row>
    <row r="541" spans="1:3" ht="15.75" customHeight="1" x14ac:dyDescent="0.25">
      <c r="A541" s="4"/>
      <c r="B541" s="4"/>
      <c r="C541" s="4"/>
    </row>
    <row r="542" spans="1:3" ht="15.75" customHeight="1" x14ac:dyDescent="0.25">
      <c r="A542" s="4"/>
      <c r="B542" s="4"/>
      <c r="C542" s="4"/>
    </row>
    <row r="543" spans="1:3" ht="15.75" customHeight="1" x14ac:dyDescent="0.25">
      <c r="A543" s="4"/>
      <c r="B543" s="4"/>
      <c r="C543" s="4"/>
    </row>
    <row r="544" spans="1:3" ht="15.75" customHeight="1" x14ac:dyDescent="0.25">
      <c r="A544" s="4"/>
      <c r="B544" s="4"/>
      <c r="C544" s="4"/>
    </row>
    <row r="545" spans="1:3" ht="15.75" customHeight="1" x14ac:dyDescent="0.25">
      <c r="A545" s="4"/>
      <c r="B545" s="4"/>
      <c r="C545" s="4"/>
    </row>
    <row r="546" spans="1:3" ht="15.75" customHeight="1" x14ac:dyDescent="0.25">
      <c r="A546" s="4"/>
      <c r="B546" s="4"/>
      <c r="C546" s="4"/>
    </row>
    <row r="547" spans="1:3" ht="15.75" customHeight="1" x14ac:dyDescent="0.25">
      <c r="A547" s="4"/>
      <c r="B547" s="4"/>
      <c r="C547" s="4"/>
    </row>
    <row r="548" spans="1:3" ht="15.75" customHeight="1" x14ac:dyDescent="0.25">
      <c r="A548" s="4"/>
      <c r="B548" s="4"/>
      <c r="C548" s="4"/>
    </row>
    <row r="549" spans="1:3" ht="15.75" customHeight="1" x14ac:dyDescent="0.25">
      <c r="A549" s="4"/>
      <c r="B549" s="4"/>
      <c r="C549" s="4"/>
    </row>
    <row r="550" spans="1:3" ht="15.75" customHeight="1" x14ac:dyDescent="0.25">
      <c r="A550" s="4"/>
      <c r="B550" s="4"/>
      <c r="C550" s="4"/>
    </row>
    <row r="551" spans="1:3" ht="15.75" customHeight="1" x14ac:dyDescent="0.25">
      <c r="A551" s="4"/>
      <c r="B551" s="4"/>
      <c r="C551" s="4"/>
    </row>
    <row r="552" spans="1:3" ht="15.75" customHeight="1" x14ac:dyDescent="0.25">
      <c r="A552" s="4"/>
      <c r="B552" s="4"/>
      <c r="C552" s="4"/>
    </row>
    <row r="553" spans="1:3" ht="15.75" customHeight="1" x14ac:dyDescent="0.25">
      <c r="A553" s="4"/>
      <c r="B553" s="4"/>
      <c r="C553" s="4"/>
    </row>
    <row r="554" spans="1:3" ht="15.75" customHeight="1" x14ac:dyDescent="0.25">
      <c r="A554" s="4"/>
      <c r="B554" s="4"/>
      <c r="C554" s="4"/>
    </row>
    <row r="555" spans="1:3" ht="15.75" customHeight="1" x14ac:dyDescent="0.25">
      <c r="A555" s="4"/>
      <c r="B555" s="4"/>
      <c r="C555" s="4"/>
    </row>
    <row r="556" spans="1:3" ht="15.75" customHeight="1" x14ac:dyDescent="0.25">
      <c r="A556" s="4"/>
      <c r="B556" s="4"/>
      <c r="C556" s="4"/>
    </row>
    <row r="557" spans="1:3" ht="15.75" customHeight="1" x14ac:dyDescent="0.25">
      <c r="A557" s="4"/>
      <c r="B557" s="4"/>
      <c r="C557" s="4"/>
    </row>
    <row r="558" spans="1:3" ht="15.75" customHeight="1" x14ac:dyDescent="0.25">
      <c r="A558" s="4"/>
      <c r="B558" s="4"/>
      <c r="C558" s="4"/>
    </row>
    <row r="559" spans="1:3" ht="15.75" customHeight="1" x14ac:dyDescent="0.25">
      <c r="A559" s="4"/>
      <c r="B559" s="4"/>
      <c r="C559" s="4"/>
    </row>
    <row r="560" spans="1:3" ht="15.75" customHeight="1" x14ac:dyDescent="0.25">
      <c r="A560" s="4"/>
      <c r="B560" s="4"/>
      <c r="C560" s="4"/>
    </row>
    <row r="561" spans="1:3" ht="15.75" customHeight="1" x14ac:dyDescent="0.25">
      <c r="A561" s="4"/>
      <c r="B561" s="4"/>
      <c r="C561" s="4"/>
    </row>
    <row r="562" spans="1:3" ht="15.75" customHeight="1" x14ac:dyDescent="0.25">
      <c r="A562" s="4"/>
      <c r="B562" s="4"/>
      <c r="C562" s="4"/>
    </row>
    <row r="563" spans="1:3" ht="15.75" customHeight="1" x14ac:dyDescent="0.25">
      <c r="A563" s="4"/>
      <c r="B563" s="4"/>
      <c r="C563" s="4"/>
    </row>
    <row r="564" spans="1:3" ht="15.75" customHeight="1" x14ac:dyDescent="0.25">
      <c r="A564" s="4"/>
      <c r="B564" s="4"/>
      <c r="C564" s="4"/>
    </row>
    <row r="565" spans="1:3" ht="15.75" customHeight="1" x14ac:dyDescent="0.25">
      <c r="A565" s="4"/>
      <c r="B565" s="4"/>
      <c r="C565" s="4"/>
    </row>
    <row r="566" spans="1:3" ht="15.75" customHeight="1" x14ac:dyDescent="0.25">
      <c r="A566" s="4"/>
      <c r="B566" s="4"/>
      <c r="C566" s="4"/>
    </row>
    <row r="567" spans="1:3" ht="15.75" customHeight="1" x14ac:dyDescent="0.25">
      <c r="A567" s="4"/>
      <c r="B567" s="4"/>
      <c r="C567" s="4"/>
    </row>
    <row r="568" spans="1:3" ht="15.75" customHeight="1" x14ac:dyDescent="0.25">
      <c r="A568" s="4"/>
      <c r="B568" s="4"/>
      <c r="C568" s="4"/>
    </row>
    <row r="569" spans="1:3" ht="15.75" customHeight="1" x14ac:dyDescent="0.25">
      <c r="A569" s="4"/>
      <c r="B569" s="4"/>
      <c r="C569" s="4"/>
    </row>
    <row r="570" spans="1:3" ht="15.75" customHeight="1" x14ac:dyDescent="0.25">
      <c r="A570" s="4"/>
      <c r="B570" s="4"/>
      <c r="C570" s="4"/>
    </row>
    <row r="571" spans="1:3" ht="15.75" customHeight="1" x14ac:dyDescent="0.25">
      <c r="A571" s="4"/>
      <c r="B571" s="4"/>
      <c r="C571" s="4"/>
    </row>
    <row r="572" spans="1:3" ht="15.75" customHeight="1" x14ac:dyDescent="0.25">
      <c r="A572" s="4"/>
      <c r="B572" s="4"/>
      <c r="C572" s="4"/>
    </row>
    <row r="573" spans="1:3" ht="15.75" customHeight="1" x14ac:dyDescent="0.25">
      <c r="A573" s="4"/>
      <c r="B573" s="4"/>
      <c r="C573" s="4"/>
    </row>
    <row r="574" spans="1:3" ht="15.75" customHeight="1" x14ac:dyDescent="0.25">
      <c r="A574" s="4"/>
      <c r="B574" s="4"/>
      <c r="C574" s="4"/>
    </row>
    <row r="575" spans="1:3" ht="15.75" customHeight="1" x14ac:dyDescent="0.25">
      <c r="A575" s="4"/>
      <c r="B575" s="4"/>
      <c r="C575" s="4"/>
    </row>
    <row r="576" spans="1:3" ht="15.75" customHeight="1" x14ac:dyDescent="0.25">
      <c r="A576" s="4"/>
      <c r="B576" s="4"/>
      <c r="C576" s="4"/>
    </row>
    <row r="577" spans="1:3" ht="15.75" customHeight="1" x14ac:dyDescent="0.25">
      <c r="A577" s="4"/>
      <c r="B577" s="4"/>
      <c r="C577" s="4"/>
    </row>
    <row r="578" spans="1:3" ht="15.75" customHeight="1" x14ac:dyDescent="0.25">
      <c r="A578" s="4"/>
      <c r="B578" s="4"/>
      <c r="C578" s="4"/>
    </row>
    <row r="579" spans="1:3" ht="15.75" customHeight="1" x14ac:dyDescent="0.25">
      <c r="A579" s="4"/>
      <c r="B579" s="4"/>
      <c r="C579" s="4"/>
    </row>
    <row r="580" spans="1:3" ht="15.75" customHeight="1" x14ac:dyDescent="0.25">
      <c r="A580" s="4"/>
      <c r="B580" s="4"/>
      <c r="C580" s="4"/>
    </row>
    <row r="581" spans="1:3" ht="15.75" customHeight="1" x14ac:dyDescent="0.25">
      <c r="A581" s="4"/>
      <c r="B581" s="4"/>
      <c r="C581" s="4"/>
    </row>
    <row r="582" spans="1:3" ht="15.75" customHeight="1" x14ac:dyDescent="0.25">
      <c r="A582" s="4"/>
      <c r="B582" s="4"/>
      <c r="C582" s="4"/>
    </row>
    <row r="583" spans="1:3" ht="15.75" customHeight="1" x14ac:dyDescent="0.25">
      <c r="A583" s="4"/>
      <c r="B583" s="4"/>
      <c r="C583" s="4"/>
    </row>
    <row r="584" spans="1:3" ht="15.75" customHeight="1" x14ac:dyDescent="0.25">
      <c r="A584" s="4"/>
      <c r="B584" s="4"/>
      <c r="C584" s="4"/>
    </row>
    <row r="585" spans="1:3" ht="15.75" customHeight="1" x14ac:dyDescent="0.25">
      <c r="A585" s="4"/>
      <c r="B585" s="4"/>
      <c r="C585" s="4"/>
    </row>
    <row r="586" spans="1:3" ht="15.75" customHeight="1" x14ac:dyDescent="0.25">
      <c r="A586" s="4"/>
      <c r="B586" s="4"/>
      <c r="C586" s="4"/>
    </row>
    <row r="587" spans="1:3" ht="15.75" customHeight="1" x14ac:dyDescent="0.25">
      <c r="A587" s="4"/>
      <c r="B587" s="4"/>
      <c r="C587" s="4"/>
    </row>
    <row r="588" spans="1:3" ht="15.75" customHeight="1" x14ac:dyDescent="0.25">
      <c r="A588" s="4"/>
      <c r="B588" s="4"/>
      <c r="C588" s="4"/>
    </row>
    <row r="589" spans="1:3" ht="15.75" customHeight="1" x14ac:dyDescent="0.25">
      <c r="A589" s="4"/>
      <c r="B589" s="4"/>
      <c r="C589" s="4"/>
    </row>
    <row r="590" spans="1:3" ht="15.75" customHeight="1" x14ac:dyDescent="0.25">
      <c r="A590" s="4"/>
      <c r="B590" s="4"/>
      <c r="C590" s="4"/>
    </row>
    <row r="591" spans="1:3" ht="15.75" customHeight="1" x14ac:dyDescent="0.25">
      <c r="A591" s="4"/>
      <c r="B591" s="4"/>
      <c r="C591" s="4"/>
    </row>
    <row r="592" spans="1:3" ht="15.75" customHeight="1" x14ac:dyDescent="0.25">
      <c r="A592" s="4"/>
      <c r="B592" s="4"/>
      <c r="C592" s="4"/>
    </row>
    <row r="593" spans="1:3" ht="15.75" customHeight="1" x14ac:dyDescent="0.25">
      <c r="A593" s="4"/>
      <c r="B593" s="4"/>
      <c r="C593" s="4"/>
    </row>
    <row r="594" spans="1:3" ht="15.75" customHeight="1" x14ac:dyDescent="0.25">
      <c r="A594" s="4"/>
      <c r="B594" s="4"/>
      <c r="C594" s="4"/>
    </row>
    <row r="595" spans="1:3" ht="15.75" customHeight="1" x14ac:dyDescent="0.25">
      <c r="A595" s="4"/>
      <c r="B595" s="4"/>
      <c r="C595" s="4"/>
    </row>
    <row r="596" spans="1:3" ht="15.75" customHeight="1" x14ac:dyDescent="0.25">
      <c r="A596" s="4"/>
      <c r="B596" s="4"/>
      <c r="C596" s="4"/>
    </row>
    <row r="597" spans="1:3" ht="15.75" customHeight="1" x14ac:dyDescent="0.25">
      <c r="A597" s="4"/>
      <c r="B597" s="4"/>
      <c r="C597" s="4"/>
    </row>
    <row r="598" spans="1:3" ht="15.75" customHeight="1" x14ac:dyDescent="0.25">
      <c r="A598" s="4"/>
      <c r="B598" s="4"/>
      <c r="C598" s="4"/>
    </row>
    <row r="599" spans="1:3" ht="15.75" customHeight="1" x14ac:dyDescent="0.25">
      <c r="A599" s="4"/>
      <c r="B599" s="4"/>
      <c r="C599" s="4"/>
    </row>
    <row r="600" spans="1:3" ht="15.75" customHeight="1" x14ac:dyDescent="0.25">
      <c r="A600" s="4"/>
      <c r="B600" s="4"/>
      <c r="C600" s="4"/>
    </row>
    <row r="601" spans="1:3" ht="15.75" customHeight="1" x14ac:dyDescent="0.25">
      <c r="A601" s="4"/>
      <c r="B601" s="4"/>
      <c r="C601" s="4"/>
    </row>
    <row r="602" spans="1:3" ht="15.75" customHeight="1" x14ac:dyDescent="0.25">
      <c r="A602" s="4"/>
      <c r="B602" s="4"/>
      <c r="C602" s="4"/>
    </row>
    <row r="603" spans="1:3" ht="15.75" customHeight="1" x14ac:dyDescent="0.25">
      <c r="A603" s="4"/>
      <c r="B603" s="4"/>
      <c r="C603" s="4"/>
    </row>
    <row r="604" spans="1:3" ht="15.75" customHeight="1" x14ac:dyDescent="0.25">
      <c r="A604" s="4"/>
      <c r="B604" s="4"/>
      <c r="C604" s="4"/>
    </row>
    <row r="605" spans="1:3" ht="15.75" customHeight="1" x14ac:dyDescent="0.25">
      <c r="A605" s="4"/>
      <c r="B605" s="4"/>
      <c r="C605" s="4"/>
    </row>
    <row r="606" spans="1:3" ht="15.75" customHeight="1" x14ac:dyDescent="0.25">
      <c r="A606" s="4"/>
      <c r="B606" s="4"/>
      <c r="C606" s="4"/>
    </row>
    <row r="607" spans="1:3" ht="15.75" customHeight="1" x14ac:dyDescent="0.25">
      <c r="A607" s="4"/>
      <c r="B607" s="4"/>
      <c r="C607" s="4"/>
    </row>
    <row r="608" spans="1:3" ht="15.75" customHeight="1" x14ac:dyDescent="0.25">
      <c r="A608" s="4"/>
      <c r="B608" s="4"/>
      <c r="C608" s="4"/>
    </row>
    <row r="609" spans="1:3" ht="15.75" customHeight="1" x14ac:dyDescent="0.25">
      <c r="A609" s="4"/>
      <c r="B609" s="4"/>
      <c r="C609" s="4"/>
    </row>
    <row r="610" spans="1:3" ht="15.75" customHeight="1" x14ac:dyDescent="0.25">
      <c r="A610" s="4"/>
      <c r="B610" s="4"/>
      <c r="C610" s="4"/>
    </row>
    <row r="611" spans="1:3" ht="15.75" customHeight="1" x14ac:dyDescent="0.25">
      <c r="A611" s="4"/>
      <c r="B611" s="4"/>
      <c r="C611" s="4"/>
    </row>
    <row r="612" spans="1:3" ht="15.75" customHeight="1" x14ac:dyDescent="0.25">
      <c r="A612" s="4"/>
      <c r="B612" s="4"/>
      <c r="C612" s="4"/>
    </row>
    <row r="613" spans="1:3" ht="15.75" customHeight="1" x14ac:dyDescent="0.25">
      <c r="A613" s="4"/>
      <c r="B613" s="4"/>
      <c r="C613" s="4"/>
    </row>
    <row r="614" spans="1:3" ht="15.75" customHeight="1" x14ac:dyDescent="0.25">
      <c r="A614" s="4"/>
      <c r="B614" s="4"/>
      <c r="C614" s="4"/>
    </row>
    <row r="615" spans="1:3" ht="15.75" customHeight="1" x14ac:dyDescent="0.25">
      <c r="A615" s="4"/>
      <c r="B615" s="4"/>
      <c r="C615" s="4"/>
    </row>
    <row r="616" spans="1:3" ht="15.75" customHeight="1" x14ac:dyDescent="0.25">
      <c r="A616" s="4"/>
      <c r="B616" s="4"/>
      <c r="C616" s="4"/>
    </row>
    <row r="617" spans="1:3" ht="15.75" customHeight="1" x14ac:dyDescent="0.25">
      <c r="A617" s="4"/>
      <c r="B617" s="4"/>
      <c r="C617" s="4"/>
    </row>
    <row r="618" spans="1:3" ht="15.75" customHeight="1" x14ac:dyDescent="0.25">
      <c r="A618" s="4"/>
      <c r="B618" s="4"/>
      <c r="C618" s="4"/>
    </row>
    <row r="619" spans="1:3" ht="15.75" customHeight="1" x14ac:dyDescent="0.25">
      <c r="A619" s="4"/>
      <c r="B619" s="4"/>
      <c r="C619" s="4"/>
    </row>
    <row r="620" spans="1:3" ht="15.75" customHeight="1" x14ac:dyDescent="0.25">
      <c r="A620" s="4"/>
      <c r="B620" s="4"/>
      <c r="C620" s="4"/>
    </row>
    <row r="621" spans="1:3" ht="15.75" customHeight="1" x14ac:dyDescent="0.25">
      <c r="A621" s="4"/>
      <c r="B621" s="4"/>
      <c r="C621" s="4"/>
    </row>
    <row r="622" spans="1:3" ht="15.75" customHeight="1" x14ac:dyDescent="0.25">
      <c r="A622" s="4"/>
      <c r="B622" s="4"/>
      <c r="C622" s="4"/>
    </row>
    <row r="623" spans="1:3" ht="15.75" customHeight="1" x14ac:dyDescent="0.25">
      <c r="A623" s="4"/>
      <c r="B623" s="4"/>
      <c r="C623" s="4"/>
    </row>
    <row r="624" spans="1:3" ht="15.75" customHeight="1" x14ac:dyDescent="0.25">
      <c r="A624" s="4"/>
      <c r="B624" s="4"/>
      <c r="C624" s="4"/>
    </row>
    <row r="625" spans="1:3" ht="15.75" customHeight="1" x14ac:dyDescent="0.25">
      <c r="A625" s="4"/>
      <c r="B625" s="4"/>
      <c r="C625" s="4"/>
    </row>
    <row r="626" spans="1:3" ht="15.75" customHeight="1" x14ac:dyDescent="0.25">
      <c r="A626" s="4"/>
      <c r="B626" s="4"/>
      <c r="C626" s="4"/>
    </row>
    <row r="627" spans="1:3" ht="15.75" customHeight="1" x14ac:dyDescent="0.25">
      <c r="A627" s="4"/>
      <c r="B627" s="4"/>
      <c r="C627" s="4"/>
    </row>
    <row r="628" spans="1:3" ht="15.75" customHeight="1" x14ac:dyDescent="0.25">
      <c r="A628" s="4"/>
      <c r="B628" s="4"/>
      <c r="C628" s="4"/>
    </row>
    <row r="629" spans="1:3" ht="15.75" customHeight="1" x14ac:dyDescent="0.25">
      <c r="A629" s="4"/>
      <c r="B629" s="4"/>
      <c r="C629" s="4"/>
    </row>
    <row r="630" spans="1:3" ht="15.75" customHeight="1" x14ac:dyDescent="0.25">
      <c r="A630" s="4"/>
      <c r="B630" s="4"/>
      <c r="C630" s="4"/>
    </row>
    <row r="631" spans="1:3" ht="15.75" customHeight="1" x14ac:dyDescent="0.25">
      <c r="A631" s="4"/>
      <c r="B631" s="4"/>
      <c r="C631" s="4"/>
    </row>
    <row r="632" spans="1:3" ht="15.75" customHeight="1" x14ac:dyDescent="0.25">
      <c r="A632" s="4"/>
      <c r="B632" s="4"/>
      <c r="C632" s="4"/>
    </row>
    <row r="633" spans="1:3" ht="15.75" customHeight="1" x14ac:dyDescent="0.25">
      <c r="A633" s="4"/>
      <c r="B633" s="4"/>
      <c r="C633" s="4"/>
    </row>
    <row r="634" spans="1:3" ht="15.75" customHeight="1" x14ac:dyDescent="0.25">
      <c r="A634" s="4"/>
      <c r="B634" s="4"/>
      <c r="C634" s="4"/>
    </row>
    <row r="635" spans="1:3" ht="15.75" customHeight="1" x14ac:dyDescent="0.25">
      <c r="A635" s="4"/>
      <c r="B635" s="4"/>
      <c r="C635" s="4"/>
    </row>
    <row r="636" spans="1:3" ht="15.75" customHeight="1" x14ac:dyDescent="0.25">
      <c r="A636" s="4"/>
      <c r="B636" s="4"/>
      <c r="C636" s="4"/>
    </row>
    <row r="637" spans="1:3" ht="15.75" customHeight="1" x14ac:dyDescent="0.25">
      <c r="A637" s="4"/>
      <c r="B637" s="4"/>
      <c r="C637" s="4"/>
    </row>
    <row r="638" spans="1:3" ht="15.75" customHeight="1" x14ac:dyDescent="0.25">
      <c r="A638" s="4"/>
      <c r="B638" s="4"/>
      <c r="C638" s="4"/>
    </row>
    <row r="639" spans="1:3" ht="15.75" customHeight="1" x14ac:dyDescent="0.25">
      <c r="A639" s="4"/>
      <c r="B639" s="4"/>
      <c r="C639" s="4"/>
    </row>
    <row r="640" spans="1:3" ht="15.75" customHeight="1" x14ac:dyDescent="0.25">
      <c r="A640" s="4"/>
      <c r="B640" s="4"/>
      <c r="C640" s="4"/>
    </row>
    <row r="641" spans="1:3" ht="15.75" customHeight="1" x14ac:dyDescent="0.25">
      <c r="A641" s="4"/>
      <c r="B641" s="4"/>
      <c r="C641" s="4"/>
    </row>
    <row r="642" spans="1:3" ht="15.75" customHeight="1" x14ac:dyDescent="0.25">
      <c r="A642" s="4"/>
      <c r="B642" s="4"/>
      <c r="C642" s="4"/>
    </row>
    <row r="643" spans="1:3" ht="15.75" customHeight="1" x14ac:dyDescent="0.25">
      <c r="A643" s="4"/>
      <c r="B643" s="4"/>
      <c r="C643" s="4"/>
    </row>
    <row r="644" spans="1:3" ht="15.75" customHeight="1" x14ac:dyDescent="0.25">
      <c r="A644" s="4"/>
      <c r="B644" s="4"/>
      <c r="C644" s="4"/>
    </row>
    <row r="645" spans="1:3" ht="15.75" customHeight="1" x14ac:dyDescent="0.25">
      <c r="A645" s="4"/>
      <c r="B645" s="4"/>
      <c r="C645" s="4"/>
    </row>
    <row r="646" spans="1:3" ht="15.75" customHeight="1" x14ac:dyDescent="0.25">
      <c r="A646" s="4"/>
      <c r="B646" s="4"/>
      <c r="C646" s="4"/>
    </row>
    <row r="647" spans="1:3" ht="15.75" customHeight="1" x14ac:dyDescent="0.25">
      <c r="A647" s="4"/>
      <c r="B647" s="4"/>
      <c r="C647" s="4"/>
    </row>
    <row r="648" spans="1:3" ht="15.75" customHeight="1" x14ac:dyDescent="0.25">
      <c r="A648" s="4"/>
      <c r="B648" s="4"/>
      <c r="C648" s="4"/>
    </row>
    <row r="649" spans="1:3" ht="15.75" customHeight="1" x14ac:dyDescent="0.25">
      <c r="A649" s="4"/>
      <c r="B649" s="4"/>
      <c r="C649" s="4"/>
    </row>
    <row r="650" spans="1:3" ht="15.75" customHeight="1" x14ac:dyDescent="0.25">
      <c r="A650" s="4"/>
      <c r="B650" s="4"/>
      <c r="C650" s="4"/>
    </row>
    <row r="651" spans="1:3" ht="15.75" customHeight="1" x14ac:dyDescent="0.25">
      <c r="A651" s="4"/>
      <c r="B651" s="4"/>
      <c r="C651" s="4"/>
    </row>
    <row r="652" spans="1:3" ht="15.75" customHeight="1" x14ac:dyDescent="0.25">
      <c r="A652" s="4"/>
      <c r="B652" s="4"/>
      <c r="C652" s="4"/>
    </row>
    <row r="653" spans="1:3" ht="15.75" customHeight="1" x14ac:dyDescent="0.25">
      <c r="A653" s="4"/>
      <c r="B653" s="4"/>
      <c r="C653" s="4"/>
    </row>
    <row r="654" spans="1:3" ht="15.75" customHeight="1" x14ac:dyDescent="0.25">
      <c r="A654" s="4"/>
      <c r="B654" s="4"/>
      <c r="C654" s="4"/>
    </row>
    <row r="655" spans="1:3" ht="15.75" customHeight="1" x14ac:dyDescent="0.25">
      <c r="A655" s="4"/>
      <c r="B655" s="4"/>
      <c r="C655" s="4"/>
    </row>
    <row r="656" spans="1:3" ht="15.75" customHeight="1" x14ac:dyDescent="0.25">
      <c r="A656" s="4"/>
      <c r="B656" s="4"/>
      <c r="C656" s="4"/>
    </row>
    <row r="657" spans="1:3" ht="15.75" customHeight="1" x14ac:dyDescent="0.25">
      <c r="A657" s="4"/>
      <c r="B657" s="4"/>
      <c r="C657" s="4"/>
    </row>
    <row r="658" spans="1:3" ht="15.75" customHeight="1" x14ac:dyDescent="0.25">
      <c r="A658" s="4"/>
      <c r="B658" s="4"/>
      <c r="C658" s="4"/>
    </row>
    <row r="659" spans="1:3" ht="15.75" customHeight="1" x14ac:dyDescent="0.25">
      <c r="A659" s="4"/>
      <c r="B659" s="4"/>
      <c r="C659" s="4"/>
    </row>
    <row r="660" spans="1:3" ht="15.75" customHeight="1" x14ac:dyDescent="0.25">
      <c r="A660" s="4"/>
      <c r="B660" s="4"/>
      <c r="C660" s="4"/>
    </row>
    <row r="661" spans="1:3" ht="15.75" customHeight="1" x14ac:dyDescent="0.25">
      <c r="A661" s="4"/>
      <c r="B661" s="4"/>
      <c r="C661" s="4"/>
    </row>
    <row r="662" spans="1:3" ht="15.75" customHeight="1" x14ac:dyDescent="0.25">
      <c r="A662" s="4"/>
      <c r="B662" s="4"/>
      <c r="C662" s="4"/>
    </row>
    <row r="663" spans="1:3" ht="15.75" customHeight="1" x14ac:dyDescent="0.25">
      <c r="A663" s="4"/>
      <c r="B663" s="4"/>
      <c r="C663" s="4"/>
    </row>
    <row r="664" spans="1:3" ht="15.75" customHeight="1" x14ac:dyDescent="0.25">
      <c r="A664" s="4"/>
      <c r="B664" s="4"/>
      <c r="C664" s="4"/>
    </row>
    <row r="665" spans="1:3" ht="15.75" customHeight="1" x14ac:dyDescent="0.25">
      <c r="A665" s="4"/>
      <c r="B665" s="4"/>
      <c r="C665" s="4"/>
    </row>
    <row r="666" spans="1:3" ht="15.75" customHeight="1" x14ac:dyDescent="0.25">
      <c r="A666" s="4"/>
      <c r="B666" s="4"/>
      <c r="C666" s="4"/>
    </row>
    <row r="667" spans="1:3" ht="15.75" customHeight="1" x14ac:dyDescent="0.25">
      <c r="A667" s="4"/>
      <c r="B667" s="4"/>
      <c r="C667" s="4"/>
    </row>
    <row r="668" spans="1:3" ht="15.75" customHeight="1" x14ac:dyDescent="0.25">
      <c r="A668" s="4"/>
      <c r="B668" s="4"/>
      <c r="C668" s="4"/>
    </row>
    <row r="669" spans="1:3" ht="15.75" customHeight="1" x14ac:dyDescent="0.25">
      <c r="A669" s="4"/>
      <c r="B669" s="4"/>
      <c r="C669" s="4"/>
    </row>
    <row r="670" spans="1:3" ht="15.75" customHeight="1" x14ac:dyDescent="0.25">
      <c r="A670" s="4"/>
      <c r="B670" s="4"/>
      <c r="C670" s="4"/>
    </row>
    <row r="671" spans="1:3" ht="15.75" customHeight="1" x14ac:dyDescent="0.25">
      <c r="A671" s="4"/>
      <c r="B671" s="4"/>
      <c r="C671" s="4"/>
    </row>
    <row r="672" spans="1:3" ht="15.75" customHeight="1" x14ac:dyDescent="0.25">
      <c r="A672" s="4"/>
      <c r="B672" s="4"/>
      <c r="C672" s="4"/>
    </row>
    <row r="673" spans="1:3" ht="15.75" customHeight="1" x14ac:dyDescent="0.25">
      <c r="A673" s="4"/>
      <c r="B673" s="4"/>
      <c r="C673" s="4"/>
    </row>
    <row r="674" spans="1:3" ht="15.75" customHeight="1" x14ac:dyDescent="0.25">
      <c r="A674" s="4"/>
      <c r="B674" s="4"/>
      <c r="C674" s="4"/>
    </row>
    <row r="675" spans="1:3" ht="15.75" customHeight="1" x14ac:dyDescent="0.25">
      <c r="A675" s="4"/>
      <c r="B675" s="4"/>
      <c r="C675" s="4"/>
    </row>
    <row r="676" spans="1:3" ht="15.75" customHeight="1" x14ac:dyDescent="0.25">
      <c r="A676" s="4"/>
      <c r="B676" s="4"/>
      <c r="C676" s="4"/>
    </row>
    <row r="677" spans="1:3" ht="15.75" customHeight="1" x14ac:dyDescent="0.25">
      <c r="A677" s="4"/>
      <c r="B677" s="4"/>
      <c r="C677" s="4"/>
    </row>
    <row r="678" spans="1:3" ht="15.75" customHeight="1" x14ac:dyDescent="0.25">
      <c r="A678" s="4"/>
      <c r="B678" s="4"/>
      <c r="C678" s="4"/>
    </row>
    <row r="679" spans="1:3" ht="15.75" customHeight="1" x14ac:dyDescent="0.25">
      <c r="A679" s="4"/>
      <c r="B679" s="4"/>
      <c r="C679" s="4"/>
    </row>
    <row r="680" spans="1:3" ht="15.75" customHeight="1" x14ac:dyDescent="0.25">
      <c r="A680" s="4"/>
      <c r="B680" s="4"/>
      <c r="C680" s="4"/>
    </row>
    <row r="681" spans="1:3" ht="15.75" customHeight="1" x14ac:dyDescent="0.25">
      <c r="A681" s="4"/>
      <c r="B681" s="4"/>
      <c r="C681" s="4"/>
    </row>
    <row r="682" spans="1:3" ht="15.75" customHeight="1" x14ac:dyDescent="0.25">
      <c r="A682" s="4"/>
      <c r="B682" s="4"/>
      <c r="C682" s="4"/>
    </row>
    <row r="683" spans="1:3" ht="15.75" customHeight="1" x14ac:dyDescent="0.25">
      <c r="A683" s="4"/>
      <c r="B683" s="4"/>
      <c r="C683" s="4"/>
    </row>
    <row r="684" spans="1:3" ht="15.75" customHeight="1" x14ac:dyDescent="0.25">
      <c r="A684" s="4"/>
      <c r="B684" s="4"/>
      <c r="C684" s="4"/>
    </row>
    <row r="685" spans="1:3" ht="15.75" customHeight="1" x14ac:dyDescent="0.25">
      <c r="A685" s="4"/>
      <c r="B685" s="4"/>
      <c r="C685" s="4"/>
    </row>
    <row r="686" spans="1:3" ht="15.75" customHeight="1" x14ac:dyDescent="0.25">
      <c r="A686" s="4"/>
      <c r="B686" s="4"/>
      <c r="C686" s="4"/>
    </row>
    <row r="687" spans="1:3" ht="15.75" customHeight="1" x14ac:dyDescent="0.25">
      <c r="A687" s="4"/>
      <c r="B687" s="4"/>
      <c r="C687" s="4"/>
    </row>
    <row r="688" spans="1:3" ht="15.75" customHeight="1" x14ac:dyDescent="0.25">
      <c r="A688" s="4"/>
      <c r="B688" s="4"/>
      <c r="C688" s="4"/>
    </row>
    <row r="689" spans="1:3" ht="15.75" customHeight="1" x14ac:dyDescent="0.25">
      <c r="A689" s="4"/>
      <c r="B689" s="4"/>
      <c r="C689" s="4"/>
    </row>
    <row r="690" spans="1:3" ht="15.75" customHeight="1" x14ac:dyDescent="0.25">
      <c r="A690" s="4"/>
      <c r="B690" s="4"/>
      <c r="C690" s="4"/>
    </row>
    <row r="691" spans="1:3" ht="15.75" customHeight="1" x14ac:dyDescent="0.25">
      <c r="A691" s="4"/>
      <c r="B691" s="4"/>
      <c r="C691" s="4"/>
    </row>
    <row r="692" spans="1:3" ht="15.75" customHeight="1" x14ac:dyDescent="0.25">
      <c r="A692" s="4"/>
      <c r="B692" s="4"/>
      <c r="C692" s="4"/>
    </row>
    <row r="693" spans="1:3" ht="15.75" customHeight="1" x14ac:dyDescent="0.25">
      <c r="A693" s="4"/>
      <c r="B693" s="4"/>
      <c r="C693" s="4"/>
    </row>
    <row r="694" spans="1:3" ht="15.75" customHeight="1" x14ac:dyDescent="0.25">
      <c r="A694" s="4"/>
      <c r="B694" s="4"/>
      <c r="C694" s="4"/>
    </row>
    <row r="695" spans="1:3" ht="15.75" customHeight="1" x14ac:dyDescent="0.25">
      <c r="A695" s="4"/>
      <c r="B695" s="4"/>
      <c r="C695" s="4"/>
    </row>
    <row r="696" spans="1:3" ht="15.75" customHeight="1" x14ac:dyDescent="0.25">
      <c r="A696" s="4"/>
      <c r="B696" s="4"/>
      <c r="C696" s="4"/>
    </row>
    <row r="697" spans="1:3" ht="15.75" customHeight="1" x14ac:dyDescent="0.25">
      <c r="A697" s="4"/>
      <c r="B697" s="4"/>
      <c r="C697" s="4"/>
    </row>
    <row r="698" spans="1:3" ht="15.75" customHeight="1" x14ac:dyDescent="0.25">
      <c r="A698" s="4"/>
      <c r="B698" s="4"/>
      <c r="C698" s="4"/>
    </row>
    <row r="699" spans="1:3" ht="15.75" customHeight="1" x14ac:dyDescent="0.25">
      <c r="A699" s="4"/>
      <c r="B699" s="4"/>
      <c r="C699" s="4"/>
    </row>
    <row r="700" spans="1:3" ht="15.75" customHeight="1" x14ac:dyDescent="0.25">
      <c r="A700" s="4"/>
      <c r="B700" s="4"/>
      <c r="C700" s="4"/>
    </row>
    <row r="701" spans="1:3" ht="15.75" customHeight="1" x14ac:dyDescent="0.25">
      <c r="A701" s="4"/>
      <c r="B701" s="4"/>
      <c r="C701" s="4"/>
    </row>
    <row r="702" spans="1:3" ht="15.75" customHeight="1" x14ac:dyDescent="0.25">
      <c r="A702" s="4"/>
      <c r="B702" s="4"/>
      <c r="C702" s="4"/>
    </row>
    <row r="703" spans="1:3" ht="15.75" customHeight="1" x14ac:dyDescent="0.25">
      <c r="A703" s="4"/>
      <c r="B703" s="4"/>
      <c r="C703" s="4"/>
    </row>
    <row r="704" spans="1:3" ht="15.75" customHeight="1" x14ac:dyDescent="0.25">
      <c r="A704" s="4"/>
      <c r="B704" s="4"/>
      <c r="C704" s="4"/>
    </row>
    <row r="705" spans="1:3" ht="15.75" customHeight="1" x14ac:dyDescent="0.25">
      <c r="A705" s="4"/>
      <c r="B705" s="4"/>
      <c r="C705" s="4"/>
    </row>
    <row r="706" spans="1:3" ht="15.75" customHeight="1" x14ac:dyDescent="0.25">
      <c r="A706" s="4"/>
      <c r="B706" s="4"/>
      <c r="C706" s="4"/>
    </row>
    <row r="707" spans="1:3" ht="15.75" customHeight="1" x14ac:dyDescent="0.25">
      <c r="A707" s="4"/>
      <c r="B707" s="4"/>
      <c r="C707" s="4"/>
    </row>
    <row r="708" spans="1:3" ht="15.75" customHeight="1" x14ac:dyDescent="0.25">
      <c r="A708" s="4"/>
      <c r="B708" s="4"/>
      <c r="C708" s="4"/>
    </row>
    <row r="709" spans="1:3" ht="15.75" customHeight="1" x14ac:dyDescent="0.25">
      <c r="A709" s="4"/>
      <c r="B709" s="4"/>
      <c r="C709" s="4"/>
    </row>
    <row r="710" spans="1:3" ht="15.75" customHeight="1" x14ac:dyDescent="0.25">
      <c r="A710" s="4"/>
      <c r="B710" s="4"/>
      <c r="C710" s="4"/>
    </row>
    <row r="711" spans="1:3" ht="15.75" customHeight="1" x14ac:dyDescent="0.25">
      <c r="A711" s="4"/>
      <c r="B711" s="4"/>
      <c r="C711" s="4"/>
    </row>
    <row r="712" spans="1:3" ht="15.75" customHeight="1" x14ac:dyDescent="0.25">
      <c r="A712" s="4"/>
      <c r="B712" s="4"/>
      <c r="C712" s="4"/>
    </row>
    <row r="713" spans="1:3" ht="15.75" customHeight="1" x14ac:dyDescent="0.25">
      <c r="A713" s="4"/>
      <c r="B713" s="4"/>
      <c r="C713" s="4"/>
    </row>
    <row r="714" spans="1:3" ht="15.75" customHeight="1" x14ac:dyDescent="0.25">
      <c r="A714" s="4"/>
      <c r="B714" s="4"/>
      <c r="C714" s="4"/>
    </row>
    <row r="715" spans="1:3" ht="15.75" customHeight="1" x14ac:dyDescent="0.25">
      <c r="A715" s="4"/>
      <c r="B715" s="4"/>
      <c r="C715" s="4"/>
    </row>
    <row r="716" spans="1:3" ht="15.75" customHeight="1" x14ac:dyDescent="0.25">
      <c r="A716" s="4"/>
      <c r="B716" s="4"/>
      <c r="C716" s="4"/>
    </row>
    <row r="717" spans="1:3" ht="15.75" customHeight="1" x14ac:dyDescent="0.25">
      <c r="A717" s="4"/>
      <c r="B717" s="4"/>
      <c r="C717" s="4"/>
    </row>
    <row r="718" spans="1:3" ht="15.75" customHeight="1" x14ac:dyDescent="0.25">
      <c r="A718" s="4"/>
      <c r="B718" s="4"/>
      <c r="C718" s="4"/>
    </row>
    <row r="719" spans="1:3" ht="15.75" customHeight="1" x14ac:dyDescent="0.25">
      <c r="A719" s="4"/>
      <c r="B719" s="4"/>
      <c r="C719" s="4"/>
    </row>
    <row r="720" spans="1:3" ht="15.75" customHeight="1" x14ac:dyDescent="0.25">
      <c r="A720" s="4"/>
      <c r="B720" s="4"/>
      <c r="C720" s="4"/>
    </row>
    <row r="721" spans="1:3" ht="15.75" customHeight="1" x14ac:dyDescent="0.25">
      <c r="A721" s="4"/>
      <c r="B721" s="4"/>
      <c r="C721" s="4"/>
    </row>
    <row r="722" spans="1:3" ht="15.75" customHeight="1" x14ac:dyDescent="0.25">
      <c r="A722" s="4"/>
      <c r="B722" s="4"/>
      <c r="C722" s="4"/>
    </row>
    <row r="723" spans="1:3" ht="15.75" customHeight="1" x14ac:dyDescent="0.25">
      <c r="A723" s="4"/>
      <c r="B723" s="4"/>
      <c r="C723" s="4"/>
    </row>
    <row r="724" spans="1:3" ht="15.75" customHeight="1" x14ac:dyDescent="0.25">
      <c r="A724" s="4"/>
      <c r="B724" s="4"/>
      <c r="C724" s="4"/>
    </row>
    <row r="725" spans="1:3" ht="15.75" customHeight="1" x14ac:dyDescent="0.25">
      <c r="A725" s="4"/>
      <c r="B725" s="4"/>
      <c r="C725" s="4"/>
    </row>
    <row r="726" spans="1:3" ht="15.75" customHeight="1" x14ac:dyDescent="0.25">
      <c r="A726" s="4"/>
      <c r="B726" s="4"/>
      <c r="C726" s="4"/>
    </row>
    <row r="727" spans="1:3" ht="15.75" customHeight="1" x14ac:dyDescent="0.25">
      <c r="A727" s="4"/>
      <c r="B727" s="4"/>
      <c r="C727" s="4"/>
    </row>
    <row r="728" spans="1:3" ht="15.75" customHeight="1" x14ac:dyDescent="0.25">
      <c r="A728" s="4"/>
      <c r="B728" s="4"/>
      <c r="C728" s="4"/>
    </row>
    <row r="729" spans="1:3" ht="15.75" customHeight="1" x14ac:dyDescent="0.25">
      <c r="A729" s="4"/>
      <c r="B729" s="4"/>
      <c r="C729" s="4"/>
    </row>
    <row r="730" spans="1:3" ht="15.75" customHeight="1" x14ac:dyDescent="0.25">
      <c r="A730" s="4"/>
      <c r="B730" s="4"/>
      <c r="C730" s="4"/>
    </row>
    <row r="731" spans="1:3" ht="15.75" customHeight="1" x14ac:dyDescent="0.25">
      <c r="A731" s="4"/>
      <c r="B731" s="4"/>
      <c r="C731" s="4"/>
    </row>
    <row r="732" spans="1:3" ht="15.75" customHeight="1" x14ac:dyDescent="0.25">
      <c r="A732" s="4"/>
      <c r="B732" s="4"/>
      <c r="C732" s="4"/>
    </row>
    <row r="733" spans="1:3" ht="15.75" customHeight="1" x14ac:dyDescent="0.25">
      <c r="A733" s="4"/>
      <c r="B733" s="4"/>
      <c r="C733" s="4"/>
    </row>
    <row r="734" spans="1:3" ht="15.75" customHeight="1" x14ac:dyDescent="0.25">
      <c r="A734" s="4"/>
      <c r="B734" s="4"/>
      <c r="C734" s="4"/>
    </row>
    <row r="735" spans="1:3" ht="15.75" customHeight="1" x14ac:dyDescent="0.25">
      <c r="A735" s="4"/>
      <c r="B735" s="4"/>
      <c r="C735" s="4"/>
    </row>
    <row r="736" spans="1:3" ht="15.75" customHeight="1" x14ac:dyDescent="0.25">
      <c r="A736" s="4"/>
      <c r="B736" s="4"/>
      <c r="C736" s="4"/>
    </row>
    <row r="737" spans="1:3" ht="15.75" customHeight="1" x14ac:dyDescent="0.25">
      <c r="A737" s="4"/>
      <c r="B737" s="4"/>
      <c r="C737" s="4"/>
    </row>
    <row r="738" spans="1:3" ht="15.75" customHeight="1" x14ac:dyDescent="0.25">
      <c r="A738" s="4"/>
      <c r="B738" s="4"/>
      <c r="C738" s="4"/>
    </row>
    <row r="739" spans="1:3" ht="15.75" customHeight="1" x14ac:dyDescent="0.25">
      <c r="A739" s="4"/>
      <c r="B739" s="4"/>
      <c r="C739" s="4"/>
    </row>
    <row r="740" spans="1:3" ht="15.75" customHeight="1" x14ac:dyDescent="0.25">
      <c r="A740" s="4"/>
      <c r="B740" s="4"/>
      <c r="C740" s="4"/>
    </row>
    <row r="741" spans="1:3" ht="15.75" customHeight="1" x14ac:dyDescent="0.25">
      <c r="A741" s="4"/>
      <c r="B741" s="4"/>
      <c r="C741" s="4"/>
    </row>
    <row r="742" spans="1:3" ht="15.75" customHeight="1" x14ac:dyDescent="0.25">
      <c r="A742" s="4"/>
      <c r="B742" s="4"/>
      <c r="C742" s="4"/>
    </row>
    <row r="743" spans="1:3" ht="15.75" customHeight="1" x14ac:dyDescent="0.25">
      <c r="A743" s="4"/>
      <c r="B743" s="4"/>
      <c r="C743" s="4"/>
    </row>
    <row r="744" spans="1:3" ht="15.75" customHeight="1" x14ac:dyDescent="0.25">
      <c r="A744" s="4"/>
      <c r="B744" s="4"/>
      <c r="C744" s="4"/>
    </row>
    <row r="745" spans="1:3" ht="15.75" customHeight="1" x14ac:dyDescent="0.25">
      <c r="A745" s="4"/>
      <c r="B745" s="4"/>
      <c r="C745" s="4"/>
    </row>
    <row r="746" spans="1:3" ht="15.75" customHeight="1" x14ac:dyDescent="0.25">
      <c r="A746" s="4"/>
      <c r="B746" s="4"/>
      <c r="C746" s="4"/>
    </row>
    <row r="747" spans="1:3" ht="15.75" customHeight="1" x14ac:dyDescent="0.25">
      <c r="A747" s="4"/>
      <c r="B747" s="4"/>
      <c r="C747" s="4"/>
    </row>
    <row r="748" spans="1:3" ht="15.75" customHeight="1" x14ac:dyDescent="0.25">
      <c r="A748" s="4"/>
      <c r="B748" s="4"/>
      <c r="C748" s="4"/>
    </row>
    <row r="749" spans="1:3" ht="15.75" customHeight="1" x14ac:dyDescent="0.25">
      <c r="A749" s="4"/>
      <c r="B749" s="4"/>
      <c r="C749" s="4"/>
    </row>
    <row r="750" spans="1:3" ht="15.75" customHeight="1" x14ac:dyDescent="0.25">
      <c r="A750" s="4"/>
      <c r="B750" s="4"/>
      <c r="C750" s="4"/>
    </row>
    <row r="751" spans="1:3" ht="15.75" customHeight="1" x14ac:dyDescent="0.25">
      <c r="A751" s="4"/>
      <c r="B751" s="4"/>
      <c r="C751" s="4"/>
    </row>
    <row r="752" spans="1:3" ht="15.75" customHeight="1" x14ac:dyDescent="0.25">
      <c r="A752" s="4"/>
      <c r="B752" s="4"/>
      <c r="C752" s="4"/>
    </row>
    <row r="753" spans="1:3" ht="15.75" customHeight="1" x14ac:dyDescent="0.25">
      <c r="A753" s="4"/>
      <c r="B753" s="4"/>
      <c r="C753" s="4"/>
    </row>
    <row r="754" spans="1:3" ht="15.75" customHeight="1" x14ac:dyDescent="0.25">
      <c r="A754" s="4"/>
      <c r="B754" s="4"/>
      <c r="C754" s="4"/>
    </row>
    <row r="755" spans="1:3" ht="15.75" customHeight="1" x14ac:dyDescent="0.25">
      <c r="A755" s="4"/>
      <c r="B755" s="4"/>
      <c r="C755" s="4"/>
    </row>
    <row r="756" spans="1:3" ht="15.75" customHeight="1" x14ac:dyDescent="0.25">
      <c r="A756" s="4"/>
      <c r="B756" s="4"/>
      <c r="C756" s="4"/>
    </row>
    <row r="757" spans="1:3" ht="15.75" customHeight="1" x14ac:dyDescent="0.25">
      <c r="A757" s="4"/>
      <c r="B757" s="4"/>
      <c r="C757" s="4"/>
    </row>
    <row r="758" spans="1:3" ht="15.75" customHeight="1" x14ac:dyDescent="0.25">
      <c r="A758" s="4"/>
      <c r="B758" s="4"/>
      <c r="C758" s="4"/>
    </row>
    <row r="759" spans="1:3" ht="15.75" customHeight="1" x14ac:dyDescent="0.25">
      <c r="A759" s="4"/>
      <c r="B759" s="4"/>
      <c r="C759" s="4"/>
    </row>
    <row r="760" spans="1:3" ht="15.75" customHeight="1" x14ac:dyDescent="0.25">
      <c r="A760" s="4"/>
      <c r="B760" s="4"/>
      <c r="C760" s="4"/>
    </row>
    <row r="761" spans="1:3" ht="15.75" customHeight="1" x14ac:dyDescent="0.25">
      <c r="A761" s="4"/>
      <c r="B761" s="4"/>
      <c r="C761" s="4"/>
    </row>
    <row r="762" spans="1:3" ht="15.75" customHeight="1" x14ac:dyDescent="0.25">
      <c r="A762" s="4"/>
      <c r="B762" s="4"/>
      <c r="C762" s="4"/>
    </row>
    <row r="763" spans="1:3" ht="15.75" customHeight="1" x14ac:dyDescent="0.25">
      <c r="A763" s="4"/>
      <c r="B763" s="4"/>
      <c r="C763" s="4"/>
    </row>
    <row r="764" spans="1:3" ht="15.75" customHeight="1" x14ac:dyDescent="0.25">
      <c r="A764" s="4"/>
      <c r="B764" s="4"/>
      <c r="C764" s="4"/>
    </row>
    <row r="765" spans="1:3" ht="15.75" customHeight="1" x14ac:dyDescent="0.25">
      <c r="A765" s="4"/>
      <c r="B765" s="4"/>
      <c r="C765" s="4"/>
    </row>
    <row r="766" spans="1:3" ht="15.75" customHeight="1" x14ac:dyDescent="0.25">
      <c r="A766" s="4"/>
      <c r="B766" s="4"/>
      <c r="C766" s="4"/>
    </row>
    <row r="767" spans="1:3" ht="15.75" customHeight="1" x14ac:dyDescent="0.25">
      <c r="A767" s="4"/>
      <c r="B767" s="4"/>
      <c r="C767" s="4"/>
    </row>
    <row r="768" spans="1:3" ht="15.75" customHeight="1" x14ac:dyDescent="0.25">
      <c r="A768" s="4"/>
      <c r="B768" s="4"/>
      <c r="C768" s="4"/>
    </row>
    <row r="769" spans="1:3" ht="15.75" customHeight="1" x14ac:dyDescent="0.25">
      <c r="A769" s="4"/>
      <c r="B769" s="4"/>
      <c r="C769" s="4"/>
    </row>
    <row r="770" spans="1:3" ht="15.75" customHeight="1" x14ac:dyDescent="0.25">
      <c r="A770" s="4"/>
      <c r="B770" s="4"/>
      <c r="C770" s="4"/>
    </row>
    <row r="771" spans="1:3" ht="15.75" customHeight="1" x14ac:dyDescent="0.25">
      <c r="A771" s="4"/>
      <c r="B771" s="4"/>
      <c r="C771" s="4"/>
    </row>
    <row r="772" spans="1:3" ht="15.75" customHeight="1" x14ac:dyDescent="0.25">
      <c r="A772" s="4"/>
      <c r="B772" s="4"/>
      <c r="C772" s="4"/>
    </row>
    <row r="773" spans="1:3" ht="15.75" customHeight="1" x14ac:dyDescent="0.25">
      <c r="A773" s="4"/>
      <c r="B773" s="4"/>
      <c r="C773" s="4"/>
    </row>
    <row r="774" spans="1:3" ht="15.75" customHeight="1" x14ac:dyDescent="0.25">
      <c r="A774" s="4"/>
      <c r="B774" s="4"/>
      <c r="C774" s="4"/>
    </row>
    <row r="775" spans="1:3" ht="15.75" customHeight="1" x14ac:dyDescent="0.25">
      <c r="A775" s="4"/>
      <c r="B775" s="4"/>
      <c r="C775" s="4"/>
    </row>
    <row r="776" spans="1:3" ht="15.75" customHeight="1" x14ac:dyDescent="0.25">
      <c r="A776" s="4"/>
      <c r="B776" s="4"/>
      <c r="C776" s="4"/>
    </row>
    <row r="777" spans="1:3" ht="15.75" customHeight="1" x14ac:dyDescent="0.25">
      <c r="A777" s="4"/>
      <c r="B777" s="4"/>
      <c r="C777" s="4"/>
    </row>
    <row r="778" spans="1:3" ht="15.75" customHeight="1" x14ac:dyDescent="0.25">
      <c r="A778" s="4"/>
      <c r="B778" s="4"/>
      <c r="C778" s="4"/>
    </row>
    <row r="779" spans="1:3" ht="15.75" customHeight="1" x14ac:dyDescent="0.25">
      <c r="A779" s="4"/>
      <c r="B779" s="4"/>
      <c r="C779" s="4"/>
    </row>
    <row r="780" spans="1:3" ht="15.75" customHeight="1" x14ac:dyDescent="0.25">
      <c r="A780" s="4"/>
      <c r="B780" s="4"/>
      <c r="C780" s="4"/>
    </row>
    <row r="781" spans="1:3" ht="15.75" customHeight="1" x14ac:dyDescent="0.25">
      <c r="A781" s="4"/>
      <c r="B781" s="4"/>
      <c r="C781" s="4"/>
    </row>
    <row r="782" spans="1:3" ht="15.75" customHeight="1" x14ac:dyDescent="0.25">
      <c r="A782" s="4"/>
      <c r="B782" s="4"/>
      <c r="C782" s="4"/>
    </row>
    <row r="783" spans="1:3" ht="15.75" customHeight="1" x14ac:dyDescent="0.25">
      <c r="A783" s="4"/>
      <c r="B783" s="4"/>
      <c r="C783" s="4"/>
    </row>
    <row r="784" spans="1:3" ht="15.75" customHeight="1" x14ac:dyDescent="0.25">
      <c r="A784" s="4"/>
      <c r="B784" s="4"/>
      <c r="C784" s="4"/>
    </row>
    <row r="785" spans="1:3" ht="15.75" customHeight="1" x14ac:dyDescent="0.25">
      <c r="A785" s="4"/>
      <c r="B785" s="4"/>
      <c r="C785" s="4"/>
    </row>
    <row r="786" spans="1:3" ht="15.75" customHeight="1" x14ac:dyDescent="0.25">
      <c r="A786" s="4"/>
      <c r="B786" s="4"/>
      <c r="C786" s="4"/>
    </row>
    <row r="787" spans="1:3" ht="15.75" customHeight="1" x14ac:dyDescent="0.25">
      <c r="A787" s="4"/>
      <c r="B787" s="4"/>
      <c r="C787" s="4"/>
    </row>
    <row r="788" spans="1:3" ht="15.75" customHeight="1" x14ac:dyDescent="0.25">
      <c r="A788" s="4"/>
      <c r="B788" s="4"/>
      <c r="C788" s="4"/>
    </row>
    <row r="789" spans="1:3" ht="15.75" customHeight="1" x14ac:dyDescent="0.25">
      <c r="A789" s="4"/>
      <c r="B789" s="4"/>
      <c r="C789" s="4"/>
    </row>
    <row r="790" spans="1:3" ht="15.75" customHeight="1" x14ac:dyDescent="0.25">
      <c r="A790" s="4"/>
      <c r="B790" s="4"/>
      <c r="C790" s="4"/>
    </row>
    <row r="791" spans="1:3" ht="15.75" customHeight="1" x14ac:dyDescent="0.25">
      <c r="A791" s="4"/>
      <c r="B791" s="4"/>
      <c r="C791" s="4"/>
    </row>
    <row r="792" spans="1:3" ht="15.75" customHeight="1" x14ac:dyDescent="0.25">
      <c r="A792" s="4"/>
      <c r="B792" s="4"/>
      <c r="C792" s="4"/>
    </row>
    <row r="793" spans="1:3" ht="15.75" customHeight="1" x14ac:dyDescent="0.25">
      <c r="A793" s="4"/>
      <c r="B793" s="4"/>
      <c r="C793" s="4"/>
    </row>
    <row r="794" spans="1:3" ht="15.75" customHeight="1" x14ac:dyDescent="0.25">
      <c r="A794" s="4"/>
      <c r="B794" s="4"/>
      <c r="C794" s="4"/>
    </row>
    <row r="795" spans="1:3" ht="15.75" customHeight="1" x14ac:dyDescent="0.25">
      <c r="A795" s="4"/>
      <c r="B795" s="4"/>
      <c r="C795" s="4"/>
    </row>
    <row r="796" spans="1:3" ht="15.75" customHeight="1" x14ac:dyDescent="0.25">
      <c r="A796" s="4"/>
      <c r="B796" s="4"/>
      <c r="C796" s="4"/>
    </row>
    <row r="797" spans="1:3" ht="15.75" customHeight="1" x14ac:dyDescent="0.25">
      <c r="A797" s="4"/>
      <c r="B797" s="4"/>
      <c r="C797" s="4"/>
    </row>
    <row r="798" spans="1:3" ht="15.75" customHeight="1" x14ac:dyDescent="0.25">
      <c r="A798" s="4"/>
      <c r="B798" s="4"/>
      <c r="C798" s="4"/>
    </row>
    <row r="799" spans="1:3" ht="15.75" customHeight="1" x14ac:dyDescent="0.25">
      <c r="A799" s="4"/>
      <c r="B799" s="4"/>
      <c r="C799" s="4"/>
    </row>
    <row r="800" spans="1:3" ht="15.75" customHeight="1" x14ac:dyDescent="0.25">
      <c r="A800" s="4"/>
      <c r="B800" s="4"/>
      <c r="C800" s="4"/>
    </row>
    <row r="801" spans="1:3" ht="15.75" customHeight="1" x14ac:dyDescent="0.25">
      <c r="A801" s="4"/>
      <c r="B801" s="4"/>
      <c r="C801" s="4"/>
    </row>
    <row r="802" spans="1:3" ht="15.75" customHeight="1" x14ac:dyDescent="0.25">
      <c r="A802" s="4"/>
      <c r="B802" s="4"/>
      <c r="C802" s="4"/>
    </row>
    <row r="803" spans="1:3" ht="15.75" customHeight="1" x14ac:dyDescent="0.25">
      <c r="A803" s="4"/>
      <c r="B803" s="4"/>
      <c r="C803" s="4"/>
    </row>
    <row r="804" spans="1:3" ht="15.75" customHeight="1" x14ac:dyDescent="0.25">
      <c r="A804" s="4"/>
      <c r="B804" s="4"/>
      <c r="C804" s="4"/>
    </row>
    <row r="805" spans="1:3" ht="15.75" customHeight="1" x14ac:dyDescent="0.25">
      <c r="A805" s="4"/>
      <c r="B805" s="4"/>
      <c r="C805" s="4"/>
    </row>
    <row r="806" spans="1:3" ht="15.75" customHeight="1" x14ac:dyDescent="0.25">
      <c r="A806" s="4"/>
      <c r="B806" s="4"/>
      <c r="C806" s="4"/>
    </row>
    <row r="807" spans="1:3" ht="15.75" customHeight="1" x14ac:dyDescent="0.25">
      <c r="A807" s="4"/>
      <c r="B807" s="4"/>
      <c r="C807" s="4"/>
    </row>
    <row r="808" spans="1:3" ht="15.75" customHeight="1" x14ac:dyDescent="0.25">
      <c r="A808" s="4"/>
      <c r="B808" s="4"/>
      <c r="C808" s="4"/>
    </row>
    <row r="809" spans="1:3" ht="15.75" customHeight="1" x14ac:dyDescent="0.25">
      <c r="A809" s="4"/>
      <c r="B809" s="4"/>
      <c r="C809" s="4"/>
    </row>
    <row r="810" spans="1:3" ht="15.75" customHeight="1" x14ac:dyDescent="0.25">
      <c r="A810" s="4"/>
      <c r="B810" s="4"/>
      <c r="C810" s="4"/>
    </row>
    <row r="811" spans="1:3" ht="15.75" customHeight="1" x14ac:dyDescent="0.25">
      <c r="A811" s="4"/>
      <c r="B811" s="4"/>
      <c r="C811" s="4"/>
    </row>
    <row r="812" spans="1:3" ht="15.75" customHeight="1" x14ac:dyDescent="0.25">
      <c r="A812" s="4"/>
      <c r="B812" s="4"/>
      <c r="C812" s="4"/>
    </row>
    <row r="813" spans="1:3" ht="15.75" customHeight="1" x14ac:dyDescent="0.25">
      <c r="A813" s="4"/>
      <c r="B813" s="4"/>
      <c r="C813" s="4"/>
    </row>
    <row r="814" spans="1:3" ht="15.75" customHeight="1" x14ac:dyDescent="0.25">
      <c r="A814" s="4"/>
      <c r="B814" s="4"/>
      <c r="C814" s="4"/>
    </row>
    <row r="815" spans="1:3" ht="15.75" customHeight="1" x14ac:dyDescent="0.25">
      <c r="A815" s="4"/>
      <c r="B815" s="4"/>
      <c r="C815" s="4"/>
    </row>
    <row r="816" spans="1:3" ht="15.75" customHeight="1" x14ac:dyDescent="0.25">
      <c r="A816" s="4"/>
      <c r="B816" s="4"/>
      <c r="C816" s="4"/>
    </row>
    <row r="817" spans="1:3" ht="15.75" customHeight="1" x14ac:dyDescent="0.25">
      <c r="A817" s="4"/>
      <c r="B817" s="4"/>
      <c r="C817" s="4"/>
    </row>
    <row r="818" spans="1:3" ht="15.75" customHeight="1" x14ac:dyDescent="0.25">
      <c r="A818" s="4"/>
      <c r="B818" s="4"/>
      <c r="C818" s="4"/>
    </row>
    <row r="819" spans="1:3" ht="15.75" customHeight="1" x14ac:dyDescent="0.25">
      <c r="A819" s="4"/>
      <c r="B819" s="4"/>
      <c r="C819" s="4"/>
    </row>
    <row r="820" spans="1:3" ht="15.75" customHeight="1" x14ac:dyDescent="0.25">
      <c r="A820" s="4"/>
      <c r="B820" s="4"/>
      <c r="C820" s="4"/>
    </row>
    <row r="821" spans="1:3" ht="15.75" customHeight="1" x14ac:dyDescent="0.25">
      <c r="A821" s="4"/>
      <c r="B821" s="4"/>
      <c r="C821" s="4"/>
    </row>
    <row r="822" spans="1:3" ht="15.75" customHeight="1" x14ac:dyDescent="0.25">
      <c r="A822" s="4"/>
      <c r="B822" s="4"/>
      <c r="C822" s="4"/>
    </row>
    <row r="823" spans="1:3" ht="15.75" customHeight="1" x14ac:dyDescent="0.25">
      <c r="A823" s="4"/>
      <c r="B823" s="4"/>
      <c r="C823" s="4"/>
    </row>
    <row r="824" spans="1:3" ht="15.75" customHeight="1" x14ac:dyDescent="0.25">
      <c r="A824" s="4"/>
      <c r="B824" s="4"/>
      <c r="C824" s="4"/>
    </row>
    <row r="825" spans="1:3" ht="15.75" customHeight="1" x14ac:dyDescent="0.25">
      <c r="A825" s="4"/>
      <c r="B825" s="4"/>
      <c r="C825" s="4"/>
    </row>
    <row r="826" spans="1:3" ht="15.75" customHeight="1" x14ac:dyDescent="0.25">
      <c r="A826" s="4"/>
      <c r="B826" s="4"/>
      <c r="C826" s="4"/>
    </row>
    <row r="827" spans="1:3" ht="15.75" customHeight="1" x14ac:dyDescent="0.25">
      <c r="A827" s="4"/>
      <c r="B827" s="4"/>
      <c r="C827" s="4"/>
    </row>
    <row r="828" spans="1:3" ht="15.75" customHeight="1" x14ac:dyDescent="0.25">
      <c r="A828" s="4"/>
      <c r="B828" s="4"/>
      <c r="C828" s="4"/>
    </row>
    <row r="829" spans="1:3" ht="15.75" customHeight="1" x14ac:dyDescent="0.25">
      <c r="A829" s="4"/>
      <c r="B829" s="4"/>
      <c r="C829" s="4"/>
    </row>
    <row r="830" spans="1:3" ht="15.75" customHeight="1" x14ac:dyDescent="0.25">
      <c r="A830" s="4"/>
      <c r="B830" s="4"/>
      <c r="C830" s="4"/>
    </row>
    <row r="831" spans="1:3" ht="15.75" customHeight="1" x14ac:dyDescent="0.25">
      <c r="A831" s="4"/>
      <c r="B831" s="4"/>
      <c r="C831" s="4"/>
    </row>
    <row r="832" spans="1:3" ht="15.75" customHeight="1" x14ac:dyDescent="0.25">
      <c r="A832" s="4"/>
      <c r="B832" s="4"/>
      <c r="C832" s="4"/>
    </row>
    <row r="833" spans="1:3" ht="15.75" customHeight="1" x14ac:dyDescent="0.25">
      <c r="A833" s="4"/>
      <c r="B833" s="4"/>
      <c r="C833" s="4"/>
    </row>
    <row r="834" spans="1:3" ht="15.75" customHeight="1" x14ac:dyDescent="0.25">
      <c r="A834" s="4"/>
      <c r="B834" s="4"/>
      <c r="C834" s="4"/>
    </row>
    <row r="835" spans="1:3" ht="15.75" customHeight="1" x14ac:dyDescent="0.25">
      <c r="A835" s="4"/>
      <c r="B835" s="4"/>
      <c r="C835" s="4"/>
    </row>
    <row r="836" spans="1:3" ht="15.75" customHeight="1" x14ac:dyDescent="0.25">
      <c r="A836" s="4"/>
      <c r="B836" s="4"/>
      <c r="C836" s="4"/>
    </row>
    <row r="837" spans="1:3" ht="15.75" customHeight="1" x14ac:dyDescent="0.25">
      <c r="A837" s="4"/>
      <c r="B837" s="4"/>
      <c r="C837" s="4"/>
    </row>
    <row r="838" spans="1:3" ht="15.75" customHeight="1" x14ac:dyDescent="0.25">
      <c r="A838" s="4"/>
      <c r="B838" s="4"/>
      <c r="C838" s="4"/>
    </row>
    <row r="839" spans="1:3" ht="15.75" customHeight="1" x14ac:dyDescent="0.25">
      <c r="A839" s="4"/>
      <c r="B839" s="4"/>
      <c r="C839" s="4"/>
    </row>
    <row r="840" spans="1:3" ht="15.75" customHeight="1" x14ac:dyDescent="0.25">
      <c r="A840" s="4"/>
      <c r="B840" s="4"/>
      <c r="C840" s="4"/>
    </row>
    <row r="841" spans="1:3" ht="15.75" customHeight="1" x14ac:dyDescent="0.25">
      <c r="A841" s="4"/>
      <c r="B841" s="4"/>
      <c r="C841" s="4"/>
    </row>
    <row r="842" spans="1:3" ht="15.75" customHeight="1" x14ac:dyDescent="0.25">
      <c r="A842" s="4"/>
      <c r="B842" s="4"/>
      <c r="C842" s="4"/>
    </row>
    <row r="843" spans="1:3" ht="15.75" customHeight="1" x14ac:dyDescent="0.25">
      <c r="A843" s="4"/>
      <c r="B843" s="4"/>
      <c r="C843" s="4"/>
    </row>
    <row r="844" spans="1:3" ht="15.75" customHeight="1" x14ac:dyDescent="0.25">
      <c r="A844" s="4"/>
      <c r="B844" s="4"/>
      <c r="C844" s="4"/>
    </row>
    <row r="845" spans="1:3" ht="15.75" customHeight="1" x14ac:dyDescent="0.25">
      <c r="A845" s="4"/>
      <c r="B845" s="4"/>
      <c r="C845" s="4"/>
    </row>
    <row r="846" spans="1:3" ht="15.75" customHeight="1" x14ac:dyDescent="0.25">
      <c r="A846" s="4"/>
      <c r="B846" s="4"/>
      <c r="C846" s="4"/>
    </row>
    <row r="847" spans="1:3" ht="15.75" customHeight="1" x14ac:dyDescent="0.25">
      <c r="A847" s="4"/>
      <c r="B847" s="4"/>
      <c r="C847" s="4"/>
    </row>
    <row r="848" spans="1:3" ht="15.75" customHeight="1" x14ac:dyDescent="0.25">
      <c r="A848" s="4"/>
      <c r="B848" s="4"/>
      <c r="C848" s="4"/>
    </row>
    <row r="849" spans="1:3" ht="15.75" customHeight="1" x14ac:dyDescent="0.25">
      <c r="A849" s="4"/>
      <c r="B849" s="4"/>
      <c r="C849" s="4"/>
    </row>
    <row r="850" spans="1:3" ht="15.75" customHeight="1" x14ac:dyDescent="0.25">
      <c r="A850" s="4"/>
      <c r="B850" s="4"/>
      <c r="C850" s="4"/>
    </row>
    <row r="851" spans="1:3" ht="15.75" customHeight="1" x14ac:dyDescent="0.25">
      <c r="A851" s="4"/>
      <c r="B851" s="4"/>
      <c r="C851" s="4"/>
    </row>
    <row r="852" spans="1:3" ht="15.75" customHeight="1" x14ac:dyDescent="0.25">
      <c r="A852" s="4"/>
      <c r="B852" s="4"/>
      <c r="C852" s="4"/>
    </row>
    <row r="853" spans="1:3" ht="15.75" customHeight="1" x14ac:dyDescent="0.25">
      <c r="A853" s="4"/>
      <c r="B853" s="4"/>
      <c r="C853" s="4"/>
    </row>
    <row r="854" spans="1:3" ht="15.75" customHeight="1" x14ac:dyDescent="0.25">
      <c r="A854" s="4"/>
      <c r="B854" s="4"/>
      <c r="C854" s="4"/>
    </row>
    <row r="855" spans="1:3" ht="15.75" customHeight="1" x14ac:dyDescent="0.25">
      <c r="A855" s="4"/>
      <c r="B855" s="4"/>
      <c r="C855" s="4"/>
    </row>
    <row r="856" spans="1:3" ht="15.75" customHeight="1" x14ac:dyDescent="0.25">
      <c r="A856" s="4"/>
      <c r="B856" s="4"/>
      <c r="C856" s="4"/>
    </row>
    <row r="857" spans="1:3" ht="15.75" customHeight="1" x14ac:dyDescent="0.25">
      <c r="A857" s="4"/>
      <c r="B857" s="4"/>
      <c r="C857" s="4"/>
    </row>
    <row r="858" spans="1:3" ht="15.75" customHeight="1" x14ac:dyDescent="0.25">
      <c r="A858" s="4"/>
      <c r="B858" s="4"/>
      <c r="C858" s="4"/>
    </row>
    <row r="859" spans="1:3" ht="15.75" customHeight="1" x14ac:dyDescent="0.25">
      <c r="A859" s="4"/>
      <c r="B859" s="4"/>
      <c r="C859" s="4"/>
    </row>
    <row r="860" spans="1:3" ht="15.75" customHeight="1" x14ac:dyDescent="0.25">
      <c r="A860" s="4"/>
      <c r="B860" s="4"/>
      <c r="C860" s="4"/>
    </row>
    <row r="861" spans="1:3" ht="15.75" customHeight="1" x14ac:dyDescent="0.25">
      <c r="A861" s="4"/>
      <c r="B861" s="4"/>
      <c r="C861" s="4"/>
    </row>
    <row r="862" spans="1:3" ht="15.75" customHeight="1" x14ac:dyDescent="0.25">
      <c r="A862" s="4"/>
      <c r="B862" s="4"/>
      <c r="C862" s="4"/>
    </row>
    <row r="863" spans="1:3" ht="15.75" customHeight="1" x14ac:dyDescent="0.25">
      <c r="A863" s="4"/>
      <c r="B863" s="4"/>
      <c r="C863" s="4"/>
    </row>
    <row r="864" spans="1:3" ht="15.75" customHeight="1" x14ac:dyDescent="0.25">
      <c r="A864" s="4"/>
      <c r="B864" s="4"/>
      <c r="C864" s="4"/>
    </row>
    <row r="865" spans="1:3" ht="15.75" customHeight="1" x14ac:dyDescent="0.25">
      <c r="A865" s="4"/>
      <c r="B865" s="4"/>
      <c r="C865" s="4"/>
    </row>
    <row r="866" spans="1:3" ht="15.75" customHeight="1" x14ac:dyDescent="0.25">
      <c r="A866" s="4"/>
      <c r="B866" s="4"/>
      <c r="C866" s="4"/>
    </row>
    <row r="867" spans="1:3" ht="15.75" customHeight="1" x14ac:dyDescent="0.25">
      <c r="A867" s="4"/>
      <c r="B867" s="4"/>
      <c r="C867" s="4"/>
    </row>
    <row r="868" spans="1:3" ht="15.75" customHeight="1" x14ac:dyDescent="0.25">
      <c r="A868" s="4"/>
      <c r="B868" s="4"/>
      <c r="C868" s="4"/>
    </row>
    <row r="869" spans="1:3" ht="15.75" customHeight="1" x14ac:dyDescent="0.25">
      <c r="A869" s="4"/>
      <c r="B869" s="4"/>
      <c r="C869" s="4"/>
    </row>
    <row r="870" spans="1:3" ht="15.75" customHeight="1" x14ac:dyDescent="0.25">
      <c r="A870" s="4"/>
      <c r="B870" s="4"/>
      <c r="C870" s="4"/>
    </row>
    <row r="871" spans="1:3" ht="15.75" customHeight="1" x14ac:dyDescent="0.25">
      <c r="A871" s="4"/>
      <c r="B871" s="4"/>
      <c r="C871" s="4"/>
    </row>
    <row r="872" spans="1:3" ht="15.75" customHeight="1" x14ac:dyDescent="0.25">
      <c r="A872" s="4"/>
      <c r="B872" s="4"/>
      <c r="C872" s="4"/>
    </row>
    <row r="873" spans="1:3" ht="15.75" customHeight="1" x14ac:dyDescent="0.25">
      <c r="A873" s="4"/>
      <c r="B873" s="4"/>
      <c r="C873" s="4"/>
    </row>
    <row r="874" spans="1:3" ht="15.75" customHeight="1" x14ac:dyDescent="0.25">
      <c r="A874" s="4"/>
      <c r="B874" s="4"/>
      <c r="C874" s="4"/>
    </row>
    <row r="875" spans="1:3" ht="15.75" customHeight="1" x14ac:dyDescent="0.25">
      <c r="A875" s="4"/>
      <c r="B875" s="4"/>
      <c r="C875" s="4"/>
    </row>
    <row r="876" spans="1:3" ht="15.75" customHeight="1" x14ac:dyDescent="0.25">
      <c r="A876" s="4"/>
      <c r="B876" s="4"/>
      <c r="C876" s="4"/>
    </row>
    <row r="877" spans="1:3" ht="15.75" customHeight="1" x14ac:dyDescent="0.25">
      <c r="A877" s="4"/>
      <c r="B877" s="4"/>
      <c r="C877" s="4"/>
    </row>
    <row r="878" spans="1:3" ht="15.75" customHeight="1" x14ac:dyDescent="0.25">
      <c r="A878" s="4"/>
      <c r="B878" s="4"/>
      <c r="C878" s="4"/>
    </row>
    <row r="879" spans="1:3" ht="15.75" customHeight="1" x14ac:dyDescent="0.25">
      <c r="A879" s="4"/>
      <c r="B879" s="4"/>
      <c r="C879" s="4"/>
    </row>
    <row r="880" spans="1:3" ht="15.75" customHeight="1" x14ac:dyDescent="0.25">
      <c r="A880" s="4"/>
      <c r="B880" s="4"/>
      <c r="C880" s="4"/>
    </row>
    <row r="881" spans="1:3" ht="15.75" customHeight="1" x14ac:dyDescent="0.25">
      <c r="A881" s="4"/>
      <c r="B881" s="4"/>
      <c r="C881" s="4"/>
    </row>
    <row r="882" spans="1:3" ht="15.75" customHeight="1" x14ac:dyDescent="0.25">
      <c r="A882" s="4"/>
      <c r="B882" s="4"/>
      <c r="C882" s="4"/>
    </row>
    <row r="883" spans="1:3" ht="15.75" customHeight="1" x14ac:dyDescent="0.25">
      <c r="A883" s="4"/>
      <c r="B883" s="4"/>
      <c r="C883" s="4"/>
    </row>
    <row r="884" spans="1:3" ht="15.75" customHeight="1" x14ac:dyDescent="0.25">
      <c r="A884" s="4"/>
      <c r="B884" s="4"/>
      <c r="C884" s="4"/>
    </row>
    <row r="885" spans="1:3" ht="15.75" customHeight="1" x14ac:dyDescent="0.25">
      <c r="A885" s="4"/>
      <c r="B885" s="4"/>
      <c r="C885" s="4"/>
    </row>
    <row r="886" spans="1:3" ht="15.75" customHeight="1" x14ac:dyDescent="0.25">
      <c r="A886" s="4"/>
      <c r="B886" s="4"/>
      <c r="C886" s="4"/>
    </row>
    <row r="887" spans="1:3" ht="15.75" customHeight="1" x14ac:dyDescent="0.25">
      <c r="A887" s="4"/>
      <c r="B887" s="4"/>
      <c r="C887" s="4"/>
    </row>
    <row r="888" spans="1:3" ht="15.75" customHeight="1" x14ac:dyDescent="0.25">
      <c r="A888" s="4"/>
      <c r="B888" s="4"/>
      <c r="C888" s="4"/>
    </row>
    <row r="889" spans="1:3" ht="15.75" customHeight="1" x14ac:dyDescent="0.25">
      <c r="A889" s="4"/>
      <c r="B889" s="4"/>
      <c r="C889" s="4"/>
    </row>
    <row r="890" spans="1:3" ht="15.75" customHeight="1" x14ac:dyDescent="0.25">
      <c r="A890" s="4"/>
      <c r="B890" s="4"/>
      <c r="C890" s="4"/>
    </row>
    <row r="891" spans="1:3" ht="15.75" customHeight="1" x14ac:dyDescent="0.25">
      <c r="A891" s="4"/>
      <c r="B891" s="4"/>
      <c r="C891" s="4"/>
    </row>
    <row r="892" spans="1:3" ht="15.75" customHeight="1" x14ac:dyDescent="0.25">
      <c r="A892" s="4"/>
      <c r="B892" s="4"/>
      <c r="C892" s="4"/>
    </row>
    <row r="893" spans="1:3" ht="15.75" customHeight="1" x14ac:dyDescent="0.25">
      <c r="A893" s="4"/>
      <c r="B893" s="4"/>
      <c r="C893" s="4"/>
    </row>
    <row r="894" spans="1:3" ht="15.75" customHeight="1" x14ac:dyDescent="0.25">
      <c r="A894" s="4"/>
      <c r="B894" s="4"/>
      <c r="C894" s="4"/>
    </row>
    <row r="895" spans="1:3" ht="15.75" customHeight="1" x14ac:dyDescent="0.25">
      <c r="A895" s="4"/>
      <c r="B895" s="4"/>
      <c r="C895" s="4"/>
    </row>
    <row r="896" spans="1:3" ht="15.75" customHeight="1" x14ac:dyDescent="0.25">
      <c r="A896" s="4"/>
      <c r="B896" s="4"/>
      <c r="C896" s="4"/>
    </row>
    <row r="897" spans="1:3" ht="15.75" customHeight="1" x14ac:dyDescent="0.25">
      <c r="A897" s="4"/>
      <c r="B897" s="4"/>
      <c r="C897" s="4"/>
    </row>
    <row r="898" spans="1:3" ht="15.75" customHeight="1" x14ac:dyDescent="0.25">
      <c r="A898" s="4"/>
      <c r="B898" s="4"/>
      <c r="C898" s="4"/>
    </row>
    <row r="899" spans="1:3" ht="15.75" customHeight="1" x14ac:dyDescent="0.25">
      <c r="A899" s="4"/>
      <c r="B899" s="4"/>
      <c r="C899" s="4"/>
    </row>
    <row r="900" spans="1:3" ht="15.75" customHeight="1" x14ac:dyDescent="0.25">
      <c r="A900" s="4"/>
      <c r="B900" s="4"/>
      <c r="C900" s="4"/>
    </row>
    <row r="901" spans="1:3" ht="15.75" customHeight="1" x14ac:dyDescent="0.25">
      <c r="A901" s="4"/>
      <c r="B901" s="4"/>
      <c r="C901" s="4"/>
    </row>
    <row r="902" spans="1:3" ht="15.75" customHeight="1" x14ac:dyDescent="0.25">
      <c r="A902" s="4"/>
      <c r="B902" s="4"/>
      <c r="C902" s="4"/>
    </row>
    <row r="903" spans="1:3" ht="15.75" customHeight="1" x14ac:dyDescent="0.25">
      <c r="A903" s="4"/>
      <c r="B903" s="4"/>
      <c r="C903" s="4"/>
    </row>
    <row r="904" spans="1:3" ht="15.75" customHeight="1" x14ac:dyDescent="0.25">
      <c r="A904" s="4"/>
      <c r="B904" s="4"/>
      <c r="C904" s="4"/>
    </row>
    <row r="905" spans="1:3" ht="15.75" customHeight="1" x14ac:dyDescent="0.25">
      <c r="A905" s="4"/>
      <c r="B905" s="4"/>
      <c r="C905" s="4"/>
    </row>
    <row r="906" spans="1:3" ht="15.75" customHeight="1" x14ac:dyDescent="0.25">
      <c r="A906" s="4"/>
      <c r="B906" s="4"/>
      <c r="C906" s="4"/>
    </row>
    <row r="907" spans="1:3" ht="15.75" customHeight="1" x14ac:dyDescent="0.25">
      <c r="A907" s="4"/>
      <c r="B907" s="4"/>
      <c r="C907" s="4"/>
    </row>
    <row r="908" spans="1:3" ht="15.75" customHeight="1" x14ac:dyDescent="0.25">
      <c r="A908" s="4"/>
      <c r="B908" s="4"/>
      <c r="C908" s="4"/>
    </row>
    <row r="909" spans="1:3" ht="15.75" customHeight="1" x14ac:dyDescent="0.25">
      <c r="A909" s="4"/>
      <c r="B909" s="4"/>
      <c r="C909" s="4"/>
    </row>
    <row r="910" spans="1:3" ht="15.75" customHeight="1" x14ac:dyDescent="0.25">
      <c r="A910" s="4"/>
      <c r="B910" s="4"/>
      <c r="C910" s="4"/>
    </row>
    <row r="911" spans="1:3" ht="15.75" customHeight="1" x14ac:dyDescent="0.25">
      <c r="A911" s="4"/>
      <c r="B911" s="4"/>
      <c r="C911" s="4"/>
    </row>
    <row r="912" spans="1:3" ht="15.75" customHeight="1" x14ac:dyDescent="0.25">
      <c r="A912" s="4"/>
      <c r="B912" s="4"/>
      <c r="C912" s="4"/>
    </row>
    <row r="913" spans="1:3" ht="15.75" customHeight="1" x14ac:dyDescent="0.25">
      <c r="A913" s="4"/>
      <c r="B913" s="4"/>
      <c r="C913" s="4"/>
    </row>
    <row r="914" spans="1:3" ht="15.75" customHeight="1" x14ac:dyDescent="0.25">
      <c r="A914" s="4"/>
      <c r="B914" s="4"/>
      <c r="C914" s="4"/>
    </row>
    <row r="915" spans="1:3" ht="15.75" customHeight="1" x14ac:dyDescent="0.25">
      <c r="A915" s="4"/>
      <c r="B915" s="4"/>
      <c r="C915" s="4"/>
    </row>
    <row r="916" spans="1:3" ht="15.75" customHeight="1" x14ac:dyDescent="0.25">
      <c r="A916" s="4"/>
      <c r="B916" s="4"/>
      <c r="C916" s="4"/>
    </row>
    <row r="917" spans="1:3" ht="15.75" customHeight="1" x14ac:dyDescent="0.25">
      <c r="A917" s="4"/>
      <c r="B917" s="4"/>
      <c r="C917" s="4"/>
    </row>
    <row r="918" spans="1:3" ht="15.75" customHeight="1" x14ac:dyDescent="0.25">
      <c r="A918" s="4"/>
      <c r="B918" s="4"/>
      <c r="C918" s="4"/>
    </row>
    <row r="919" spans="1:3" ht="15.75" customHeight="1" x14ac:dyDescent="0.25">
      <c r="A919" s="4"/>
      <c r="B919" s="4"/>
      <c r="C919" s="4"/>
    </row>
    <row r="920" spans="1:3" ht="15.75" customHeight="1" x14ac:dyDescent="0.25">
      <c r="A920" s="4"/>
      <c r="B920" s="4"/>
      <c r="C920" s="4"/>
    </row>
    <row r="921" spans="1:3" ht="15.75" customHeight="1" x14ac:dyDescent="0.25">
      <c r="A921" s="4"/>
      <c r="B921" s="4"/>
      <c r="C921" s="4"/>
    </row>
    <row r="922" spans="1:3" ht="15.75" customHeight="1" x14ac:dyDescent="0.25">
      <c r="A922" s="4"/>
      <c r="B922" s="4"/>
      <c r="C922" s="4"/>
    </row>
    <row r="923" spans="1:3" ht="15.75" customHeight="1" x14ac:dyDescent="0.25">
      <c r="A923" s="4"/>
      <c r="B923" s="4"/>
      <c r="C923" s="4"/>
    </row>
    <row r="924" spans="1:3" ht="15.75" customHeight="1" x14ac:dyDescent="0.25">
      <c r="A924" s="4"/>
      <c r="B924" s="4"/>
      <c r="C924" s="4"/>
    </row>
    <row r="925" spans="1:3" ht="15.75" customHeight="1" x14ac:dyDescent="0.25">
      <c r="A925" s="4"/>
      <c r="B925" s="4"/>
      <c r="C925" s="4"/>
    </row>
    <row r="926" spans="1:3" ht="15.75" customHeight="1" x14ac:dyDescent="0.25">
      <c r="A926" s="4"/>
      <c r="B926" s="4"/>
      <c r="C926" s="4"/>
    </row>
    <row r="927" spans="1:3" ht="15.75" customHeight="1" x14ac:dyDescent="0.25">
      <c r="A927" s="4"/>
      <c r="B927" s="4"/>
      <c r="C927" s="4"/>
    </row>
    <row r="928" spans="1:3" ht="15.75" customHeight="1" x14ac:dyDescent="0.25">
      <c r="A928" s="4"/>
      <c r="B928" s="4"/>
      <c r="C928" s="4"/>
    </row>
    <row r="929" spans="1:3" ht="15.75" customHeight="1" x14ac:dyDescent="0.25">
      <c r="A929" s="4"/>
      <c r="B929" s="4"/>
      <c r="C929" s="4"/>
    </row>
    <row r="930" spans="1:3" ht="15.75" customHeight="1" x14ac:dyDescent="0.25">
      <c r="A930" s="4"/>
      <c r="B930" s="4"/>
      <c r="C930" s="4"/>
    </row>
    <row r="931" spans="1:3" ht="15.75" customHeight="1" x14ac:dyDescent="0.25">
      <c r="A931" s="4"/>
      <c r="B931" s="4"/>
      <c r="C931" s="4"/>
    </row>
    <row r="932" spans="1:3" ht="15.75" customHeight="1" x14ac:dyDescent="0.25">
      <c r="A932" s="4"/>
      <c r="B932" s="4"/>
      <c r="C932" s="4"/>
    </row>
    <row r="933" spans="1:3" ht="15.75" customHeight="1" x14ac:dyDescent="0.25">
      <c r="A933" s="4"/>
      <c r="B933" s="4"/>
      <c r="C933" s="4"/>
    </row>
    <row r="934" spans="1:3" ht="15.75" customHeight="1" x14ac:dyDescent="0.25">
      <c r="A934" s="4"/>
      <c r="B934" s="4"/>
      <c r="C934" s="4"/>
    </row>
    <row r="935" spans="1:3" ht="15.75" customHeight="1" x14ac:dyDescent="0.25">
      <c r="A935" s="4"/>
      <c r="B935" s="4"/>
      <c r="C935" s="4"/>
    </row>
    <row r="936" spans="1:3" ht="15.75" customHeight="1" x14ac:dyDescent="0.25">
      <c r="A936" s="4"/>
      <c r="B936" s="4"/>
      <c r="C936" s="4"/>
    </row>
    <row r="937" spans="1:3" ht="15.75" customHeight="1" x14ac:dyDescent="0.25">
      <c r="A937" s="4"/>
      <c r="B937" s="4"/>
      <c r="C937" s="4"/>
    </row>
    <row r="938" spans="1:3" ht="15.75" customHeight="1" x14ac:dyDescent="0.25">
      <c r="A938" s="4"/>
      <c r="B938" s="4"/>
      <c r="C938" s="4"/>
    </row>
    <row r="939" spans="1:3" ht="15.75" customHeight="1" x14ac:dyDescent="0.25">
      <c r="A939" s="4"/>
      <c r="B939" s="4"/>
      <c r="C939" s="4"/>
    </row>
    <row r="940" spans="1:3" ht="15.75" customHeight="1" x14ac:dyDescent="0.25">
      <c r="A940" s="4"/>
      <c r="B940" s="4"/>
      <c r="C940" s="4"/>
    </row>
    <row r="941" spans="1:3" ht="15.75" customHeight="1" x14ac:dyDescent="0.25">
      <c r="A941" s="4"/>
      <c r="B941" s="4"/>
      <c r="C941" s="4"/>
    </row>
    <row r="942" spans="1:3" ht="15.75" customHeight="1" x14ac:dyDescent="0.25">
      <c r="A942" s="4"/>
      <c r="B942" s="4"/>
      <c r="C942" s="4"/>
    </row>
    <row r="943" spans="1:3" ht="15.75" customHeight="1" x14ac:dyDescent="0.25">
      <c r="A943" s="4"/>
      <c r="B943" s="4"/>
      <c r="C943" s="4"/>
    </row>
    <row r="944" spans="1:3" ht="15.75" customHeight="1" x14ac:dyDescent="0.25">
      <c r="A944" s="4"/>
      <c r="B944" s="4"/>
      <c r="C944" s="4"/>
    </row>
    <row r="945" spans="1:3" ht="15.75" customHeight="1" x14ac:dyDescent="0.25">
      <c r="A945" s="4"/>
      <c r="B945" s="4"/>
      <c r="C945" s="4"/>
    </row>
    <row r="946" spans="1:3" ht="15.75" customHeight="1" x14ac:dyDescent="0.25">
      <c r="A946" s="4"/>
      <c r="B946" s="4"/>
      <c r="C946" s="4"/>
    </row>
    <row r="947" spans="1:3" ht="15.75" customHeight="1" x14ac:dyDescent="0.25">
      <c r="A947" s="4"/>
      <c r="B947" s="4"/>
      <c r="C947" s="4"/>
    </row>
    <row r="948" spans="1:3" ht="15.75" customHeight="1" x14ac:dyDescent="0.25">
      <c r="A948" s="4"/>
      <c r="B948" s="4"/>
      <c r="C948" s="4"/>
    </row>
    <row r="949" spans="1:3" ht="15.75" customHeight="1" x14ac:dyDescent="0.25">
      <c r="A949" s="4"/>
      <c r="B949" s="4"/>
      <c r="C949" s="4"/>
    </row>
    <row r="950" spans="1:3" ht="15.75" customHeight="1" x14ac:dyDescent="0.25">
      <c r="A950" s="4"/>
      <c r="B950" s="4"/>
      <c r="C950" s="4"/>
    </row>
    <row r="951" spans="1:3" ht="15.75" customHeight="1" x14ac:dyDescent="0.25">
      <c r="A951" s="4"/>
      <c r="B951" s="4"/>
      <c r="C951" s="4"/>
    </row>
    <row r="952" spans="1:3" ht="15.75" customHeight="1" x14ac:dyDescent="0.25">
      <c r="A952" s="4"/>
      <c r="B952" s="4"/>
      <c r="C952" s="4"/>
    </row>
    <row r="953" spans="1:3" ht="15.75" customHeight="1" x14ac:dyDescent="0.25">
      <c r="A953" s="4"/>
      <c r="B953" s="4"/>
      <c r="C953" s="4"/>
    </row>
    <row r="954" spans="1:3" ht="15.75" customHeight="1" x14ac:dyDescent="0.25">
      <c r="A954" s="4"/>
      <c r="B954" s="4"/>
      <c r="C954" s="4"/>
    </row>
    <row r="955" spans="1:3" ht="15.75" customHeight="1" x14ac:dyDescent="0.25">
      <c r="A955" s="4"/>
      <c r="B955" s="4"/>
      <c r="C955" s="4"/>
    </row>
    <row r="956" spans="1:3" ht="15.75" customHeight="1" x14ac:dyDescent="0.25">
      <c r="A956" s="4"/>
      <c r="B956" s="4"/>
      <c r="C956" s="4"/>
    </row>
    <row r="957" spans="1:3" ht="15.75" customHeight="1" x14ac:dyDescent="0.25">
      <c r="A957" s="4"/>
      <c r="B957" s="4"/>
      <c r="C957" s="4"/>
    </row>
    <row r="958" spans="1:3" ht="15.75" customHeight="1" x14ac:dyDescent="0.25">
      <c r="A958" s="4"/>
      <c r="B958" s="4"/>
      <c r="C958" s="4"/>
    </row>
    <row r="959" spans="1:3" ht="15.75" customHeight="1" x14ac:dyDescent="0.25">
      <c r="A959" s="4"/>
      <c r="B959" s="4"/>
      <c r="C959" s="4"/>
    </row>
    <row r="960" spans="1:3" ht="15.75" customHeight="1" x14ac:dyDescent="0.25">
      <c r="A960" s="4"/>
      <c r="B960" s="4"/>
      <c r="C960" s="4"/>
    </row>
    <row r="961" spans="1:3" ht="15.75" customHeight="1" x14ac:dyDescent="0.25">
      <c r="A961" s="4"/>
      <c r="B961" s="4"/>
      <c r="C961" s="4"/>
    </row>
    <row r="962" spans="1:3" ht="15.75" customHeight="1" x14ac:dyDescent="0.25">
      <c r="A962" s="4"/>
      <c r="B962" s="4"/>
      <c r="C962" s="4"/>
    </row>
    <row r="963" spans="1:3" ht="15.75" customHeight="1" x14ac:dyDescent="0.25">
      <c r="A963" s="4"/>
      <c r="B963" s="4"/>
      <c r="C963" s="4"/>
    </row>
    <row r="964" spans="1:3" ht="15.75" customHeight="1" x14ac:dyDescent="0.25">
      <c r="A964" s="4"/>
      <c r="B964" s="4"/>
      <c r="C964" s="4"/>
    </row>
    <row r="965" spans="1:3" ht="15.75" customHeight="1" x14ac:dyDescent="0.25">
      <c r="A965" s="4"/>
      <c r="B965" s="4"/>
      <c r="C965" s="4"/>
    </row>
    <row r="966" spans="1:3" ht="15.75" customHeight="1" x14ac:dyDescent="0.25">
      <c r="A966" s="4"/>
      <c r="B966" s="4"/>
      <c r="C966" s="4"/>
    </row>
    <row r="967" spans="1:3" ht="15.75" customHeight="1" x14ac:dyDescent="0.25">
      <c r="A967" s="4"/>
      <c r="B967" s="4"/>
      <c r="C967" s="4"/>
    </row>
    <row r="968" spans="1:3" ht="15.75" customHeight="1" x14ac:dyDescent="0.25">
      <c r="A968" s="4"/>
      <c r="B968" s="4"/>
      <c r="C968" s="4"/>
    </row>
    <row r="969" spans="1:3" ht="15.75" customHeight="1" x14ac:dyDescent="0.25">
      <c r="A969" s="4"/>
      <c r="B969" s="4"/>
      <c r="C969" s="4"/>
    </row>
    <row r="970" spans="1:3" ht="15.75" customHeight="1" x14ac:dyDescent="0.25">
      <c r="A970" s="4"/>
      <c r="B970" s="4"/>
      <c r="C970" s="4"/>
    </row>
    <row r="971" spans="1:3" ht="15.75" customHeight="1" x14ac:dyDescent="0.25">
      <c r="A971" s="4"/>
      <c r="B971" s="4"/>
      <c r="C971" s="4"/>
    </row>
    <row r="972" spans="1:3" ht="15.75" customHeight="1" x14ac:dyDescent="0.25">
      <c r="A972" s="4"/>
      <c r="B972" s="4"/>
      <c r="C972" s="4"/>
    </row>
    <row r="973" spans="1:3" ht="15.75" customHeight="1" x14ac:dyDescent="0.25">
      <c r="A973" s="4"/>
      <c r="B973" s="4"/>
      <c r="C973" s="4"/>
    </row>
    <row r="974" spans="1:3" ht="15.75" customHeight="1" x14ac:dyDescent="0.25">
      <c r="A974" s="4"/>
      <c r="B974" s="4"/>
      <c r="C974" s="4"/>
    </row>
    <row r="975" spans="1:3" ht="15.75" customHeight="1" x14ac:dyDescent="0.25">
      <c r="A975" s="4"/>
      <c r="B975" s="4"/>
      <c r="C975" s="4"/>
    </row>
    <row r="976" spans="1:3" ht="15.75" customHeight="1" x14ac:dyDescent="0.25">
      <c r="A976" s="4"/>
      <c r="B976" s="4"/>
      <c r="C976" s="4"/>
    </row>
    <row r="977" spans="1:3" ht="15.75" customHeight="1" x14ac:dyDescent="0.25">
      <c r="A977" s="4"/>
      <c r="B977" s="4"/>
      <c r="C977" s="4"/>
    </row>
    <row r="978" spans="1:3" ht="15.75" customHeight="1" x14ac:dyDescent="0.25">
      <c r="A978" s="4"/>
      <c r="B978" s="4"/>
      <c r="C978" s="4"/>
    </row>
    <row r="979" spans="1:3" ht="15.75" customHeight="1" x14ac:dyDescent="0.25">
      <c r="A979" s="4"/>
      <c r="B979" s="4"/>
      <c r="C979" s="4"/>
    </row>
    <row r="980" spans="1:3" ht="15.75" customHeight="1" x14ac:dyDescent="0.25">
      <c r="A980" s="4"/>
      <c r="B980" s="4"/>
      <c r="C980" s="4"/>
    </row>
    <row r="981" spans="1:3" ht="15.75" customHeight="1" x14ac:dyDescent="0.25">
      <c r="A981" s="4"/>
      <c r="B981" s="4"/>
      <c r="C981" s="4"/>
    </row>
    <row r="982" spans="1:3" ht="15.75" customHeight="1" x14ac:dyDescent="0.25">
      <c r="A982" s="4"/>
      <c r="B982" s="4"/>
      <c r="C982" s="4"/>
    </row>
    <row r="983" spans="1:3" ht="15.75" customHeight="1" x14ac:dyDescent="0.25">
      <c r="A983" s="4"/>
      <c r="B983" s="4"/>
      <c r="C983" s="4"/>
    </row>
    <row r="984" spans="1:3" ht="15.75" customHeight="1" x14ac:dyDescent="0.25">
      <c r="A984" s="4"/>
      <c r="B984" s="4"/>
      <c r="C984" s="4"/>
    </row>
    <row r="985" spans="1:3" ht="15.75" customHeight="1" x14ac:dyDescent="0.25">
      <c r="A985" s="4"/>
      <c r="B985" s="4"/>
      <c r="C985" s="4"/>
    </row>
    <row r="986" spans="1:3" ht="15.75" customHeight="1" x14ac:dyDescent="0.25">
      <c r="A986" s="4"/>
      <c r="B986" s="4"/>
      <c r="C986" s="4"/>
    </row>
    <row r="987" spans="1:3" ht="15.75" customHeight="1" x14ac:dyDescent="0.25">
      <c r="A987" s="4"/>
      <c r="B987" s="4"/>
      <c r="C987" s="4"/>
    </row>
    <row r="988" spans="1:3" ht="15.75" customHeight="1" x14ac:dyDescent="0.25">
      <c r="A988" s="4"/>
      <c r="B988" s="4"/>
      <c r="C988" s="4"/>
    </row>
    <row r="989" spans="1:3" ht="15.75" customHeight="1" x14ac:dyDescent="0.25">
      <c r="A989" s="4"/>
      <c r="B989" s="4"/>
      <c r="C989" s="4"/>
    </row>
    <row r="990" spans="1:3" ht="15.75" customHeight="1" x14ac:dyDescent="0.25">
      <c r="A990" s="4"/>
      <c r="B990" s="4"/>
      <c r="C990" s="4"/>
    </row>
    <row r="991" spans="1:3" ht="15.75" customHeight="1" x14ac:dyDescent="0.25">
      <c r="A991" s="4"/>
      <c r="B991" s="4"/>
      <c r="C991" s="4"/>
    </row>
    <row r="992" spans="1:3" ht="15.75" customHeight="1" x14ac:dyDescent="0.25">
      <c r="A992" s="4"/>
      <c r="B992" s="4"/>
      <c r="C992" s="4"/>
    </row>
    <row r="993" spans="1:3" ht="15.75" customHeight="1" x14ac:dyDescent="0.25">
      <c r="A993" s="4"/>
      <c r="B993" s="4"/>
      <c r="C993" s="4"/>
    </row>
    <row r="994" spans="1:3" ht="15.75" customHeight="1" x14ac:dyDescent="0.25">
      <c r="A994" s="4"/>
      <c r="B994" s="4"/>
      <c r="C994" s="4"/>
    </row>
    <row r="995" spans="1:3" ht="15.75" customHeight="1" x14ac:dyDescent="0.25">
      <c r="A995" s="4"/>
      <c r="B995" s="4"/>
      <c r="C995" s="4"/>
    </row>
    <row r="996" spans="1:3" ht="15.75" customHeight="1" x14ac:dyDescent="0.25">
      <c r="A996" s="4"/>
      <c r="B996" s="4"/>
      <c r="C996" s="4"/>
    </row>
    <row r="997" spans="1:3" ht="15.75" customHeight="1" x14ac:dyDescent="0.25">
      <c r="A997" s="4"/>
      <c r="B997" s="4"/>
      <c r="C997" s="4"/>
    </row>
    <row r="998" spans="1:3" ht="15.75" customHeight="1" x14ac:dyDescent="0.25">
      <c r="A998" s="4"/>
      <c r="B998" s="4"/>
      <c r="C998" s="4"/>
    </row>
    <row r="999" spans="1:3" ht="15.75" customHeight="1" x14ac:dyDescent="0.25">
      <c r="A999" s="4"/>
      <c r="B999" s="4"/>
      <c r="C999" s="4"/>
    </row>
    <row r="1000" spans="1:3" ht="15.75" customHeight="1" x14ac:dyDescent="0.25">
      <c r="A1000" s="4"/>
      <c r="B1000" s="4"/>
      <c r="C1000" s="4"/>
    </row>
  </sheetData>
  <conditionalFormatting sqref="B40">
    <cfRule type="expression" dxfId="15" priority="1">
      <formula>LEFT(B40,1)="✅"</formula>
    </cfRule>
    <cfRule type="expression" dxfId="14" priority="2">
      <formula>ISNUMBER(SEARCH("retard",B40))</formula>
    </cfRule>
    <cfRule type="expression" dxfId="13" priority="3">
      <formula>ISNUMBER(SEARCH("Mitigé",B40))</formula>
    </cfRule>
  </conditionalFormatting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46" customWidth="1"/>
    <col min="2" max="2" width="16" customWidth="1"/>
    <col min="3" max="3" width="60" customWidth="1"/>
    <col min="4" max="26" width="8.7109375" customWidth="1"/>
  </cols>
  <sheetData>
    <row r="1" spans="1:3" ht="18" customHeight="1" x14ac:dyDescent="0.25">
      <c r="A1" s="1" t="s">
        <v>24</v>
      </c>
      <c r="B1" s="2"/>
      <c r="C1" s="2"/>
    </row>
    <row r="2" spans="1:3" ht="15" customHeight="1" x14ac:dyDescent="0.25">
      <c r="A2" s="2"/>
      <c r="B2" s="2"/>
      <c r="C2" s="2"/>
    </row>
    <row r="3" spans="1:3" ht="15" customHeight="1" x14ac:dyDescent="0.25">
      <c r="A3" s="7" t="s">
        <v>25</v>
      </c>
      <c r="B3" s="8"/>
      <c r="C3" s="8"/>
    </row>
    <row r="4" spans="1:3" ht="15" customHeight="1" x14ac:dyDescent="0.25">
      <c r="A4" s="2" t="s">
        <v>26</v>
      </c>
      <c r="B4" s="9">
        <v>2800</v>
      </c>
      <c r="C4" s="10" t="s">
        <v>28</v>
      </c>
    </row>
    <row r="5" spans="1:3" ht="15" customHeight="1" x14ac:dyDescent="0.25">
      <c r="A5" s="2" t="s">
        <v>29</v>
      </c>
      <c r="B5" s="9">
        <v>0</v>
      </c>
      <c r="C5" s="2"/>
    </row>
    <row r="6" spans="1:3" ht="15" customHeight="1" x14ac:dyDescent="0.25">
      <c r="A6" s="2" t="s">
        <v>30</v>
      </c>
      <c r="B6" s="9">
        <v>100</v>
      </c>
      <c r="C6" s="2"/>
    </row>
    <row r="7" spans="1:3" ht="15" customHeight="1" x14ac:dyDescent="0.25">
      <c r="A7" s="3" t="s">
        <v>32</v>
      </c>
      <c r="B7" s="12">
        <f>SUM(B4:B6)</f>
        <v>2900</v>
      </c>
      <c r="C7" s="2"/>
    </row>
    <row r="8" spans="1:3" ht="15" customHeight="1" x14ac:dyDescent="0.25">
      <c r="A8" s="2"/>
      <c r="B8" s="2"/>
      <c r="C8" s="2"/>
    </row>
    <row r="9" spans="1:3" ht="15" customHeight="1" x14ac:dyDescent="0.25">
      <c r="A9" s="7" t="s">
        <v>45</v>
      </c>
      <c r="B9" s="8"/>
      <c r="C9" s="8"/>
    </row>
    <row r="10" spans="1:3" ht="15" customHeight="1" x14ac:dyDescent="0.25">
      <c r="A10" s="2" t="s">
        <v>46</v>
      </c>
      <c r="B10" s="9">
        <v>850</v>
      </c>
      <c r="C10" s="2"/>
    </row>
    <row r="11" spans="1:3" ht="15" customHeight="1" x14ac:dyDescent="0.25">
      <c r="A11" s="2" t="s">
        <v>48</v>
      </c>
      <c r="B11" s="9">
        <v>60</v>
      </c>
      <c r="C11" s="2"/>
    </row>
    <row r="12" spans="1:3" ht="15" customHeight="1" x14ac:dyDescent="0.25">
      <c r="A12" s="2" t="s">
        <v>49</v>
      </c>
      <c r="B12" s="9">
        <v>35</v>
      </c>
      <c r="C12" s="2"/>
    </row>
    <row r="13" spans="1:3" ht="15" customHeight="1" x14ac:dyDescent="0.25">
      <c r="A13" s="2" t="s">
        <v>51</v>
      </c>
      <c r="B13" s="9">
        <v>30</v>
      </c>
      <c r="C13" s="2"/>
    </row>
    <row r="14" spans="1:3" ht="15" customHeight="1" x14ac:dyDescent="0.25">
      <c r="A14" s="2" t="s">
        <v>52</v>
      </c>
      <c r="B14" s="9">
        <v>75</v>
      </c>
      <c r="C14" s="2"/>
    </row>
    <row r="15" spans="1:3" ht="15" customHeight="1" x14ac:dyDescent="0.25">
      <c r="A15" s="2" t="s">
        <v>53</v>
      </c>
      <c r="B15" s="9">
        <v>25</v>
      </c>
      <c r="C15" s="2"/>
    </row>
    <row r="16" spans="1:3" ht="15" customHeight="1" x14ac:dyDescent="0.25">
      <c r="A16" s="2" t="s">
        <v>55</v>
      </c>
      <c r="B16" s="9">
        <v>0</v>
      </c>
      <c r="C16" s="2"/>
    </row>
    <row r="17" spans="1:3" ht="15" customHeight="1" x14ac:dyDescent="0.25">
      <c r="A17" s="2" t="s">
        <v>56</v>
      </c>
      <c r="B17" s="9">
        <v>0</v>
      </c>
      <c r="C17" s="2"/>
    </row>
    <row r="18" spans="1:3" ht="15" customHeight="1" x14ac:dyDescent="0.25">
      <c r="A18" s="3" t="s">
        <v>57</v>
      </c>
      <c r="B18" s="12">
        <f>SUM(B10:B17)</f>
        <v>1075</v>
      </c>
      <c r="C18" s="2"/>
    </row>
    <row r="19" spans="1:3" ht="15" customHeight="1" x14ac:dyDescent="0.25">
      <c r="A19" s="2"/>
      <c r="B19" s="2"/>
      <c r="C19" s="2"/>
    </row>
    <row r="20" spans="1:3" ht="15" customHeight="1" x14ac:dyDescent="0.25">
      <c r="A20" s="7" t="s">
        <v>59</v>
      </c>
      <c r="B20" s="8"/>
      <c r="C20" s="8"/>
    </row>
    <row r="21" spans="1:3" ht="15" customHeight="1" x14ac:dyDescent="0.25">
      <c r="A21" s="2" t="s">
        <v>60</v>
      </c>
      <c r="B21" s="9">
        <v>350</v>
      </c>
      <c r="C21" s="2"/>
    </row>
    <row r="22" spans="1:3" ht="15" customHeight="1" x14ac:dyDescent="0.25">
      <c r="A22" s="2" t="s">
        <v>61</v>
      </c>
      <c r="B22" s="9">
        <v>150</v>
      </c>
      <c r="C22" s="2"/>
    </row>
    <row r="23" spans="1:3" ht="15" customHeight="1" x14ac:dyDescent="0.25">
      <c r="A23" s="2" t="s">
        <v>62</v>
      </c>
      <c r="B23" s="9">
        <v>100</v>
      </c>
      <c r="C23" s="2"/>
    </row>
    <row r="24" spans="1:3" ht="15" customHeight="1" x14ac:dyDescent="0.25">
      <c r="A24" s="2" t="s">
        <v>63</v>
      </c>
      <c r="B24" s="9">
        <v>50</v>
      </c>
      <c r="C24" s="2"/>
    </row>
    <row r="25" spans="1:3" ht="15" customHeight="1" x14ac:dyDescent="0.25">
      <c r="A25" s="3" t="s">
        <v>65</v>
      </c>
      <c r="B25" s="12">
        <f>SUM(B21:B24)</f>
        <v>650</v>
      </c>
      <c r="C25" s="2"/>
    </row>
    <row r="26" spans="1:3" ht="15" customHeight="1" x14ac:dyDescent="0.25">
      <c r="A26" s="2"/>
      <c r="B26" s="2"/>
      <c r="C26" s="2"/>
    </row>
    <row r="27" spans="1:3" ht="15" customHeight="1" x14ac:dyDescent="0.25">
      <c r="A27" s="7" t="s">
        <v>66</v>
      </c>
      <c r="B27" s="8"/>
      <c r="C27" s="8"/>
    </row>
    <row r="28" spans="1:3" ht="15" customHeight="1" x14ac:dyDescent="0.25">
      <c r="A28" s="2" t="s">
        <v>68</v>
      </c>
      <c r="B28" s="19">
        <v>46388</v>
      </c>
      <c r="C28" s="20" t="s">
        <v>69</v>
      </c>
    </row>
    <row r="29" spans="1:3" ht="15" customHeight="1" x14ac:dyDescent="0.25">
      <c r="A29" s="2" t="s">
        <v>70</v>
      </c>
      <c r="B29" s="9">
        <v>4000</v>
      </c>
      <c r="C29" s="20" t="s">
        <v>71</v>
      </c>
    </row>
    <row r="30" spans="1:3" ht="15" customHeight="1" x14ac:dyDescent="0.25">
      <c r="A30" s="2" t="s">
        <v>73</v>
      </c>
      <c r="B30" s="19">
        <v>46568</v>
      </c>
      <c r="C30" s="20" t="s">
        <v>74</v>
      </c>
    </row>
    <row r="31" spans="1:3" ht="15" customHeight="1" x14ac:dyDescent="0.25">
      <c r="A31" s="2" t="s">
        <v>75</v>
      </c>
      <c r="B31" s="9">
        <v>500</v>
      </c>
      <c r="C31" s="20" t="s">
        <v>76</v>
      </c>
    </row>
    <row r="32" spans="1:3" ht="15" customHeight="1" x14ac:dyDescent="0.25">
      <c r="A32" s="2" t="s">
        <v>77</v>
      </c>
      <c r="B32" s="9">
        <v>4000</v>
      </c>
      <c r="C32" s="20" t="s">
        <v>78</v>
      </c>
    </row>
    <row r="33" spans="1:3" ht="15" customHeight="1" x14ac:dyDescent="0.25">
      <c r="A33" s="2" t="s">
        <v>79</v>
      </c>
      <c r="B33" s="22">
        <f>3*(B18+B25+Crédits!E11)</f>
        <v>7369.3499999999995</v>
      </c>
      <c r="C33" s="20" t="s">
        <v>83</v>
      </c>
    </row>
    <row r="34" spans="1:3" ht="15" customHeight="1" x14ac:dyDescent="0.25">
      <c r="A34" s="2" t="s">
        <v>84</v>
      </c>
      <c r="B34" s="9">
        <v>800</v>
      </c>
      <c r="C34" s="20" t="s">
        <v>85</v>
      </c>
    </row>
    <row r="35" spans="1:3" ht="15" customHeight="1" x14ac:dyDescent="0.25">
      <c r="A35" s="2" t="s">
        <v>86</v>
      </c>
      <c r="B35" s="14">
        <v>2.4E-2</v>
      </c>
      <c r="C35" s="20" t="s">
        <v>87</v>
      </c>
    </row>
    <row r="36" spans="1:3" ht="15" customHeight="1" x14ac:dyDescent="0.25">
      <c r="A36" s="2" t="s">
        <v>89</v>
      </c>
      <c r="B36" s="14">
        <v>0.6</v>
      </c>
      <c r="C36" s="20" t="s">
        <v>90</v>
      </c>
    </row>
    <row r="37" spans="1:3" ht="15.75" customHeight="1" x14ac:dyDescent="0.25">
      <c r="A37" s="4"/>
      <c r="B37" s="4"/>
      <c r="C37" s="4"/>
    </row>
    <row r="38" spans="1:3" ht="15.75" customHeight="1" x14ac:dyDescent="0.25">
      <c r="A38" s="4"/>
      <c r="B38" s="4"/>
      <c r="C38" s="4"/>
    </row>
    <row r="39" spans="1:3" ht="15.75" customHeight="1" x14ac:dyDescent="0.25">
      <c r="A39" s="4"/>
      <c r="B39" s="4"/>
      <c r="C39" s="4"/>
    </row>
    <row r="40" spans="1:3" ht="15.75" customHeight="1" x14ac:dyDescent="0.25">
      <c r="A40" s="4"/>
      <c r="B40" s="4"/>
      <c r="C40" s="4"/>
    </row>
    <row r="41" spans="1:3" ht="15.75" customHeight="1" x14ac:dyDescent="0.25">
      <c r="A41" s="4"/>
      <c r="B41" s="4"/>
      <c r="C41" s="4"/>
    </row>
    <row r="42" spans="1:3" ht="15.75" customHeight="1" x14ac:dyDescent="0.25">
      <c r="A42" s="4"/>
      <c r="B42" s="4"/>
      <c r="C42" s="4"/>
    </row>
    <row r="43" spans="1:3" ht="15.75" customHeight="1" x14ac:dyDescent="0.25">
      <c r="A43" s="4"/>
      <c r="B43" s="4"/>
      <c r="C43" s="4"/>
    </row>
    <row r="44" spans="1:3" ht="15.75" customHeight="1" x14ac:dyDescent="0.25">
      <c r="A44" s="4"/>
      <c r="B44" s="4"/>
      <c r="C44" s="4"/>
    </row>
    <row r="45" spans="1:3" ht="15.75" customHeight="1" x14ac:dyDescent="0.25">
      <c r="A45" s="4"/>
      <c r="B45" s="4"/>
      <c r="C45" s="4"/>
    </row>
    <row r="46" spans="1:3" ht="15.75" customHeight="1" x14ac:dyDescent="0.25">
      <c r="A46" s="4"/>
      <c r="B46" s="4"/>
      <c r="C46" s="4"/>
    </row>
    <row r="47" spans="1:3" ht="15.75" customHeight="1" x14ac:dyDescent="0.25">
      <c r="A47" s="4"/>
      <c r="B47" s="4"/>
      <c r="C47" s="4"/>
    </row>
    <row r="48" spans="1:3" ht="15.75" customHeight="1" x14ac:dyDescent="0.25">
      <c r="A48" s="4"/>
      <c r="B48" s="4"/>
      <c r="C48" s="4"/>
    </row>
    <row r="49" spans="1:3" ht="15.75" customHeight="1" x14ac:dyDescent="0.25">
      <c r="A49" s="4"/>
      <c r="B49" s="4"/>
      <c r="C49" s="4"/>
    </row>
    <row r="50" spans="1:3" ht="15.75" customHeight="1" x14ac:dyDescent="0.25">
      <c r="A50" s="4"/>
      <c r="B50" s="4"/>
      <c r="C50" s="4"/>
    </row>
    <row r="51" spans="1:3" ht="15.75" customHeight="1" x14ac:dyDescent="0.25">
      <c r="A51" s="4"/>
      <c r="B51" s="4"/>
      <c r="C51" s="4"/>
    </row>
    <row r="52" spans="1:3" ht="15.75" customHeight="1" x14ac:dyDescent="0.25">
      <c r="A52" s="4"/>
      <c r="B52" s="4"/>
      <c r="C52" s="4"/>
    </row>
    <row r="53" spans="1:3" ht="15.75" customHeight="1" x14ac:dyDescent="0.25">
      <c r="A53" s="4"/>
      <c r="B53" s="4"/>
      <c r="C53" s="4"/>
    </row>
    <row r="54" spans="1:3" ht="15.75" customHeight="1" x14ac:dyDescent="0.25">
      <c r="A54" s="4"/>
      <c r="B54" s="4"/>
      <c r="C54" s="4"/>
    </row>
    <row r="55" spans="1:3" ht="15.75" customHeight="1" x14ac:dyDescent="0.25">
      <c r="A55" s="4"/>
      <c r="B55" s="4"/>
      <c r="C55" s="4"/>
    </row>
    <row r="56" spans="1:3" ht="15.75" customHeight="1" x14ac:dyDescent="0.25">
      <c r="A56" s="4"/>
      <c r="B56" s="4"/>
      <c r="C56" s="4"/>
    </row>
    <row r="57" spans="1:3" ht="15.75" customHeight="1" x14ac:dyDescent="0.25">
      <c r="A57" s="4"/>
      <c r="B57" s="4"/>
      <c r="C57" s="4"/>
    </row>
    <row r="58" spans="1:3" ht="15.75" customHeight="1" x14ac:dyDescent="0.25">
      <c r="A58" s="4"/>
      <c r="B58" s="4"/>
      <c r="C58" s="4"/>
    </row>
    <row r="59" spans="1:3" ht="15.75" customHeight="1" x14ac:dyDescent="0.25">
      <c r="A59" s="4"/>
      <c r="B59" s="4"/>
      <c r="C59" s="4"/>
    </row>
    <row r="60" spans="1:3" ht="15.75" customHeight="1" x14ac:dyDescent="0.25">
      <c r="A60" s="4"/>
      <c r="B60" s="4"/>
      <c r="C60" s="4"/>
    </row>
    <row r="61" spans="1:3" ht="15.75" customHeight="1" x14ac:dyDescent="0.25">
      <c r="A61" s="4"/>
      <c r="B61" s="4"/>
      <c r="C61" s="4"/>
    </row>
    <row r="62" spans="1:3" ht="15.75" customHeight="1" x14ac:dyDescent="0.25">
      <c r="A62" s="4"/>
      <c r="B62" s="4"/>
      <c r="C62" s="4"/>
    </row>
    <row r="63" spans="1:3" ht="15.75" customHeight="1" x14ac:dyDescent="0.25">
      <c r="A63" s="4"/>
      <c r="B63" s="4"/>
      <c r="C63" s="4"/>
    </row>
    <row r="64" spans="1:3" ht="15.75" customHeight="1" x14ac:dyDescent="0.25">
      <c r="A64" s="4"/>
      <c r="B64" s="4"/>
      <c r="C64" s="4"/>
    </row>
    <row r="65" spans="1:3" ht="15.75" customHeight="1" x14ac:dyDescent="0.25">
      <c r="A65" s="4"/>
      <c r="B65" s="4"/>
      <c r="C65" s="4"/>
    </row>
    <row r="66" spans="1:3" ht="15.75" customHeight="1" x14ac:dyDescent="0.25">
      <c r="A66" s="4"/>
      <c r="B66" s="4"/>
      <c r="C66" s="4"/>
    </row>
    <row r="67" spans="1:3" ht="15.75" customHeight="1" x14ac:dyDescent="0.25">
      <c r="A67" s="4"/>
      <c r="B67" s="4"/>
      <c r="C67" s="4"/>
    </row>
    <row r="68" spans="1:3" ht="15.75" customHeight="1" x14ac:dyDescent="0.25">
      <c r="A68" s="4"/>
      <c r="B68" s="4"/>
      <c r="C68" s="4"/>
    </row>
    <row r="69" spans="1:3" ht="15.75" customHeight="1" x14ac:dyDescent="0.25">
      <c r="A69" s="4"/>
      <c r="B69" s="4"/>
      <c r="C69" s="4"/>
    </row>
    <row r="70" spans="1:3" ht="15.75" customHeight="1" x14ac:dyDescent="0.25">
      <c r="A70" s="4"/>
      <c r="B70" s="4"/>
      <c r="C70" s="4"/>
    </row>
    <row r="71" spans="1:3" ht="15.75" customHeight="1" x14ac:dyDescent="0.25">
      <c r="A71" s="4"/>
      <c r="B71" s="4"/>
      <c r="C71" s="4"/>
    </row>
    <row r="72" spans="1:3" ht="15.75" customHeight="1" x14ac:dyDescent="0.25">
      <c r="A72" s="4"/>
      <c r="B72" s="4"/>
      <c r="C72" s="4"/>
    </row>
    <row r="73" spans="1:3" ht="15.75" customHeight="1" x14ac:dyDescent="0.25">
      <c r="A73" s="4"/>
      <c r="B73" s="4"/>
      <c r="C73" s="4"/>
    </row>
    <row r="74" spans="1:3" ht="15.75" customHeight="1" x14ac:dyDescent="0.25">
      <c r="A74" s="4"/>
      <c r="B74" s="4"/>
      <c r="C74" s="4"/>
    </row>
    <row r="75" spans="1:3" ht="15.75" customHeight="1" x14ac:dyDescent="0.25">
      <c r="A75" s="4"/>
      <c r="B75" s="4"/>
      <c r="C75" s="4"/>
    </row>
    <row r="76" spans="1:3" ht="15.75" customHeight="1" x14ac:dyDescent="0.25">
      <c r="A76" s="4"/>
      <c r="B76" s="4"/>
      <c r="C76" s="4"/>
    </row>
    <row r="77" spans="1:3" ht="15.75" customHeight="1" x14ac:dyDescent="0.25">
      <c r="A77" s="4"/>
      <c r="B77" s="4"/>
      <c r="C77" s="4"/>
    </row>
    <row r="78" spans="1:3" ht="15.75" customHeight="1" x14ac:dyDescent="0.25">
      <c r="A78" s="4"/>
      <c r="B78" s="4"/>
      <c r="C78" s="4"/>
    </row>
    <row r="79" spans="1:3" ht="15.75" customHeight="1" x14ac:dyDescent="0.25">
      <c r="A79" s="4"/>
      <c r="B79" s="4"/>
      <c r="C79" s="4"/>
    </row>
    <row r="80" spans="1:3" ht="15.75" customHeight="1" x14ac:dyDescent="0.25">
      <c r="A80" s="4"/>
      <c r="B80" s="4"/>
      <c r="C80" s="4"/>
    </row>
    <row r="81" spans="1:3" ht="15.75" customHeight="1" x14ac:dyDescent="0.25">
      <c r="A81" s="4"/>
      <c r="B81" s="4"/>
      <c r="C81" s="4"/>
    </row>
    <row r="82" spans="1:3" ht="15.75" customHeight="1" x14ac:dyDescent="0.25">
      <c r="A82" s="4"/>
      <c r="B82" s="4"/>
      <c r="C82" s="4"/>
    </row>
    <row r="83" spans="1:3" ht="15.75" customHeight="1" x14ac:dyDescent="0.25">
      <c r="A83" s="4"/>
      <c r="B83" s="4"/>
      <c r="C83" s="4"/>
    </row>
    <row r="84" spans="1:3" ht="15.75" customHeight="1" x14ac:dyDescent="0.25">
      <c r="A84" s="4"/>
      <c r="B84" s="4"/>
      <c r="C84" s="4"/>
    </row>
    <row r="85" spans="1:3" ht="15.75" customHeight="1" x14ac:dyDescent="0.25">
      <c r="A85" s="4"/>
      <c r="B85" s="4"/>
      <c r="C85" s="4"/>
    </row>
    <row r="86" spans="1:3" ht="15.75" customHeight="1" x14ac:dyDescent="0.25">
      <c r="A86" s="4"/>
      <c r="B86" s="4"/>
      <c r="C86" s="4"/>
    </row>
    <row r="87" spans="1:3" ht="15.75" customHeight="1" x14ac:dyDescent="0.25">
      <c r="A87" s="4"/>
      <c r="B87" s="4"/>
      <c r="C87" s="4"/>
    </row>
    <row r="88" spans="1:3" ht="15.75" customHeight="1" x14ac:dyDescent="0.25">
      <c r="A88" s="4"/>
      <c r="B88" s="4"/>
      <c r="C88" s="4"/>
    </row>
    <row r="89" spans="1:3" ht="15.75" customHeight="1" x14ac:dyDescent="0.25">
      <c r="A89" s="4"/>
      <c r="B89" s="4"/>
      <c r="C89" s="4"/>
    </row>
    <row r="90" spans="1:3" ht="15.75" customHeight="1" x14ac:dyDescent="0.25">
      <c r="A90" s="4"/>
      <c r="B90" s="4"/>
      <c r="C90" s="4"/>
    </row>
    <row r="91" spans="1:3" ht="15.75" customHeight="1" x14ac:dyDescent="0.25">
      <c r="A91" s="4"/>
      <c r="B91" s="4"/>
      <c r="C91" s="4"/>
    </row>
    <row r="92" spans="1:3" ht="15.75" customHeight="1" x14ac:dyDescent="0.25">
      <c r="A92" s="4"/>
      <c r="B92" s="4"/>
      <c r="C92" s="4"/>
    </row>
    <row r="93" spans="1:3" ht="15.75" customHeight="1" x14ac:dyDescent="0.25">
      <c r="A93" s="4"/>
      <c r="B93" s="4"/>
      <c r="C93" s="4"/>
    </row>
    <row r="94" spans="1:3" ht="15.75" customHeight="1" x14ac:dyDescent="0.25">
      <c r="A94" s="4"/>
      <c r="B94" s="4"/>
      <c r="C94" s="4"/>
    </row>
    <row r="95" spans="1:3" ht="15.75" customHeight="1" x14ac:dyDescent="0.25">
      <c r="A95" s="4"/>
      <c r="B95" s="4"/>
      <c r="C95" s="4"/>
    </row>
    <row r="96" spans="1:3" ht="15.75" customHeight="1" x14ac:dyDescent="0.25">
      <c r="A96" s="4"/>
      <c r="B96" s="4"/>
      <c r="C96" s="4"/>
    </row>
    <row r="97" spans="1:3" ht="15.75" customHeight="1" x14ac:dyDescent="0.25">
      <c r="A97" s="4"/>
      <c r="B97" s="4"/>
      <c r="C97" s="4"/>
    </row>
    <row r="98" spans="1:3" ht="15.75" customHeight="1" x14ac:dyDescent="0.25">
      <c r="A98" s="4"/>
      <c r="B98" s="4"/>
      <c r="C98" s="4"/>
    </row>
    <row r="99" spans="1:3" ht="15.75" customHeight="1" x14ac:dyDescent="0.25">
      <c r="A99" s="4"/>
      <c r="B99" s="4"/>
      <c r="C99" s="4"/>
    </row>
    <row r="100" spans="1:3" ht="15.75" customHeight="1" x14ac:dyDescent="0.25">
      <c r="A100" s="4"/>
      <c r="B100" s="4"/>
      <c r="C100" s="4"/>
    </row>
    <row r="101" spans="1:3" ht="15.75" customHeight="1" x14ac:dyDescent="0.25">
      <c r="A101" s="4"/>
      <c r="B101" s="4"/>
      <c r="C101" s="4"/>
    </row>
    <row r="102" spans="1:3" ht="15.75" customHeight="1" x14ac:dyDescent="0.25">
      <c r="A102" s="4"/>
      <c r="B102" s="4"/>
      <c r="C102" s="4"/>
    </row>
    <row r="103" spans="1:3" ht="15.75" customHeight="1" x14ac:dyDescent="0.25">
      <c r="A103" s="4"/>
      <c r="B103" s="4"/>
      <c r="C103" s="4"/>
    </row>
    <row r="104" spans="1:3" ht="15.75" customHeight="1" x14ac:dyDescent="0.25">
      <c r="A104" s="4"/>
      <c r="B104" s="4"/>
      <c r="C104" s="4"/>
    </row>
    <row r="105" spans="1:3" ht="15.75" customHeight="1" x14ac:dyDescent="0.25">
      <c r="A105" s="4"/>
      <c r="B105" s="4"/>
      <c r="C105" s="4"/>
    </row>
    <row r="106" spans="1:3" ht="15.75" customHeight="1" x14ac:dyDescent="0.25">
      <c r="A106" s="4"/>
      <c r="B106" s="4"/>
      <c r="C106" s="4"/>
    </row>
    <row r="107" spans="1:3" ht="15.75" customHeight="1" x14ac:dyDescent="0.25">
      <c r="A107" s="4"/>
      <c r="B107" s="4"/>
      <c r="C107" s="4"/>
    </row>
    <row r="108" spans="1:3" ht="15.75" customHeight="1" x14ac:dyDescent="0.25">
      <c r="A108" s="4"/>
      <c r="B108" s="4"/>
      <c r="C108" s="4"/>
    </row>
    <row r="109" spans="1:3" ht="15.75" customHeight="1" x14ac:dyDescent="0.25">
      <c r="A109" s="4"/>
      <c r="B109" s="4"/>
      <c r="C109" s="4"/>
    </row>
    <row r="110" spans="1:3" ht="15.75" customHeight="1" x14ac:dyDescent="0.25">
      <c r="A110" s="4"/>
      <c r="B110" s="4"/>
      <c r="C110" s="4"/>
    </row>
    <row r="111" spans="1:3" ht="15.75" customHeight="1" x14ac:dyDescent="0.25">
      <c r="A111" s="4"/>
      <c r="B111" s="4"/>
      <c r="C111" s="4"/>
    </row>
    <row r="112" spans="1:3" ht="15.75" customHeight="1" x14ac:dyDescent="0.25">
      <c r="A112" s="4"/>
      <c r="B112" s="4"/>
      <c r="C112" s="4"/>
    </row>
    <row r="113" spans="1:3" ht="15.75" customHeight="1" x14ac:dyDescent="0.25">
      <c r="A113" s="4"/>
      <c r="B113" s="4"/>
      <c r="C113" s="4"/>
    </row>
    <row r="114" spans="1:3" ht="15.75" customHeight="1" x14ac:dyDescent="0.25">
      <c r="A114" s="4"/>
      <c r="B114" s="4"/>
      <c r="C114" s="4"/>
    </row>
    <row r="115" spans="1:3" ht="15.75" customHeight="1" x14ac:dyDescent="0.25">
      <c r="A115" s="4"/>
      <c r="B115" s="4"/>
      <c r="C115" s="4"/>
    </row>
    <row r="116" spans="1:3" ht="15.75" customHeight="1" x14ac:dyDescent="0.25">
      <c r="A116" s="4"/>
      <c r="B116" s="4"/>
      <c r="C116" s="4"/>
    </row>
    <row r="117" spans="1:3" ht="15.75" customHeight="1" x14ac:dyDescent="0.25">
      <c r="A117" s="4"/>
      <c r="B117" s="4"/>
      <c r="C117" s="4"/>
    </row>
    <row r="118" spans="1:3" ht="15.75" customHeight="1" x14ac:dyDescent="0.25">
      <c r="A118" s="4"/>
      <c r="B118" s="4"/>
      <c r="C118" s="4"/>
    </row>
    <row r="119" spans="1:3" ht="15.75" customHeight="1" x14ac:dyDescent="0.25">
      <c r="A119" s="4"/>
      <c r="B119" s="4"/>
      <c r="C119" s="4"/>
    </row>
    <row r="120" spans="1:3" ht="15.75" customHeight="1" x14ac:dyDescent="0.25">
      <c r="A120" s="4"/>
      <c r="B120" s="4"/>
      <c r="C120" s="4"/>
    </row>
    <row r="121" spans="1:3" ht="15.75" customHeight="1" x14ac:dyDescent="0.25">
      <c r="A121" s="4"/>
      <c r="B121" s="4"/>
      <c r="C121" s="4"/>
    </row>
    <row r="122" spans="1:3" ht="15.75" customHeight="1" x14ac:dyDescent="0.25">
      <c r="A122" s="4"/>
      <c r="B122" s="4"/>
      <c r="C122" s="4"/>
    </row>
    <row r="123" spans="1:3" ht="15.75" customHeight="1" x14ac:dyDescent="0.25">
      <c r="A123" s="4"/>
      <c r="B123" s="4"/>
      <c r="C123" s="4"/>
    </row>
    <row r="124" spans="1:3" ht="15.75" customHeight="1" x14ac:dyDescent="0.25">
      <c r="A124" s="4"/>
      <c r="B124" s="4"/>
      <c r="C124" s="4"/>
    </row>
    <row r="125" spans="1:3" ht="15.75" customHeight="1" x14ac:dyDescent="0.25">
      <c r="A125" s="4"/>
      <c r="B125" s="4"/>
      <c r="C125" s="4"/>
    </row>
    <row r="126" spans="1:3" ht="15.75" customHeight="1" x14ac:dyDescent="0.25">
      <c r="A126" s="4"/>
      <c r="B126" s="4"/>
      <c r="C126" s="4"/>
    </row>
    <row r="127" spans="1:3" ht="15.75" customHeight="1" x14ac:dyDescent="0.25">
      <c r="A127" s="4"/>
      <c r="B127" s="4"/>
      <c r="C127" s="4"/>
    </row>
    <row r="128" spans="1:3" ht="15.75" customHeight="1" x14ac:dyDescent="0.25">
      <c r="A128" s="4"/>
      <c r="B128" s="4"/>
      <c r="C128" s="4"/>
    </row>
    <row r="129" spans="1:3" ht="15.75" customHeight="1" x14ac:dyDescent="0.25">
      <c r="A129" s="4"/>
      <c r="B129" s="4"/>
      <c r="C129" s="4"/>
    </row>
    <row r="130" spans="1:3" ht="15.75" customHeight="1" x14ac:dyDescent="0.25">
      <c r="A130" s="4"/>
      <c r="B130" s="4"/>
      <c r="C130" s="4"/>
    </row>
    <row r="131" spans="1:3" ht="15.75" customHeight="1" x14ac:dyDescent="0.25">
      <c r="A131" s="4"/>
      <c r="B131" s="4"/>
      <c r="C131" s="4"/>
    </row>
    <row r="132" spans="1:3" ht="15.75" customHeight="1" x14ac:dyDescent="0.25">
      <c r="A132" s="4"/>
      <c r="B132" s="4"/>
      <c r="C132" s="4"/>
    </row>
    <row r="133" spans="1:3" ht="15.75" customHeight="1" x14ac:dyDescent="0.25">
      <c r="A133" s="4"/>
      <c r="B133" s="4"/>
      <c r="C133" s="4"/>
    </row>
    <row r="134" spans="1:3" ht="15.75" customHeight="1" x14ac:dyDescent="0.25">
      <c r="A134" s="4"/>
      <c r="B134" s="4"/>
      <c r="C134" s="4"/>
    </row>
    <row r="135" spans="1:3" ht="15.75" customHeight="1" x14ac:dyDescent="0.25">
      <c r="A135" s="4"/>
      <c r="B135" s="4"/>
      <c r="C135" s="4"/>
    </row>
    <row r="136" spans="1:3" ht="15.75" customHeight="1" x14ac:dyDescent="0.25">
      <c r="A136" s="4"/>
      <c r="B136" s="4"/>
      <c r="C136" s="4"/>
    </row>
    <row r="137" spans="1:3" ht="15.75" customHeight="1" x14ac:dyDescent="0.25">
      <c r="A137" s="4"/>
      <c r="B137" s="4"/>
      <c r="C137" s="4"/>
    </row>
    <row r="138" spans="1:3" ht="15.75" customHeight="1" x14ac:dyDescent="0.25">
      <c r="A138" s="4"/>
      <c r="B138" s="4"/>
      <c r="C138" s="4"/>
    </row>
    <row r="139" spans="1:3" ht="15.75" customHeight="1" x14ac:dyDescent="0.25">
      <c r="A139" s="4"/>
      <c r="B139" s="4"/>
      <c r="C139" s="4"/>
    </row>
    <row r="140" spans="1:3" ht="15.75" customHeight="1" x14ac:dyDescent="0.25">
      <c r="A140" s="4"/>
      <c r="B140" s="4"/>
      <c r="C140" s="4"/>
    </row>
    <row r="141" spans="1:3" ht="15.75" customHeight="1" x14ac:dyDescent="0.25">
      <c r="A141" s="4"/>
      <c r="B141" s="4"/>
      <c r="C141" s="4"/>
    </row>
    <row r="142" spans="1:3" ht="15.75" customHeight="1" x14ac:dyDescent="0.25">
      <c r="A142" s="4"/>
      <c r="B142" s="4"/>
      <c r="C142" s="4"/>
    </row>
    <row r="143" spans="1:3" ht="15.75" customHeight="1" x14ac:dyDescent="0.25">
      <c r="A143" s="4"/>
      <c r="B143" s="4"/>
      <c r="C143" s="4"/>
    </row>
    <row r="144" spans="1:3" ht="15.75" customHeight="1" x14ac:dyDescent="0.25">
      <c r="A144" s="4"/>
      <c r="B144" s="4"/>
      <c r="C144" s="4"/>
    </row>
    <row r="145" spans="1:3" ht="15.75" customHeight="1" x14ac:dyDescent="0.25">
      <c r="A145" s="4"/>
      <c r="B145" s="4"/>
      <c r="C145" s="4"/>
    </row>
    <row r="146" spans="1:3" ht="15.75" customHeight="1" x14ac:dyDescent="0.25">
      <c r="A146" s="4"/>
      <c r="B146" s="4"/>
      <c r="C146" s="4"/>
    </row>
    <row r="147" spans="1:3" ht="15.75" customHeight="1" x14ac:dyDescent="0.25">
      <c r="A147" s="4"/>
      <c r="B147" s="4"/>
      <c r="C147" s="4"/>
    </row>
    <row r="148" spans="1:3" ht="15.75" customHeight="1" x14ac:dyDescent="0.25">
      <c r="A148" s="4"/>
      <c r="B148" s="4"/>
      <c r="C148" s="4"/>
    </row>
    <row r="149" spans="1:3" ht="15.75" customHeight="1" x14ac:dyDescent="0.25">
      <c r="A149" s="4"/>
      <c r="B149" s="4"/>
      <c r="C149" s="4"/>
    </row>
    <row r="150" spans="1:3" ht="15.75" customHeight="1" x14ac:dyDescent="0.25">
      <c r="A150" s="4"/>
      <c r="B150" s="4"/>
      <c r="C150" s="4"/>
    </row>
    <row r="151" spans="1:3" ht="15.75" customHeight="1" x14ac:dyDescent="0.25">
      <c r="A151" s="4"/>
      <c r="B151" s="4"/>
      <c r="C151" s="4"/>
    </row>
    <row r="152" spans="1:3" ht="15.75" customHeight="1" x14ac:dyDescent="0.25">
      <c r="A152" s="4"/>
      <c r="B152" s="4"/>
      <c r="C152" s="4"/>
    </row>
    <row r="153" spans="1:3" ht="15.75" customHeight="1" x14ac:dyDescent="0.25">
      <c r="A153" s="4"/>
      <c r="B153" s="4"/>
      <c r="C153" s="4"/>
    </row>
    <row r="154" spans="1:3" ht="15.75" customHeight="1" x14ac:dyDescent="0.25">
      <c r="A154" s="4"/>
      <c r="B154" s="4"/>
      <c r="C154" s="4"/>
    </row>
    <row r="155" spans="1:3" ht="15.75" customHeight="1" x14ac:dyDescent="0.25">
      <c r="A155" s="4"/>
      <c r="B155" s="4"/>
      <c r="C155" s="4"/>
    </row>
    <row r="156" spans="1:3" ht="15.75" customHeight="1" x14ac:dyDescent="0.25">
      <c r="A156" s="4"/>
      <c r="B156" s="4"/>
      <c r="C156" s="4"/>
    </row>
    <row r="157" spans="1:3" ht="15.75" customHeight="1" x14ac:dyDescent="0.25">
      <c r="A157" s="4"/>
      <c r="B157" s="4"/>
      <c r="C157" s="4"/>
    </row>
    <row r="158" spans="1:3" ht="15.75" customHeight="1" x14ac:dyDescent="0.25">
      <c r="A158" s="4"/>
      <c r="B158" s="4"/>
      <c r="C158" s="4"/>
    </row>
    <row r="159" spans="1:3" ht="15.75" customHeight="1" x14ac:dyDescent="0.25">
      <c r="A159" s="4"/>
      <c r="B159" s="4"/>
      <c r="C159" s="4"/>
    </row>
    <row r="160" spans="1:3" ht="15.75" customHeight="1" x14ac:dyDescent="0.25">
      <c r="A160" s="4"/>
      <c r="B160" s="4"/>
      <c r="C160" s="4"/>
    </row>
    <row r="161" spans="1:3" ht="15.75" customHeight="1" x14ac:dyDescent="0.25">
      <c r="A161" s="4"/>
      <c r="B161" s="4"/>
      <c r="C161" s="4"/>
    </row>
    <row r="162" spans="1:3" ht="15.75" customHeight="1" x14ac:dyDescent="0.25">
      <c r="A162" s="4"/>
      <c r="B162" s="4"/>
      <c r="C162" s="4"/>
    </row>
    <row r="163" spans="1:3" ht="15.75" customHeight="1" x14ac:dyDescent="0.25">
      <c r="A163" s="4"/>
      <c r="B163" s="4"/>
      <c r="C163" s="4"/>
    </row>
    <row r="164" spans="1:3" ht="15.75" customHeight="1" x14ac:dyDescent="0.25">
      <c r="A164" s="4"/>
      <c r="B164" s="4"/>
      <c r="C164" s="4"/>
    </row>
    <row r="165" spans="1:3" ht="15.75" customHeight="1" x14ac:dyDescent="0.25">
      <c r="A165" s="4"/>
      <c r="B165" s="4"/>
      <c r="C165" s="4"/>
    </row>
    <row r="166" spans="1:3" ht="15.75" customHeight="1" x14ac:dyDescent="0.25">
      <c r="A166" s="4"/>
      <c r="B166" s="4"/>
      <c r="C166" s="4"/>
    </row>
    <row r="167" spans="1:3" ht="15.75" customHeight="1" x14ac:dyDescent="0.25">
      <c r="A167" s="4"/>
      <c r="B167" s="4"/>
      <c r="C167" s="4"/>
    </row>
    <row r="168" spans="1:3" ht="15.75" customHeight="1" x14ac:dyDescent="0.25">
      <c r="A168" s="4"/>
      <c r="B168" s="4"/>
      <c r="C168" s="4"/>
    </row>
    <row r="169" spans="1:3" ht="15.75" customHeight="1" x14ac:dyDescent="0.25">
      <c r="A169" s="4"/>
      <c r="B169" s="4"/>
      <c r="C169" s="4"/>
    </row>
    <row r="170" spans="1:3" ht="15.75" customHeight="1" x14ac:dyDescent="0.25">
      <c r="A170" s="4"/>
      <c r="B170" s="4"/>
      <c r="C170" s="4"/>
    </row>
    <row r="171" spans="1:3" ht="15.75" customHeight="1" x14ac:dyDescent="0.25">
      <c r="A171" s="4"/>
      <c r="B171" s="4"/>
      <c r="C171" s="4"/>
    </row>
    <row r="172" spans="1:3" ht="15.75" customHeight="1" x14ac:dyDescent="0.25">
      <c r="A172" s="4"/>
      <c r="B172" s="4"/>
      <c r="C172" s="4"/>
    </row>
    <row r="173" spans="1:3" ht="15.75" customHeight="1" x14ac:dyDescent="0.25">
      <c r="A173" s="4"/>
      <c r="B173" s="4"/>
      <c r="C173" s="4"/>
    </row>
    <row r="174" spans="1:3" ht="15.75" customHeight="1" x14ac:dyDescent="0.25">
      <c r="A174" s="4"/>
      <c r="B174" s="4"/>
      <c r="C174" s="4"/>
    </row>
    <row r="175" spans="1:3" ht="15.75" customHeight="1" x14ac:dyDescent="0.25">
      <c r="A175" s="4"/>
      <c r="B175" s="4"/>
      <c r="C175" s="4"/>
    </row>
    <row r="176" spans="1:3" ht="15.75" customHeight="1" x14ac:dyDescent="0.25">
      <c r="A176" s="4"/>
      <c r="B176" s="4"/>
      <c r="C176" s="4"/>
    </row>
    <row r="177" spans="1:3" ht="15.75" customHeight="1" x14ac:dyDescent="0.25">
      <c r="A177" s="4"/>
      <c r="B177" s="4"/>
      <c r="C177" s="4"/>
    </row>
    <row r="178" spans="1:3" ht="15.75" customHeight="1" x14ac:dyDescent="0.25">
      <c r="A178" s="4"/>
      <c r="B178" s="4"/>
      <c r="C178" s="4"/>
    </row>
    <row r="179" spans="1:3" ht="15.75" customHeight="1" x14ac:dyDescent="0.25">
      <c r="A179" s="4"/>
      <c r="B179" s="4"/>
      <c r="C179" s="4"/>
    </row>
    <row r="180" spans="1:3" ht="15.75" customHeight="1" x14ac:dyDescent="0.25">
      <c r="A180" s="4"/>
      <c r="B180" s="4"/>
      <c r="C180" s="4"/>
    </row>
    <row r="181" spans="1:3" ht="15.75" customHeight="1" x14ac:dyDescent="0.25">
      <c r="A181" s="4"/>
      <c r="B181" s="4"/>
      <c r="C181" s="4"/>
    </row>
    <row r="182" spans="1:3" ht="15.75" customHeight="1" x14ac:dyDescent="0.25">
      <c r="A182" s="4"/>
      <c r="B182" s="4"/>
      <c r="C182" s="4"/>
    </row>
    <row r="183" spans="1:3" ht="15.75" customHeight="1" x14ac:dyDescent="0.25">
      <c r="A183" s="4"/>
      <c r="B183" s="4"/>
      <c r="C183" s="4"/>
    </row>
    <row r="184" spans="1:3" ht="15.75" customHeight="1" x14ac:dyDescent="0.25">
      <c r="A184" s="4"/>
      <c r="B184" s="4"/>
      <c r="C184" s="4"/>
    </row>
    <row r="185" spans="1:3" ht="15.75" customHeight="1" x14ac:dyDescent="0.25">
      <c r="A185" s="4"/>
      <c r="B185" s="4"/>
      <c r="C185" s="4"/>
    </row>
    <row r="186" spans="1:3" ht="15.75" customHeight="1" x14ac:dyDescent="0.25">
      <c r="A186" s="4"/>
      <c r="B186" s="4"/>
      <c r="C186" s="4"/>
    </row>
    <row r="187" spans="1:3" ht="15.75" customHeight="1" x14ac:dyDescent="0.25">
      <c r="A187" s="4"/>
      <c r="B187" s="4"/>
      <c r="C187" s="4"/>
    </row>
    <row r="188" spans="1:3" ht="15.75" customHeight="1" x14ac:dyDescent="0.25">
      <c r="A188" s="4"/>
      <c r="B188" s="4"/>
      <c r="C188" s="4"/>
    </row>
    <row r="189" spans="1:3" ht="15.75" customHeight="1" x14ac:dyDescent="0.25">
      <c r="A189" s="4"/>
      <c r="B189" s="4"/>
      <c r="C189" s="4"/>
    </row>
    <row r="190" spans="1:3" ht="15.75" customHeight="1" x14ac:dyDescent="0.25">
      <c r="A190" s="4"/>
      <c r="B190" s="4"/>
      <c r="C190" s="4"/>
    </row>
    <row r="191" spans="1:3" ht="15.75" customHeight="1" x14ac:dyDescent="0.25">
      <c r="A191" s="4"/>
      <c r="B191" s="4"/>
      <c r="C191" s="4"/>
    </row>
    <row r="192" spans="1:3" ht="15.75" customHeight="1" x14ac:dyDescent="0.25">
      <c r="A192" s="4"/>
      <c r="B192" s="4"/>
      <c r="C192" s="4"/>
    </row>
    <row r="193" spans="1:3" ht="15.75" customHeight="1" x14ac:dyDescent="0.25">
      <c r="A193" s="4"/>
      <c r="B193" s="4"/>
      <c r="C193" s="4"/>
    </row>
    <row r="194" spans="1:3" ht="15.75" customHeight="1" x14ac:dyDescent="0.25">
      <c r="A194" s="4"/>
      <c r="B194" s="4"/>
      <c r="C194" s="4"/>
    </row>
    <row r="195" spans="1:3" ht="15.75" customHeight="1" x14ac:dyDescent="0.25">
      <c r="A195" s="4"/>
      <c r="B195" s="4"/>
      <c r="C195" s="4"/>
    </row>
    <row r="196" spans="1:3" ht="15.75" customHeight="1" x14ac:dyDescent="0.25">
      <c r="A196" s="4"/>
      <c r="B196" s="4"/>
      <c r="C196" s="4"/>
    </row>
    <row r="197" spans="1:3" ht="15.75" customHeight="1" x14ac:dyDescent="0.25">
      <c r="A197" s="4"/>
      <c r="B197" s="4"/>
      <c r="C197" s="4"/>
    </row>
    <row r="198" spans="1:3" ht="15.75" customHeight="1" x14ac:dyDescent="0.25">
      <c r="A198" s="4"/>
      <c r="B198" s="4"/>
      <c r="C198" s="4"/>
    </row>
    <row r="199" spans="1:3" ht="15.75" customHeight="1" x14ac:dyDescent="0.25">
      <c r="A199" s="4"/>
      <c r="B199" s="4"/>
      <c r="C199" s="4"/>
    </row>
    <row r="200" spans="1:3" ht="15.75" customHeight="1" x14ac:dyDescent="0.25">
      <c r="A200" s="4"/>
      <c r="B200" s="4"/>
      <c r="C200" s="4"/>
    </row>
    <row r="201" spans="1:3" ht="15.75" customHeight="1" x14ac:dyDescent="0.25">
      <c r="A201" s="4"/>
      <c r="B201" s="4"/>
      <c r="C201" s="4"/>
    </row>
    <row r="202" spans="1:3" ht="15.75" customHeight="1" x14ac:dyDescent="0.25">
      <c r="A202" s="4"/>
      <c r="B202" s="4"/>
      <c r="C202" s="4"/>
    </row>
    <row r="203" spans="1:3" ht="15.75" customHeight="1" x14ac:dyDescent="0.25">
      <c r="A203" s="4"/>
      <c r="B203" s="4"/>
      <c r="C203" s="4"/>
    </row>
    <row r="204" spans="1:3" ht="15.75" customHeight="1" x14ac:dyDescent="0.25">
      <c r="A204" s="4"/>
      <c r="B204" s="4"/>
      <c r="C204" s="4"/>
    </row>
    <row r="205" spans="1:3" ht="15.75" customHeight="1" x14ac:dyDescent="0.25">
      <c r="A205" s="4"/>
      <c r="B205" s="4"/>
      <c r="C205" s="4"/>
    </row>
    <row r="206" spans="1:3" ht="15.75" customHeight="1" x14ac:dyDescent="0.25">
      <c r="A206" s="4"/>
      <c r="B206" s="4"/>
      <c r="C206" s="4"/>
    </row>
    <row r="207" spans="1:3" ht="15.75" customHeight="1" x14ac:dyDescent="0.25">
      <c r="A207" s="4"/>
      <c r="B207" s="4"/>
      <c r="C207" s="4"/>
    </row>
    <row r="208" spans="1:3" ht="15.75" customHeight="1" x14ac:dyDescent="0.25">
      <c r="A208" s="4"/>
      <c r="B208" s="4"/>
      <c r="C208" s="4"/>
    </row>
    <row r="209" spans="1:3" ht="15.75" customHeight="1" x14ac:dyDescent="0.25">
      <c r="A209" s="4"/>
      <c r="B209" s="4"/>
      <c r="C209" s="4"/>
    </row>
    <row r="210" spans="1:3" ht="15.75" customHeight="1" x14ac:dyDescent="0.25">
      <c r="A210" s="4"/>
      <c r="B210" s="4"/>
      <c r="C210" s="4"/>
    </row>
    <row r="211" spans="1:3" ht="15.75" customHeight="1" x14ac:dyDescent="0.25">
      <c r="A211" s="4"/>
      <c r="B211" s="4"/>
      <c r="C211" s="4"/>
    </row>
    <row r="212" spans="1:3" ht="15.75" customHeight="1" x14ac:dyDescent="0.25">
      <c r="A212" s="4"/>
      <c r="B212" s="4"/>
      <c r="C212" s="4"/>
    </row>
    <row r="213" spans="1:3" ht="15.75" customHeight="1" x14ac:dyDescent="0.25">
      <c r="A213" s="4"/>
      <c r="B213" s="4"/>
      <c r="C213" s="4"/>
    </row>
    <row r="214" spans="1:3" ht="15.75" customHeight="1" x14ac:dyDescent="0.25">
      <c r="A214" s="4"/>
      <c r="B214" s="4"/>
      <c r="C214" s="4"/>
    </row>
    <row r="215" spans="1:3" ht="15.75" customHeight="1" x14ac:dyDescent="0.25">
      <c r="A215" s="4"/>
      <c r="B215" s="4"/>
      <c r="C215" s="4"/>
    </row>
    <row r="216" spans="1:3" ht="15.75" customHeight="1" x14ac:dyDescent="0.25">
      <c r="A216" s="4"/>
      <c r="B216" s="4"/>
      <c r="C216" s="4"/>
    </row>
    <row r="217" spans="1:3" ht="15.75" customHeight="1" x14ac:dyDescent="0.25">
      <c r="A217" s="4"/>
      <c r="B217" s="4"/>
      <c r="C217" s="4"/>
    </row>
    <row r="218" spans="1:3" ht="15.75" customHeight="1" x14ac:dyDescent="0.25">
      <c r="A218" s="4"/>
      <c r="B218" s="4"/>
      <c r="C218" s="4"/>
    </row>
    <row r="219" spans="1:3" ht="15.75" customHeight="1" x14ac:dyDescent="0.25">
      <c r="A219" s="4"/>
      <c r="B219" s="4"/>
      <c r="C219" s="4"/>
    </row>
    <row r="220" spans="1:3" ht="15.75" customHeight="1" x14ac:dyDescent="0.25">
      <c r="A220" s="4"/>
      <c r="B220" s="4"/>
      <c r="C220" s="4"/>
    </row>
    <row r="221" spans="1:3" ht="15.75" customHeight="1" x14ac:dyDescent="0.25">
      <c r="A221" s="4"/>
      <c r="B221" s="4"/>
      <c r="C221" s="4"/>
    </row>
    <row r="222" spans="1:3" ht="15.75" customHeight="1" x14ac:dyDescent="0.25">
      <c r="A222" s="4"/>
      <c r="B222" s="4"/>
      <c r="C222" s="4"/>
    </row>
    <row r="223" spans="1:3" ht="15.75" customHeight="1" x14ac:dyDescent="0.25">
      <c r="A223" s="4"/>
      <c r="B223" s="4"/>
      <c r="C223" s="4"/>
    </row>
    <row r="224" spans="1:3" ht="15.75" customHeight="1" x14ac:dyDescent="0.25">
      <c r="A224" s="4"/>
      <c r="B224" s="4"/>
      <c r="C224" s="4"/>
    </row>
    <row r="225" spans="1:3" ht="15.75" customHeight="1" x14ac:dyDescent="0.25">
      <c r="A225" s="4"/>
      <c r="B225" s="4"/>
      <c r="C225" s="4"/>
    </row>
    <row r="226" spans="1:3" ht="15.75" customHeight="1" x14ac:dyDescent="0.25">
      <c r="A226" s="4"/>
      <c r="B226" s="4"/>
      <c r="C226" s="4"/>
    </row>
    <row r="227" spans="1:3" ht="15.75" customHeight="1" x14ac:dyDescent="0.25">
      <c r="A227" s="4"/>
      <c r="B227" s="4"/>
      <c r="C227" s="4"/>
    </row>
    <row r="228" spans="1:3" ht="15.75" customHeight="1" x14ac:dyDescent="0.25">
      <c r="A228" s="4"/>
      <c r="B228" s="4"/>
      <c r="C228" s="4"/>
    </row>
    <row r="229" spans="1:3" ht="15.75" customHeight="1" x14ac:dyDescent="0.25">
      <c r="A229" s="4"/>
      <c r="B229" s="4"/>
      <c r="C229" s="4"/>
    </row>
    <row r="230" spans="1:3" ht="15.75" customHeight="1" x14ac:dyDescent="0.25">
      <c r="A230" s="4"/>
      <c r="B230" s="4"/>
      <c r="C230" s="4"/>
    </row>
    <row r="231" spans="1:3" ht="15.75" customHeight="1" x14ac:dyDescent="0.25">
      <c r="A231" s="4"/>
      <c r="B231" s="4"/>
      <c r="C231" s="4"/>
    </row>
    <row r="232" spans="1:3" ht="15.75" customHeight="1" x14ac:dyDescent="0.25">
      <c r="A232" s="4"/>
      <c r="B232" s="4"/>
      <c r="C232" s="4"/>
    </row>
    <row r="233" spans="1:3" ht="15.75" customHeight="1" x14ac:dyDescent="0.25">
      <c r="A233" s="4"/>
      <c r="B233" s="4"/>
      <c r="C233" s="4"/>
    </row>
    <row r="234" spans="1:3" ht="15.75" customHeight="1" x14ac:dyDescent="0.25">
      <c r="A234" s="4"/>
      <c r="B234" s="4"/>
      <c r="C234" s="4"/>
    </row>
    <row r="235" spans="1:3" ht="15.75" customHeight="1" x14ac:dyDescent="0.25">
      <c r="A235" s="4"/>
      <c r="B235" s="4"/>
      <c r="C235" s="4"/>
    </row>
    <row r="236" spans="1:3" ht="15.75" customHeight="1" x14ac:dyDescent="0.25">
      <c r="A236" s="4"/>
      <c r="B236" s="4"/>
      <c r="C236" s="4"/>
    </row>
    <row r="237" spans="1:3" ht="15.75" customHeight="1" x14ac:dyDescent="0.25">
      <c r="A237" s="4"/>
      <c r="B237" s="4"/>
      <c r="C237" s="4"/>
    </row>
    <row r="238" spans="1:3" ht="15.75" customHeight="1" x14ac:dyDescent="0.25">
      <c r="A238" s="4"/>
      <c r="B238" s="4"/>
      <c r="C238" s="4"/>
    </row>
    <row r="239" spans="1:3" ht="15.75" customHeight="1" x14ac:dyDescent="0.25">
      <c r="A239" s="4"/>
      <c r="B239" s="4"/>
      <c r="C239" s="4"/>
    </row>
    <row r="240" spans="1:3" ht="15.75" customHeight="1" x14ac:dyDescent="0.25">
      <c r="A240" s="4"/>
      <c r="B240" s="4"/>
      <c r="C240" s="4"/>
    </row>
    <row r="241" spans="1:3" ht="15.75" customHeight="1" x14ac:dyDescent="0.25">
      <c r="A241" s="4"/>
      <c r="B241" s="4"/>
      <c r="C241" s="4"/>
    </row>
    <row r="242" spans="1:3" ht="15.75" customHeight="1" x14ac:dyDescent="0.25">
      <c r="A242" s="4"/>
      <c r="B242" s="4"/>
      <c r="C242" s="4"/>
    </row>
    <row r="243" spans="1:3" ht="15.75" customHeight="1" x14ac:dyDescent="0.25">
      <c r="A243" s="4"/>
      <c r="B243" s="4"/>
      <c r="C243" s="4"/>
    </row>
    <row r="244" spans="1:3" ht="15.75" customHeight="1" x14ac:dyDescent="0.25">
      <c r="A244" s="4"/>
      <c r="B244" s="4"/>
      <c r="C244" s="4"/>
    </row>
    <row r="245" spans="1:3" ht="15.75" customHeight="1" x14ac:dyDescent="0.25">
      <c r="A245" s="4"/>
      <c r="B245" s="4"/>
      <c r="C245" s="4"/>
    </row>
    <row r="246" spans="1:3" ht="15.75" customHeight="1" x14ac:dyDescent="0.25">
      <c r="A246" s="4"/>
      <c r="B246" s="4"/>
      <c r="C246" s="4"/>
    </row>
    <row r="247" spans="1:3" ht="15.75" customHeight="1" x14ac:dyDescent="0.25">
      <c r="A247" s="4"/>
      <c r="B247" s="4"/>
      <c r="C247" s="4"/>
    </row>
    <row r="248" spans="1:3" ht="15.75" customHeight="1" x14ac:dyDescent="0.25">
      <c r="A248" s="4"/>
      <c r="B248" s="4"/>
      <c r="C248" s="4"/>
    </row>
    <row r="249" spans="1:3" ht="15.75" customHeight="1" x14ac:dyDescent="0.25">
      <c r="A249" s="4"/>
      <c r="B249" s="4"/>
      <c r="C249" s="4"/>
    </row>
    <row r="250" spans="1:3" ht="15.75" customHeight="1" x14ac:dyDescent="0.25">
      <c r="A250" s="4"/>
      <c r="B250" s="4"/>
      <c r="C250" s="4"/>
    </row>
    <row r="251" spans="1:3" ht="15.75" customHeight="1" x14ac:dyDescent="0.25">
      <c r="A251" s="4"/>
      <c r="B251" s="4"/>
      <c r="C251" s="4"/>
    </row>
    <row r="252" spans="1:3" ht="15.75" customHeight="1" x14ac:dyDescent="0.25">
      <c r="A252" s="4"/>
      <c r="B252" s="4"/>
      <c r="C252" s="4"/>
    </row>
    <row r="253" spans="1:3" ht="15.75" customHeight="1" x14ac:dyDescent="0.25">
      <c r="A253" s="4"/>
      <c r="B253" s="4"/>
      <c r="C253" s="4"/>
    </row>
    <row r="254" spans="1:3" ht="15.75" customHeight="1" x14ac:dyDescent="0.25">
      <c r="A254" s="4"/>
      <c r="B254" s="4"/>
      <c r="C254" s="4"/>
    </row>
    <row r="255" spans="1:3" ht="15.75" customHeight="1" x14ac:dyDescent="0.25">
      <c r="A255" s="4"/>
      <c r="B255" s="4"/>
      <c r="C255" s="4"/>
    </row>
    <row r="256" spans="1:3" ht="15.75" customHeight="1" x14ac:dyDescent="0.25">
      <c r="A256" s="4"/>
      <c r="B256" s="4"/>
      <c r="C256" s="4"/>
    </row>
    <row r="257" spans="1:3" ht="15.75" customHeight="1" x14ac:dyDescent="0.25">
      <c r="A257" s="4"/>
      <c r="B257" s="4"/>
      <c r="C257" s="4"/>
    </row>
    <row r="258" spans="1:3" ht="15.75" customHeight="1" x14ac:dyDescent="0.25">
      <c r="A258" s="4"/>
      <c r="B258" s="4"/>
      <c r="C258" s="4"/>
    </row>
    <row r="259" spans="1:3" ht="15.75" customHeight="1" x14ac:dyDescent="0.25">
      <c r="A259" s="4"/>
      <c r="B259" s="4"/>
      <c r="C259" s="4"/>
    </row>
    <row r="260" spans="1:3" ht="15.75" customHeight="1" x14ac:dyDescent="0.25">
      <c r="A260" s="4"/>
      <c r="B260" s="4"/>
      <c r="C260" s="4"/>
    </row>
    <row r="261" spans="1:3" ht="15.75" customHeight="1" x14ac:dyDescent="0.25">
      <c r="A261" s="4"/>
      <c r="B261" s="4"/>
      <c r="C261" s="4"/>
    </row>
    <row r="262" spans="1:3" ht="15.75" customHeight="1" x14ac:dyDescent="0.25">
      <c r="A262" s="4"/>
      <c r="B262" s="4"/>
      <c r="C262" s="4"/>
    </row>
    <row r="263" spans="1:3" ht="15.75" customHeight="1" x14ac:dyDescent="0.25">
      <c r="A263" s="4"/>
      <c r="B263" s="4"/>
      <c r="C263" s="4"/>
    </row>
    <row r="264" spans="1:3" ht="15.75" customHeight="1" x14ac:dyDescent="0.25">
      <c r="A264" s="4"/>
      <c r="B264" s="4"/>
      <c r="C264" s="4"/>
    </row>
    <row r="265" spans="1:3" ht="15.75" customHeight="1" x14ac:dyDescent="0.25">
      <c r="A265" s="4"/>
      <c r="B265" s="4"/>
      <c r="C265" s="4"/>
    </row>
    <row r="266" spans="1:3" ht="15.75" customHeight="1" x14ac:dyDescent="0.25">
      <c r="A266" s="4"/>
      <c r="B266" s="4"/>
      <c r="C266" s="4"/>
    </row>
    <row r="267" spans="1:3" ht="15.75" customHeight="1" x14ac:dyDescent="0.25">
      <c r="A267" s="4"/>
      <c r="B267" s="4"/>
      <c r="C267" s="4"/>
    </row>
    <row r="268" spans="1:3" ht="15.75" customHeight="1" x14ac:dyDescent="0.25">
      <c r="A268" s="4"/>
      <c r="B268" s="4"/>
      <c r="C268" s="4"/>
    </row>
    <row r="269" spans="1:3" ht="15.75" customHeight="1" x14ac:dyDescent="0.25">
      <c r="A269" s="4"/>
      <c r="B269" s="4"/>
      <c r="C269" s="4"/>
    </row>
    <row r="270" spans="1:3" ht="15.75" customHeight="1" x14ac:dyDescent="0.25">
      <c r="A270" s="4"/>
      <c r="B270" s="4"/>
      <c r="C270" s="4"/>
    </row>
    <row r="271" spans="1:3" ht="15.75" customHeight="1" x14ac:dyDescent="0.25">
      <c r="A271" s="4"/>
      <c r="B271" s="4"/>
      <c r="C271" s="4"/>
    </row>
    <row r="272" spans="1:3" ht="15.75" customHeight="1" x14ac:dyDescent="0.25">
      <c r="A272" s="4"/>
      <c r="B272" s="4"/>
      <c r="C272" s="4"/>
    </row>
    <row r="273" spans="1:3" ht="15.75" customHeight="1" x14ac:dyDescent="0.25">
      <c r="A273" s="4"/>
      <c r="B273" s="4"/>
      <c r="C273" s="4"/>
    </row>
    <row r="274" spans="1:3" ht="15.75" customHeight="1" x14ac:dyDescent="0.25">
      <c r="A274" s="4"/>
      <c r="B274" s="4"/>
      <c r="C274" s="4"/>
    </row>
    <row r="275" spans="1:3" ht="15.75" customHeight="1" x14ac:dyDescent="0.25">
      <c r="A275" s="4"/>
      <c r="B275" s="4"/>
      <c r="C275" s="4"/>
    </row>
    <row r="276" spans="1:3" ht="15.75" customHeight="1" x14ac:dyDescent="0.25">
      <c r="A276" s="4"/>
      <c r="B276" s="4"/>
      <c r="C276" s="4"/>
    </row>
    <row r="277" spans="1:3" ht="15.75" customHeight="1" x14ac:dyDescent="0.25">
      <c r="A277" s="4"/>
      <c r="B277" s="4"/>
      <c r="C277" s="4"/>
    </row>
    <row r="278" spans="1:3" ht="15.75" customHeight="1" x14ac:dyDescent="0.25">
      <c r="A278" s="4"/>
      <c r="B278" s="4"/>
      <c r="C278" s="4"/>
    </row>
    <row r="279" spans="1:3" ht="15.75" customHeight="1" x14ac:dyDescent="0.25">
      <c r="A279" s="4"/>
      <c r="B279" s="4"/>
      <c r="C279" s="4"/>
    </row>
    <row r="280" spans="1:3" ht="15.75" customHeight="1" x14ac:dyDescent="0.25">
      <c r="A280" s="4"/>
      <c r="B280" s="4"/>
      <c r="C280" s="4"/>
    </row>
    <row r="281" spans="1:3" ht="15.75" customHeight="1" x14ac:dyDescent="0.25">
      <c r="A281" s="4"/>
      <c r="B281" s="4"/>
      <c r="C281" s="4"/>
    </row>
    <row r="282" spans="1:3" ht="15.75" customHeight="1" x14ac:dyDescent="0.25">
      <c r="A282" s="4"/>
      <c r="B282" s="4"/>
      <c r="C282" s="4"/>
    </row>
    <row r="283" spans="1:3" ht="15.75" customHeight="1" x14ac:dyDescent="0.25">
      <c r="A283" s="4"/>
      <c r="B283" s="4"/>
      <c r="C283" s="4"/>
    </row>
    <row r="284" spans="1:3" ht="15.75" customHeight="1" x14ac:dyDescent="0.25">
      <c r="A284" s="4"/>
      <c r="B284" s="4"/>
      <c r="C284" s="4"/>
    </row>
    <row r="285" spans="1:3" ht="15.75" customHeight="1" x14ac:dyDescent="0.25">
      <c r="A285" s="4"/>
      <c r="B285" s="4"/>
      <c r="C285" s="4"/>
    </row>
    <row r="286" spans="1:3" ht="15.75" customHeight="1" x14ac:dyDescent="0.25">
      <c r="A286" s="4"/>
      <c r="B286" s="4"/>
      <c r="C286" s="4"/>
    </row>
    <row r="287" spans="1:3" ht="15.75" customHeight="1" x14ac:dyDescent="0.25">
      <c r="A287" s="4"/>
      <c r="B287" s="4"/>
      <c r="C287" s="4"/>
    </row>
    <row r="288" spans="1:3" ht="15.75" customHeight="1" x14ac:dyDescent="0.25">
      <c r="A288" s="4"/>
      <c r="B288" s="4"/>
      <c r="C288" s="4"/>
    </row>
    <row r="289" spans="1:3" ht="15.75" customHeight="1" x14ac:dyDescent="0.25">
      <c r="A289" s="4"/>
      <c r="B289" s="4"/>
      <c r="C289" s="4"/>
    </row>
    <row r="290" spans="1:3" ht="15.75" customHeight="1" x14ac:dyDescent="0.25">
      <c r="A290" s="4"/>
      <c r="B290" s="4"/>
      <c r="C290" s="4"/>
    </row>
    <row r="291" spans="1:3" ht="15.75" customHeight="1" x14ac:dyDescent="0.25">
      <c r="A291" s="4"/>
      <c r="B291" s="4"/>
      <c r="C291" s="4"/>
    </row>
    <row r="292" spans="1:3" ht="15.75" customHeight="1" x14ac:dyDescent="0.25">
      <c r="A292" s="4"/>
      <c r="B292" s="4"/>
      <c r="C292" s="4"/>
    </row>
    <row r="293" spans="1:3" ht="15.75" customHeight="1" x14ac:dyDescent="0.25">
      <c r="A293" s="4"/>
      <c r="B293" s="4"/>
      <c r="C293" s="4"/>
    </row>
    <row r="294" spans="1:3" ht="15.75" customHeight="1" x14ac:dyDescent="0.25">
      <c r="A294" s="4"/>
      <c r="B294" s="4"/>
      <c r="C294" s="4"/>
    </row>
    <row r="295" spans="1:3" ht="15.75" customHeight="1" x14ac:dyDescent="0.25">
      <c r="A295" s="4"/>
      <c r="B295" s="4"/>
      <c r="C295" s="4"/>
    </row>
    <row r="296" spans="1:3" ht="15.75" customHeight="1" x14ac:dyDescent="0.25">
      <c r="A296" s="4"/>
      <c r="B296" s="4"/>
      <c r="C296" s="4"/>
    </row>
    <row r="297" spans="1:3" ht="15.75" customHeight="1" x14ac:dyDescent="0.25">
      <c r="A297" s="4"/>
      <c r="B297" s="4"/>
      <c r="C297" s="4"/>
    </row>
    <row r="298" spans="1:3" ht="15.75" customHeight="1" x14ac:dyDescent="0.25">
      <c r="A298" s="4"/>
      <c r="B298" s="4"/>
      <c r="C298" s="4"/>
    </row>
    <row r="299" spans="1:3" ht="15.75" customHeight="1" x14ac:dyDescent="0.25">
      <c r="A299" s="4"/>
      <c r="B299" s="4"/>
      <c r="C299" s="4"/>
    </row>
    <row r="300" spans="1:3" ht="15.75" customHeight="1" x14ac:dyDescent="0.25">
      <c r="A300" s="4"/>
      <c r="B300" s="4"/>
      <c r="C300" s="4"/>
    </row>
    <row r="301" spans="1:3" ht="15.75" customHeight="1" x14ac:dyDescent="0.25">
      <c r="A301" s="4"/>
      <c r="B301" s="4"/>
      <c r="C301" s="4"/>
    </row>
    <row r="302" spans="1:3" ht="15.75" customHeight="1" x14ac:dyDescent="0.25">
      <c r="A302" s="4"/>
      <c r="B302" s="4"/>
      <c r="C302" s="4"/>
    </row>
    <row r="303" spans="1:3" ht="15.75" customHeight="1" x14ac:dyDescent="0.25">
      <c r="A303" s="4"/>
      <c r="B303" s="4"/>
      <c r="C303" s="4"/>
    </row>
    <row r="304" spans="1:3" ht="15.75" customHeight="1" x14ac:dyDescent="0.25">
      <c r="A304" s="4"/>
      <c r="B304" s="4"/>
      <c r="C304" s="4"/>
    </row>
    <row r="305" spans="1:3" ht="15.75" customHeight="1" x14ac:dyDescent="0.25">
      <c r="A305" s="4"/>
      <c r="B305" s="4"/>
      <c r="C305" s="4"/>
    </row>
    <row r="306" spans="1:3" ht="15.75" customHeight="1" x14ac:dyDescent="0.25">
      <c r="A306" s="4"/>
      <c r="B306" s="4"/>
      <c r="C306" s="4"/>
    </row>
    <row r="307" spans="1:3" ht="15.75" customHeight="1" x14ac:dyDescent="0.25">
      <c r="A307" s="4"/>
      <c r="B307" s="4"/>
      <c r="C307" s="4"/>
    </row>
    <row r="308" spans="1:3" ht="15.75" customHeight="1" x14ac:dyDescent="0.25">
      <c r="A308" s="4"/>
      <c r="B308" s="4"/>
      <c r="C308" s="4"/>
    </row>
    <row r="309" spans="1:3" ht="15.75" customHeight="1" x14ac:dyDescent="0.25">
      <c r="A309" s="4"/>
      <c r="B309" s="4"/>
      <c r="C309" s="4"/>
    </row>
    <row r="310" spans="1:3" ht="15.75" customHeight="1" x14ac:dyDescent="0.25">
      <c r="A310" s="4"/>
      <c r="B310" s="4"/>
      <c r="C310" s="4"/>
    </row>
    <row r="311" spans="1:3" ht="15.75" customHeight="1" x14ac:dyDescent="0.25">
      <c r="A311" s="4"/>
      <c r="B311" s="4"/>
      <c r="C311" s="4"/>
    </row>
    <row r="312" spans="1:3" ht="15.75" customHeight="1" x14ac:dyDescent="0.25">
      <c r="A312" s="4"/>
      <c r="B312" s="4"/>
      <c r="C312" s="4"/>
    </row>
    <row r="313" spans="1:3" ht="15.75" customHeight="1" x14ac:dyDescent="0.25">
      <c r="A313" s="4"/>
      <c r="B313" s="4"/>
      <c r="C313" s="4"/>
    </row>
    <row r="314" spans="1:3" ht="15.75" customHeight="1" x14ac:dyDescent="0.25">
      <c r="A314" s="4"/>
      <c r="B314" s="4"/>
      <c r="C314" s="4"/>
    </row>
    <row r="315" spans="1:3" ht="15.75" customHeight="1" x14ac:dyDescent="0.25">
      <c r="A315" s="4"/>
      <c r="B315" s="4"/>
      <c r="C315" s="4"/>
    </row>
    <row r="316" spans="1:3" ht="15.75" customHeight="1" x14ac:dyDescent="0.25">
      <c r="A316" s="4"/>
      <c r="B316" s="4"/>
      <c r="C316" s="4"/>
    </row>
    <row r="317" spans="1:3" ht="15.75" customHeight="1" x14ac:dyDescent="0.25">
      <c r="A317" s="4"/>
      <c r="B317" s="4"/>
      <c r="C317" s="4"/>
    </row>
    <row r="318" spans="1:3" ht="15.75" customHeight="1" x14ac:dyDescent="0.25">
      <c r="A318" s="4"/>
      <c r="B318" s="4"/>
      <c r="C318" s="4"/>
    </row>
    <row r="319" spans="1:3" ht="15.75" customHeight="1" x14ac:dyDescent="0.25">
      <c r="A319" s="4"/>
      <c r="B319" s="4"/>
      <c r="C319" s="4"/>
    </row>
    <row r="320" spans="1:3" ht="15.75" customHeight="1" x14ac:dyDescent="0.25">
      <c r="A320" s="4"/>
      <c r="B320" s="4"/>
      <c r="C320" s="4"/>
    </row>
    <row r="321" spans="1:3" ht="15.75" customHeight="1" x14ac:dyDescent="0.25">
      <c r="A321" s="4"/>
      <c r="B321" s="4"/>
      <c r="C321" s="4"/>
    </row>
    <row r="322" spans="1:3" ht="15.75" customHeight="1" x14ac:dyDescent="0.25">
      <c r="A322" s="4"/>
      <c r="B322" s="4"/>
      <c r="C322" s="4"/>
    </row>
    <row r="323" spans="1:3" ht="15.75" customHeight="1" x14ac:dyDescent="0.25">
      <c r="A323" s="4"/>
      <c r="B323" s="4"/>
      <c r="C323" s="4"/>
    </row>
    <row r="324" spans="1:3" ht="15.75" customHeight="1" x14ac:dyDescent="0.25">
      <c r="A324" s="4"/>
      <c r="B324" s="4"/>
      <c r="C324" s="4"/>
    </row>
    <row r="325" spans="1:3" ht="15.75" customHeight="1" x14ac:dyDescent="0.25">
      <c r="A325" s="4"/>
      <c r="B325" s="4"/>
      <c r="C325" s="4"/>
    </row>
    <row r="326" spans="1:3" ht="15.75" customHeight="1" x14ac:dyDescent="0.25">
      <c r="A326" s="4"/>
      <c r="B326" s="4"/>
      <c r="C326" s="4"/>
    </row>
    <row r="327" spans="1:3" ht="15.75" customHeight="1" x14ac:dyDescent="0.25">
      <c r="A327" s="4"/>
      <c r="B327" s="4"/>
      <c r="C327" s="4"/>
    </row>
    <row r="328" spans="1:3" ht="15.75" customHeight="1" x14ac:dyDescent="0.25">
      <c r="A328" s="4"/>
      <c r="B328" s="4"/>
      <c r="C328" s="4"/>
    </row>
    <row r="329" spans="1:3" ht="15.75" customHeight="1" x14ac:dyDescent="0.25">
      <c r="A329" s="4"/>
      <c r="B329" s="4"/>
      <c r="C329" s="4"/>
    </row>
    <row r="330" spans="1:3" ht="15.75" customHeight="1" x14ac:dyDescent="0.25">
      <c r="A330" s="4"/>
      <c r="B330" s="4"/>
      <c r="C330" s="4"/>
    </row>
    <row r="331" spans="1:3" ht="15.75" customHeight="1" x14ac:dyDescent="0.25">
      <c r="A331" s="4"/>
      <c r="B331" s="4"/>
      <c r="C331" s="4"/>
    </row>
    <row r="332" spans="1:3" ht="15.75" customHeight="1" x14ac:dyDescent="0.25">
      <c r="A332" s="4"/>
      <c r="B332" s="4"/>
      <c r="C332" s="4"/>
    </row>
    <row r="333" spans="1:3" ht="15.75" customHeight="1" x14ac:dyDescent="0.25">
      <c r="A333" s="4"/>
      <c r="B333" s="4"/>
      <c r="C333" s="4"/>
    </row>
    <row r="334" spans="1:3" ht="15.75" customHeight="1" x14ac:dyDescent="0.25">
      <c r="A334" s="4"/>
      <c r="B334" s="4"/>
      <c r="C334" s="4"/>
    </row>
    <row r="335" spans="1:3" ht="15.75" customHeight="1" x14ac:dyDescent="0.25">
      <c r="A335" s="4"/>
      <c r="B335" s="4"/>
      <c r="C335" s="4"/>
    </row>
    <row r="336" spans="1:3" ht="15.75" customHeight="1" x14ac:dyDescent="0.25">
      <c r="A336" s="4"/>
      <c r="B336" s="4"/>
      <c r="C336" s="4"/>
    </row>
    <row r="337" spans="1:3" ht="15.75" customHeight="1" x14ac:dyDescent="0.25">
      <c r="A337" s="4"/>
      <c r="B337" s="4"/>
      <c r="C337" s="4"/>
    </row>
    <row r="338" spans="1:3" ht="15.75" customHeight="1" x14ac:dyDescent="0.25">
      <c r="A338" s="4"/>
      <c r="B338" s="4"/>
      <c r="C338" s="4"/>
    </row>
    <row r="339" spans="1:3" ht="15.75" customHeight="1" x14ac:dyDescent="0.25">
      <c r="A339" s="4"/>
      <c r="B339" s="4"/>
      <c r="C339" s="4"/>
    </row>
    <row r="340" spans="1:3" ht="15.75" customHeight="1" x14ac:dyDescent="0.25">
      <c r="A340" s="4"/>
      <c r="B340" s="4"/>
      <c r="C340" s="4"/>
    </row>
    <row r="341" spans="1:3" ht="15.75" customHeight="1" x14ac:dyDescent="0.25">
      <c r="A341" s="4"/>
      <c r="B341" s="4"/>
      <c r="C341" s="4"/>
    </row>
    <row r="342" spans="1:3" ht="15.75" customHeight="1" x14ac:dyDescent="0.25">
      <c r="A342" s="4"/>
      <c r="B342" s="4"/>
      <c r="C342" s="4"/>
    </row>
    <row r="343" spans="1:3" ht="15.75" customHeight="1" x14ac:dyDescent="0.25">
      <c r="A343" s="4"/>
      <c r="B343" s="4"/>
      <c r="C343" s="4"/>
    </row>
    <row r="344" spans="1:3" ht="15.75" customHeight="1" x14ac:dyDescent="0.25">
      <c r="A344" s="4"/>
      <c r="B344" s="4"/>
      <c r="C344" s="4"/>
    </row>
    <row r="345" spans="1:3" ht="15.75" customHeight="1" x14ac:dyDescent="0.25">
      <c r="A345" s="4"/>
      <c r="B345" s="4"/>
      <c r="C345" s="4"/>
    </row>
    <row r="346" spans="1:3" ht="15.75" customHeight="1" x14ac:dyDescent="0.25">
      <c r="A346" s="4"/>
      <c r="B346" s="4"/>
      <c r="C346" s="4"/>
    </row>
    <row r="347" spans="1:3" ht="15.75" customHeight="1" x14ac:dyDescent="0.25">
      <c r="A347" s="4"/>
      <c r="B347" s="4"/>
      <c r="C347" s="4"/>
    </row>
    <row r="348" spans="1:3" ht="15.75" customHeight="1" x14ac:dyDescent="0.25">
      <c r="A348" s="4"/>
      <c r="B348" s="4"/>
      <c r="C348" s="4"/>
    </row>
    <row r="349" spans="1:3" ht="15.75" customHeight="1" x14ac:dyDescent="0.25">
      <c r="A349" s="4"/>
      <c r="B349" s="4"/>
      <c r="C349" s="4"/>
    </row>
    <row r="350" spans="1:3" ht="15.75" customHeight="1" x14ac:dyDescent="0.25">
      <c r="A350" s="4"/>
      <c r="B350" s="4"/>
      <c r="C350" s="4"/>
    </row>
    <row r="351" spans="1:3" ht="15.75" customHeight="1" x14ac:dyDescent="0.25">
      <c r="A351" s="4"/>
      <c r="B351" s="4"/>
      <c r="C351" s="4"/>
    </row>
    <row r="352" spans="1:3" ht="15.75" customHeight="1" x14ac:dyDescent="0.25">
      <c r="A352" s="4"/>
      <c r="B352" s="4"/>
      <c r="C352" s="4"/>
    </row>
    <row r="353" spans="1:3" ht="15.75" customHeight="1" x14ac:dyDescent="0.25">
      <c r="A353" s="4"/>
      <c r="B353" s="4"/>
      <c r="C353" s="4"/>
    </row>
    <row r="354" spans="1:3" ht="15.75" customHeight="1" x14ac:dyDescent="0.25">
      <c r="A354" s="4"/>
      <c r="B354" s="4"/>
      <c r="C354" s="4"/>
    </row>
    <row r="355" spans="1:3" ht="15.75" customHeight="1" x14ac:dyDescent="0.25">
      <c r="A355" s="4"/>
      <c r="B355" s="4"/>
      <c r="C355" s="4"/>
    </row>
    <row r="356" spans="1:3" ht="15.75" customHeight="1" x14ac:dyDescent="0.25">
      <c r="A356" s="4"/>
      <c r="B356" s="4"/>
      <c r="C356" s="4"/>
    </row>
    <row r="357" spans="1:3" ht="15.75" customHeight="1" x14ac:dyDescent="0.25">
      <c r="A357" s="4"/>
      <c r="B357" s="4"/>
      <c r="C357" s="4"/>
    </row>
    <row r="358" spans="1:3" ht="15.75" customHeight="1" x14ac:dyDescent="0.25">
      <c r="A358" s="4"/>
      <c r="B358" s="4"/>
      <c r="C358" s="4"/>
    </row>
    <row r="359" spans="1:3" ht="15.75" customHeight="1" x14ac:dyDescent="0.25">
      <c r="A359" s="4"/>
      <c r="B359" s="4"/>
      <c r="C359" s="4"/>
    </row>
    <row r="360" spans="1:3" ht="15.75" customHeight="1" x14ac:dyDescent="0.25">
      <c r="A360" s="4"/>
      <c r="B360" s="4"/>
      <c r="C360" s="4"/>
    </row>
    <row r="361" spans="1:3" ht="15.75" customHeight="1" x14ac:dyDescent="0.25">
      <c r="A361" s="4"/>
      <c r="B361" s="4"/>
      <c r="C361" s="4"/>
    </row>
    <row r="362" spans="1:3" ht="15.75" customHeight="1" x14ac:dyDescent="0.25">
      <c r="A362" s="4"/>
      <c r="B362" s="4"/>
      <c r="C362" s="4"/>
    </row>
    <row r="363" spans="1:3" ht="15.75" customHeight="1" x14ac:dyDescent="0.25">
      <c r="A363" s="4"/>
      <c r="B363" s="4"/>
      <c r="C363" s="4"/>
    </row>
    <row r="364" spans="1:3" ht="15.75" customHeight="1" x14ac:dyDescent="0.25">
      <c r="A364" s="4"/>
      <c r="B364" s="4"/>
      <c r="C364" s="4"/>
    </row>
    <row r="365" spans="1:3" ht="15.75" customHeight="1" x14ac:dyDescent="0.25">
      <c r="A365" s="4"/>
      <c r="B365" s="4"/>
      <c r="C365" s="4"/>
    </row>
    <row r="366" spans="1:3" ht="15.75" customHeight="1" x14ac:dyDescent="0.25">
      <c r="A366" s="4"/>
      <c r="B366" s="4"/>
      <c r="C366" s="4"/>
    </row>
    <row r="367" spans="1:3" ht="15.75" customHeight="1" x14ac:dyDescent="0.25">
      <c r="A367" s="4"/>
      <c r="B367" s="4"/>
      <c r="C367" s="4"/>
    </row>
    <row r="368" spans="1:3" ht="15.75" customHeight="1" x14ac:dyDescent="0.25">
      <c r="A368" s="4"/>
      <c r="B368" s="4"/>
      <c r="C368" s="4"/>
    </row>
    <row r="369" spans="1:3" ht="15.75" customHeight="1" x14ac:dyDescent="0.25">
      <c r="A369" s="4"/>
      <c r="B369" s="4"/>
      <c r="C369" s="4"/>
    </row>
    <row r="370" spans="1:3" ht="15.75" customHeight="1" x14ac:dyDescent="0.25">
      <c r="A370" s="4"/>
      <c r="B370" s="4"/>
      <c r="C370" s="4"/>
    </row>
    <row r="371" spans="1:3" ht="15.75" customHeight="1" x14ac:dyDescent="0.25">
      <c r="A371" s="4"/>
      <c r="B371" s="4"/>
      <c r="C371" s="4"/>
    </row>
    <row r="372" spans="1:3" ht="15.75" customHeight="1" x14ac:dyDescent="0.25">
      <c r="A372" s="4"/>
      <c r="B372" s="4"/>
      <c r="C372" s="4"/>
    </row>
    <row r="373" spans="1:3" ht="15.75" customHeight="1" x14ac:dyDescent="0.25">
      <c r="A373" s="4"/>
      <c r="B373" s="4"/>
      <c r="C373" s="4"/>
    </row>
    <row r="374" spans="1:3" ht="15.75" customHeight="1" x14ac:dyDescent="0.25">
      <c r="A374" s="4"/>
      <c r="B374" s="4"/>
      <c r="C374" s="4"/>
    </row>
    <row r="375" spans="1:3" ht="15.75" customHeight="1" x14ac:dyDescent="0.25">
      <c r="A375" s="4"/>
      <c r="B375" s="4"/>
      <c r="C375" s="4"/>
    </row>
    <row r="376" spans="1:3" ht="15.75" customHeight="1" x14ac:dyDescent="0.25">
      <c r="A376" s="4"/>
      <c r="B376" s="4"/>
      <c r="C376" s="4"/>
    </row>
    <row r="377" spans="1:3" ht="15.75" customHeight="1" x14ac:dyDescent="0.25">
      <c r="A377" s="4"/>
      <c r="B377" s="4"/>
      <c r="C377" s="4"/>
    </row>
    <row r="378" spans="1:3" ht="15.75" customHeight="1" x14ac:dyDescent="0.25">
      <c r="A378" s="4"/>
      <c r="B378" s="4"/>
      <c r="C378" s="4"/>
    </row>
    <row r="379" spans="1:3" ht="15.75" customHeight="1" x14ac:dyDescent="0.25">
      <c r="A379" s="4"/>
      <c r="B379" s="4"/>
      <c r="C379" s="4"/>
    </row>
    <row r="380" spans="1:3" ht="15.75" customHeight="1" x14ac:dyDescent="0.25">
      <c r="A380" s="4"/>
      <c r="B380" s="4"/>
      <c r="C380" s="4"/>
    </row>
    <row r="381" spans="1:3" ht="15.75" customHeight="1" x14ac:dyDescent="0.25">
      <c r="A381" s="4"/>
      <c r="B381" s="4"/>
      <c r="C381" s="4"/>
    </row>
    <row r="382" spans="1:3" ht="15.75" customHeight="1" x14ac:dyDescent="0.25">
      <c r="A382" s="4"/>
      <c r="B382" s="4"/>
      <c r="C382" s="4"/>
    </row>
    <row r="383" spans="1:3" ht="15.75" customHeight="1" x14ac:dyDescent="0.25">
      <c r="A383" s="4"/>
      <c r="B383" s="4"/>
      <c r="C383" s="4"/>
    </row>
    <row r="384" spans="1:3" ht="15.75" customHeight="1" x14ac:dyDescent="0.25">
      <c r="A384" s="4"/>
      <c r="B384" s="4"/>
      <c r="C384" s="4"/>
    </row>
    <row r="385" spans="1:3" ht="15.75" customHeight="1" x14ac:dyDescent="0.25">
      <c r="A385" s="4"/>
      <c r="B385" s="4"/>
      <c r="C385" s="4"/>
    </row>
    <row r="386" spans="1:3" ht="15.75" customHeight="1" x14ac:dyDescent="0.25">
      <c r="A386" s="4"/>
      <c r="B386" s="4"/>
      <c r="C386" s="4"/>
    </row>
    <row r="387" spans="1:3" ht="15.75" customHeight="1" x14ac:dyDescent="0.25">
      <c r="A387" s="4"/>
      <c r="B387" s="4"/>
      <c r="C387" s="4"/>
    </row>
    <row r="388" spans="1:3" ht="15.75" customHeight="1" x14ac:dyDescent="0.25">
      <c r="A388" s="4"/>
      <c r="B388" s="4"/>
      <c r="C388" s="4"/>
    </row>
    <row r="389" spans="1:3" ht="15.75" customHeight="1" x14ac:dyDescent="0.25">
      <c r="A389" s="4"/>
      <c r="B389" s="4"/>
      <c r="C389" s="4"/>
    </row>
    <row r="390" spans="1:3" ht="15.75" customHeight="1" x14ac:dyDescent="0.25">
      <c r="A390" s="4"/>
      <c r="B390" s="4"/>
      <c r="C390" s="4"/>
    </row>
    <row r="391" spans="1:3" ht="15.75" customHeight="1" x14ac:dyDescent="0.25">
      <c r="A391" s="4"/>
      <c r="B391" s="4"/>
      <c r="C391" s="4"/>
    </row>
    <row r="392" spans="1:3" ht="15.75" customHeight="1" x14ac:dyDescent="0.25">
      <c r="A392" s="4"/>
      <c r="B392" s="4"/>
      <c r="C392" s="4"/>
    </row>
    <row r="393" spans="1:3" ht="15.75" customHeight="1" x14ac:dyDescent="0.25">
      <c r="A393" s="4"/>
      <c r="B393" s="4"/>
      <c r="C393" s="4"/>
    </row>
    <row r="394" spans="1:3" ht="15.75" customHeight="1" x14ac:dyDescent="0.25">
      <c r="A394" s="4"/>
      <c r="B394" s="4"/>
      <c r="C394" s="4"/>
    </row>
    <row r="395" spans="1:3" ht="15.75" customHeight="1" x14ac:dyDescent="0.25">
      <c r="A395" s="4"/>
      <c r="B395" s="4"/>
      <c r="C395" s="4"/>
    </row>
    <row r="396" spans="1:3" ht="15.75" customHeight="1" x14ac:dyDescent="0.25">
      <c r="A396" s="4"/>
      <c r="B396" s="4"/>
      <c r="C396" s="4"/>
    </row>
    <row r="397" spans="1:3" ht="15.75" customHeight="1" x14ac:dyDescent="0.25">
      <c r="A397" s="4"/>
      <c r="B397" s="4"/>
      <c r="C397" s="4"/>
    </row>
    <row r="398" spans="1:3" ht="15.75" customHeight="1" x14ac:dyDescent="0.25">
      <c r="A398" s="4"/>
      <c r="B398" s="4"/>
      <c r="C398" s="4"/>
    </row>
    <row r="399" spans="1:3" ht="15.75" customHeight="1" x14ac:dyDescent="0.25">
      <c r="A399" s="4"/>
      <c r="B399" s="4"/>
      <c r="C399" s="4"/>
    </row>
    <row r="400" spans="1:3" ht="15.75" customHeight="1" x14ac:dyDescent="0.25">
      <c r="A400" s="4"/>
      <c r="B400" s="4"/>
      <c r="C400" s="4"/>
    </row>
    <row r="401" spans="1:3" ht="15.75" customHeight="1" x14ac:dyDescent="0.25">
      <c r="A401" s="4"/>
      <c r="B401" s="4"/>
      <c r="C401" s="4"/>
    </row>
    <row r="402" spans="1:3" ht="15.75" customHeight="1" x14ac:dyDescent="0.25">
      <c r="A402" s="4"/>
      <c r="B402" s="4"/>
      <c r="C402" s="4"/>
    </row>
    <row r="403" spans="1:3" ht="15.75" customHeight="1" x14ac:dyDescent="0.25">
      <c r="A403" s="4"/>
      <c r="B403" s="4"/>
      <c r="C403" s="4"/>
    </row>
    <row r="404" spans="1:3" ht="15.75" customHeight="1" x14ac:dyDescent="0.25">
      <c r="A404" s="4"/>
      <c r="B404" s="4"/>
      <c r="C404" s="4"/>
    </row>
    <row r="405" spans="1:3" ht="15.75" customHeight="1" x14ac:dyDescent="0.25">
      <c r="A405" s="4"/>
      <c r="B405" s="4"/>
      <c r="C405" s="4"/>
    </row>
    <row r="406" spans="1:3" ht="15.75" customHeight="1" x14ac:dyDescent="0.25">
      <c r="A406" s="4"/>
      <c r="B406" s="4"/>
      <c r="C406" s="4"/>
    </row>
    <row r="407" spans="1:3" ht="15.75" customHeight="1" x14ac:dyDescent="0.25">
      <c r="A407" s="4"/>
      <c r="B407" s="4"/>
      <c r="C407" s="4"/>
    </row>
    <row r="408" spans="1:3" ht="15.75" customHeight="1" x14ac:dyDescent="0.25">
      <c r="A408" s="4"/>
      <c r="B408" s="4"/>
      <c r="C408" s="4"/>
    </row>
    <row r="409" spans="1:3" ht="15.75" customHeight="1" x14ac:dyDescent="0.25">
      <c r="A409" s="4"/>
      <c r="B409" s="4"/>
      <c r="C409" s="4"/>
    </row>
    <row r="410" spans="1:3" ht="15.75" customHeight="1" x14ac:dyDescent="0.25">
      <c r="A410" s="4"/>
      <c r="B410" s="4"/>
      <c r="C410" s="4"/>
    </row>
    <row r="411" spans="1:3" ht="15.75" customHeight="1" x14ac:dyDescent="0.25">
      <c r="A411" s="4"/>
      <c r="B411" s="4"/>
      <c r="C411" s="4"/>
    </row>
    <row r="412" spans="1:3" ht="15.75" customHeight="1" x14ac:dyDescent="0.25">
      <c r="A412" s="4"/>
      <c r="B412" s="4"/>
      <c r="C412" s="4"/>
    </row>
    <row r="413" spans="1:3" ht="15.75" customHeight="1" x14ac:dyDescent="0.25">
      <c r="A413" s="4"/>
      <c r="B413" s="4"/>
      <c r="C413" s="4"/>
    </row>
    <row r="414" spans="1:3" ht="15.75" customHeight="1" x14ac:dyDescent="0.25">
      <c r="A414" s="4"/>
      <c r="B414" s="4"/>
      <c r="C414" s="4"/>
    </row>
    <row r="415" spans="1:3" ht="15.75" customHeight="1" x14ac:dyDescent="0.25">
      <c r="A415" s="4"/>
      <c r="B415" s="4"/>
      <c r="C415" s="4"/>
    </row>
    <row r="416" spans="1:3" ht="15.75" customHeight="1" x14ac:dyDescent="0.25">
      <c r="A416" s="4"/>
      <c r="B416" s="4"/>
      <c r="C416" s="4"/>
    </row>
    <row r="417" spans="1:3" ht="15.75" customHeight="1" x14ac:dyDescent="0.25">
      <c r="A417" s="4"/>
      <c r="B417" s="4"/>
      <c r="C417" s="4"/>
    </row>
    <row r="418" spans="1:3" ht="15.75" customHeight="1" x14ac:dyDescent="0.25">
      <c r="A418" s="4"/>
      <c r="B418" s="4"/>
      <c r="C418" s="4"/>
    </row>
    <row r="419" spans="1:3" ht="15.75" customHeight="1" x14ac:dyDescent="0.25">
      <c r="A419" s="4"/>
      <c r="B419" s="4"/>
      <c r="C419" s="4"/>
    </row>
    <row r="420" spans="1:3" ht="15.75" customHeight="1" x14ac:dyDescent="0.25">
      <c r="A420" s="4"/>
      <c r="B420" s="4"/>
      <c r="C420" s="4"/>
    </row>
    <row r="421" spans="1:3" ht="15.75" customHeight="1" x14ac:dyDescent="0.25">
      <c r="A421" s="4"/>
      <c r="B421" s="4"/>
      <c r="C421" s="4"/>
    </row>
    <row r="422" spans="1:3" ht="15.75" customHeight="1" x14ac:dyDescent="0.25">
      <c r="A422" s="4"/>
      <c r="B422" s="4"/>
      <c r="C422" s="4"/>
    </row>
    <row r="423" spans="1:3" ht="15.75" customHeight="1" x14ac:dyDescent="0.25">
      <c r="A423" s="4"/>
      <c r="B423" s="4"/>
      <c r="C423" s="4"/>
    </row>
    <row r="424" spans="1:3" ht="15.75" customHeight="1" x14ac:dyDescent="0.25">
      <c r="A424" s="4"/>
      <c r="B424" s="4"/>
      <c r="C424" s="4"/>
    </row>
    <row r="425" spans="1:3" ht="15.75" customHeight="1" x14ac:dyDescent="0.25">
      <c r="A425" s="4"/>
      <c r="B425" s="4"/>
      <c r="C425" s="4"/>
    </row>
    <row r="426" spans="1:3" ht="15.75" customHeight="1" x14ac:dyDescent="0.25">
      <c r="A426" s="4"/>
      <c r="B426" s="4"/>
      <c r="C426" s="4"/>
    </row>
    <row r="427" spans="1:3" ht="15.75" customHeight="1" x14ac:dyDescent="0.25">
      <c r="A427" s="4"/>
      <c r="B427" s="4"/>
      <c r="C427" s="4"/>
    </row>
    <row r="428" spans="1:3" ht="15.75" customHeight="1" x14ac:dyDescent="0.25">
      <c r="A428" s="4"/>
      <c r="B428" s="4"/>
      <c r="C428" s="4"/>
    </row>
    <row r="429" spans="1:3" ht="15.75" customHeight="1" x14ac:dyDescent="0.25">
      <c r="A429" s="4"/>
      <c r="B429" s="4"/>
      <c r="C429" s="4"/>
    </row>
    <row r="430" spans="1:3" ht="15.75" customHeight="1" x14ac:dyDescent="0.25">
      <c r="A430" s="4"/>
      <c r="B430" s="4"/>
      <c r="C430" s="4"/>
    </row>
    <row r="431" spans="1:3" ht="15.75" customHeight="1" x14ac:dyDescent="0.25">
      <c r="A431" s="4"/>
      <c r="B431" s="4"/>
      <c r="C431" s="4"/>
    </row>
    <row r="432" spans="1:3" ht="15.75" customHeight="1" x14ac:dyDescent="0.25">
      <c r="A432" s="4"/>
      <c r="B432" s="4"/>
      <c r="C432" s="4"/>
    </row>
    <row r="433" spans="1:3" ht="15.75" customHeight="1" x14ac:dyDescent="0.25">
      <c r="A433" s="4"/>
      <c r="B433" s="4"/>
      <c r="C433" s="4"/>
    </row>
    <row r="434" spans="1:3" ht="15.75" customHeight="1" x14ac:dyDescent="0.25">
      <c r="A434" s="4"/>
      <c r="B434" s="4"/>
      <c r="C434" s="4"/>
    </row>
    <row r="435" spans="1:3" ht="15.75" customHeight="1" x14ac:dyDescent="0.25">
      <c r="A435" s="4"/>
      <c r="B435" s="4"/>
      <c r="C435" s="4"/>
    </row>
    <row r="436" spans="1:3" ht="15.75" customHeight="1" x14ac:dyDescent="0.25">
      <c r="A436" s="4"/>
      <c r="B436" s="4"/>
      <c r="C436" s="4"/>
    </row>
    <row r="437" spans="1:3" ht="15.75" customHeight="1" x14ac:dyDescent="0.25">
      <c r="A437" s="4"/>
      <c r="B437" s="4"/>
      <c r="C437" s="4"/>
    </row>
    <row r="438" spans="1:3" ht="15.75" customHeight="1" x14ac:dyDescent="0.25">
      <c r="A438" s="4"/>
      <c r="B438" s="4"/>
      <c r="C438" s="4"/>
    </row>
    <row r="439" spans="1:3" ht="15.75" customHeight="1" x14ac:dyDescent="0.25">
      <c r="A439" s="4"/>
      <c r="B439" s="4"/>
      <c r="C439" s="4"/>
    </row>
    <row r="440" spans="1:3" ht="15.75" customHeight="1" x14ac:dyDescent="0.25">
      <c r="A440" s="4"/>
      <c r="B440" s="4"/>
      <c r="C440" s="4"/>
    </row>
    <row r="441" spans="1:3" ht="15.75" customHeight="1" x14ac:dyDescent="0.25">
      <c r="A441" s="4"/>
      <c r="B441" s="4"/>
      <c r="C441" s="4"/>
    </row>
    <row r="442" spans="1:3" ht="15.75" customHeight="1" x14ac:dyDescent="0.25">
      <c r="A442" s="4"/>
      <c r="B442" s="4"/>
      <c r="C442" s="4"/>
    </row>
    <row r="443" spans="1:3" ht="15.75" customHeight="1" x14ac:dyDescent="0.25">
      <c r="A443" s="4"/>
      <c r="B443" s="4"/>
      <c r="C443" s="4"/>
    </row>
    <row r="444" spans="1:3" ht="15.75" customHeight="1" x14ac:dyDescent="0.25">
      <c r="A444" s="4"/>
      <c r="B444" s="4"/>
      <c r="C444" s="4"/>
    </row>
    <row r="445" spans="1:3" ht="15.75" customHeight="1" x14ac:dyDescent="0.25">
      <c r="A445" s="4"/>
      <c r="B445" s="4"/>
      <c r="C445" s="4"/>
    </row>
    <row r="446" spans="1:3" ht="15.75" customHeight="1" x14ac:dyDescent="0.25">
      <c r="A446" s="4"/>
      <c r="B446" s="4"/>
      <c r="C446" s="4"/>
    </row>
    <row r="447" spans="1:3" ht="15.75" customHeight="1" x14ac:dyDescent="0.25">
      <c r="A447" s="4"/>
      <c r="B447" s="4"/>
      <c r="C447" s="4"/>
    </row>
    <row r="448" spans="1:3" ht="15.75" customHeight="1" x14ac:dyDescent="0.25">
      <c r="A448" s="4"/>
      <c r="B448" s="4"/>
      <c r="C448" s="4"/>
    </row>
    <row r="449" spans="1:3" ht="15.75" customHeight="1" x14ac:dyDescent="0.25">
      <c r="A449" s="4"/>
      <c r="B449" s="4"/>
      <c r="C449" s="4"/>
    </row>
    <row r="450" spans="1:3" ht="15.75" customHeight="1" x14ac:dyDescent="0.25">
      <c r="A450" s="4"/>
      <c r="B450" s="4"/>
      <c r="C450" s="4"/>
    </row>
    <row r="451" spans="1:3" ht="15.75" customHeight="1" x14ac:dyDescent="0.25">
      <c r="A451" s="4"/>
      <c r="B451" s="4"/>
      <c r="C451" s="4"/>
    </row>
    <row r="452" spans="1:3" ht="15.75" customHeight="1" x14ac:dyDescent="0.25">
      <c r="A452" s="4"/>
      <c r="B452" s="4"/>
      <c r="C452" s="4"/>
    </row>
    <row r="453" spans="1:3" ht="15.75" customHeight="1" x14ac:dyDescent="0.25">
      <c r="A453" s="4"/>
      <c r="B453" s="4"/>
      <c r="C453" s="4"/>
    </row>
    <row r="454" spans="1:3" ht="15.75" customHeight="1" x14ac:dyDescent="0.25">
      <c r="A454" s="4"/>
      <c r="B454" s="4"/>
      <c r="C454" s="4"/>
    </row>
    <row r="455" spans="1:3" ht="15.75" customHeight="1" x14ac:dyDescent="0.25">
      <c r="A455" s="4"/>
      <c r="B455" s="4"/>
      <c r="C455" s="4"/>
    </row>
    <row r="456" spans="1:3" ht="15.75" customHeight="1" x14ac:dyDescent="0.25">
      <c r="A456" s="4"/>
      <c r="B456" s="4"/>
      <c r="C456" s="4"/>
    </row>
    <row r="457" spans="1:3" ht="15.75" customHeight="1" x14ac:dyDescent="0.25">
      <c r="A457" s="4"/>
      <c r="B457" s="4"/>
      <c r="C457" s="4"/>
    </row>
    <row r="458" spans="1:3" ht="15.75" customHeight="1" x14ac:dyDescent="0.25">
      <c r="A458" s="4"/>
      <c r="B458" s="4"/>
      <c r="C458" s="4"/>
    </row>
    <row r="459" spans="1:3" ht="15.75" customHeight="1" x14ac:dyDescent="0.25">
      <c r="A459" s="4"/>
      <c r="B459" s="4"/>
      <c r="C459" s="4"/>
    </row>
    <row r="460" spans="1:3" ht="15.75" customHeight="1" x14ac:dyDescent="0.25">
      <c r="A460" s="4"/>
      <c r="B460" s="4"/>
      <c r="C460" s="4"/>
    </row>
    <row r="461" spans="1:3" ht="15.75" customHeight="1" x14ac:dyDescent="0.25">
      <c r="A461" s="4"/>
      <c r="B461" s="4"/>
      <c r="C461" s="4"/>
    </row>
    <row r="462" spans="1:3" ht="15.75" customHeight="1" x14ac:dyDescent="0.25">
      <c r="A462" s="4"/>
      <c r="B462" s="4"/>
      <c r="C462" s="4"/>
    </row>
    <row r="463" spans="1:3" ht="15.75" customHeight="1" x14ac:dyDescent="0.25">
      <c r="A463" s="4"/>
      <c r="B463" s="4"/>
      <c r="C463" s="4"/>
    </row>
    <row r="464" spans="1:3" ht="15.75" customHeight="1" x14ac:dyDescent="0.25">
      <c r="A464" s="4"/>
      <c r="B464" s="4"/>
      <c r="C464" s="4"/>
    </row>
    <row r="465" spans="1:3" ht="15.75" customHeight="1" x14ac:dyDescent="0.25">
      <c r="A465" s="4"/>
      <c r="B465" s="4"/>
      <c r="C465" s="4"/>
    </row>
    <row r="466" spans="1:3" ht="15.75" customHeight="1" x14ac:dyDescent="0.25">
      <c r="A466" s="4"/>
      <c r="B466" s="4"/>
      <c r="C466" s="4"/>
    </row>
    <row r="467" spans="1:3" ht="15.75" customHeight="1" x14ac:dyDescent="0.25">
      <c r="A467" s="4"/>
      <c r="B467" s="4"/>
      <c r="C467" s="4"/>
    </row>
    <row r="468" spans="1:3" ht="15.75" customHeight="1" x14ac:dyDescent="0.25">
      <c r="A468" s="4"/>
      <c r="B468" s="4"/>
      <c r="C468" s="4"/>
    </row>
    <row r="469" spans="1:3" ht="15.75" customHeight="1" x14ac:dyDescent="0.25">
      <c r="A469" s="4"/>
      <c r="B469" s="4"/>
      <c r="C469" s="4"/>
    </row>
    <row r="470" spans="1:3" ht="15.75" customHeight="1" x14ac:dyDescent="0.25">
      <c r="A470" s="4"/>
      <c r="B470" s="4"/>
      <c r="C470" s="4"/>
    </row>
    <row r="471" spans="1:3" ht="15.75" customHeight="1" x14ac:dyDescent="0.25">
      <c r="A471" s="4"/>
      <c r="B471" s="4"/>
      <c r="C471" s="4"/>
    </row>
    <row r="472" spans="1:3" ht="15.75" customHeight="1" x14ac:dyDescent="0.25">
      <c r="A472" s="4"/>
      <c r="B472" s="4"/>
      <c r="C472" s="4"/>
    </row>
    <row r="473" spans="1:3" ht="15.75" customHeight="1" x14ac:dyDescent="0.25">
      <c r="A473" s="4"/>
      <c r="B473" s="4"/>
      <c r="C473" s="4"/>
    </row>
    <row r="474" spans="1:3" ht="15.75" customHeight="1" x14ac:dyDescent="0.25">
      <c r="A474" s="4"/>
      <c r="B474" s="4"/>
      <c r="C474" s="4"/>
    </row>
    <row r="475" spans="1:3" ht="15.75" customHeight="1" x14ac:dyDescent="0.25">
      <c r="A475" s="4"/>
      <c r="B475" s="4"/>
      <c r="C475" s="4"/>
    </row>
    <row r="476" spans="1:3" ht="15.75" customHeight="1" x14ac:dyDescent="0.25">
      <c r="A476" s="4"/>
      <c r="B476" s="4"/>
      <c r="C476" s="4"/>
    </row>
    <row r="477" spans="1:3" ht="15.75" customHeight="1" x14ac:dyDescent="0.25">
      <c r="A477" s="4"/>
      <c r="B477" s="4"/>
      <c r="C477" s="4"/>
    </row>
    <row r="478" spans="1:3" ht="15.75" customHeight="1" x14ac:dyDescent="0.25">
      <c r="A478" s="4"/>
      <c r="B478" s="4"/>
      <c r="C478" s="4"/>
    </row>
    <row r="479" spans="1:3" ht="15.75" customHeight="1" x14ac:dyDescent="0.25">
      <c r="A479" s="4"/>
      <c r="B479" s="4"/>
      <c r="C479" s="4"/>
    </row>
    <row r="480" spans="1:3" ht="15.75" customHeight="1" x14ac:dyDescent="0.25">
      <c r="A480" s="4"/>
      <c r="B480" s="4"/>
      <c r="C480" s="4"/>
    </row>
    <row r="481" spans="1:3" ht="15.75" customHeight="1" x14ac:dyDescent="0.25">
      <c r="A481" s="4"/>
      <c r="B481" s="4"/>
      <c r="C481" s="4"/>
    </row>
    <row r="482" spans="1:3" ht="15.75" customHeight="1" x14ac:dyDescent="0.25">
      <c r="A482" s="4"/>
      <c r="B482" s="4"/>
      <c r="C482" s="4"/>
    </row>
    <row r="483" spans="1:3" ht="15.75" customHeight="1" x14ac:dyDescent="0.25">
      <c r="A483" s="4"/>
      <c r="B483" s="4"/>
      <c r="C483" s="4"/>
    </row>
    <row r="484" spans="1:3" ht="15.75" customHeight="1" x14ac:dyDescent="0.25">
      <c r="A484" s="4"/>
      <c r="B484" s="4"/>
      <c r="C484" s="4"/>
    </row>
    <row r="485" spans="1:3" ht="15.75" customHeight="1" x14ac:dyDescent="0.25">
      <c r="A485" s="4"/>
      <c r="B485" s="4"/>
      <c r="C485" s="4"/>
    </row>
    <row r="486" spans="1:3" ht="15.75" customHeight="1" x14ac:dyDescent="0.25">
      <c r="A486" s="4"/>
      <c r="B486" s="4"/>
      <c r="C486" s="4"/>
    </row>
    <row r="487" spans="1:3" ht="15.75" customHeight="1" x14ac:dyDescent="0.25">
      <c r="A487" s="4"/>
      <c r="B487" s="4"/>
      <c r="C487" s="4"/>
    </row>
    <row r="488" spans="1:3" ht="15.75" customHeight="1" x14ac:dyDescent="0.25">
      <c r="A488" s="4"/>
      <c r="B488" s="4"/>
      <c r="C488" s="4"/>
    </row>
    <row r="489" spans="1:3" ht="15.75" customHeight="1" x14ac:dyDescent="0.25">
      <c r="A489" s="4"/>
      <c r="B489" s="4"/>
      <c r="C489" s="4"/>
    </row>
    <row r="490" spans="1:3" ht="15.75" customHeight="1" x14ac:dyDescent="0.25">
      <c r="A490" s="4"/>
      <c r="B490" s="4"/>
      <c r="C490" s="4"/>
    </row>
    <row r="491" spans="1:3" ht="15.75" customHeight="1" x14ac:dyDescent="0.25">
      <c r="A491" s="4"/>
      <c r="B491" s="4"/>
      <c r="C491" s="4"/>
    </row>
    <row r="492" spans="1:3" ht="15.75" customHeight="1" x14ac:dyDescent="0.25">
      <c r="A492" s="4"/>
      <c r="B492" s="4"/>
      <c r="C492" s="4"/>
    </row>
    <row r="493" spans="1:3" ht="15.75" customHeight="1" x14ac:dyDescent="0.25">
      <c r="A493" s="4"/>
      <c r="B493" s="4"/>
      <c r="C493" s="4"/>
    </row>
    <row r="494" spans="1:3" ht="15.75" customHeight="1" x14ac:dyDescent="0.25">
      <c r="A494" s="4"/>
      <c r="B494" s="4"/>
      <c r="C494" s="4"/>
    </row>
    <row r="495" spans="1:3" ht="15.75" customHeight="1" x14ac:dyDescent="0.25">
      <c r="A495" s="4"/>
      <c r="B495" s="4"/>
      <c r="C495" s="4"/>
    </row>
    <row r="496" spans="1:3" ht="15.75" customHeight="1" x14ac:dyDescent="0.25">
      <c r="A496" s="4"/>
      <c r="B496" s="4"/>
      <c r="C496" s="4"/>
    </row>
    <row r="497" spans="1:3" ht="15.75" customHeight="1" x14ac:dyDescent="0.25">
      <c r="A497" s="4"/>
      <c r="B497" s="4"/>
      <c r="C497" s="4"/>
    </row>
    <row r="498" spans="1:3" ht="15.75" customHeight="1" x14ac:dyDescent="0.25">
      <c r="A498" s="4"/>
      <c r="B498" s="4"/>
      <c r="C498" s="4"/>
    </row>
    <row r="499" spans="1:3" ht="15.75" customHeight="1" x14ac:dyDescent="0.25">
      <c r="A499" s="4"/>
      <c r="B499" s="4"/>
      <c r="C499" s="4"/>
    </row>
    <row r="500" spans="1:3" ht="15.75" customHeight="1" x14ac:dyDescent="0.25">
      <c r="A500" s="4"/>
      <c r="B500" s="4"/>
      <c r="C500" s="4"/>
    </row>
    <row r="501" spans="1:3" ht="15.75" customHeight="1" x14ac:dyDescent="0.25">
      <c r="A501" s="4"/>
      <c r="B501" s="4"/>
      <c r="C501" s="4"/>
    </row>
    <row r="502" spans="1:3" ht="15.75" customHeight="1" x14ac:dyDescent="0.25">
      <c r="A502" s="4"/>
      <c r="B502" s="4"/>
      <c r="C502" s="4"/>
    </row>
    <row r="503" spans="1:3" ht="15.75" customHeight="1" x14ac:dyDescent="0.25">
      <c r="A503" s="4"/>
      <c r="B503" s="4"/>
      <c r="C503" s="4"/>
    </row>
    <row r="504" spans="1:3" ht="15.75" customHeight="1" x14ac:dyDescent="0.25">
      <c r="A504" s="4"/>
      <c r="B504" s="4"/>
      <c r="C504" s="4"/>
    </row>
    <row r="505" spans="1:3" ht="15.75" customHeight="1" x14ac:dyDescent="0.25">
      <c r="A505" s="4"/>
      <c r="B505" s="4"/>
      <c r="C505" s="4"/>
    </row>
    <row r="506" spans="1:3" ht="15.75" customHeight="1" x14ac:dyDescent="0.25">
      <c r="A506" s="4"/>
      <c r="B506" s="4"/>
      <c r="C506" s="4"/>
    </row>
    <row r="507" spans="1:3" ht="15.75" customHeight="1" x14ac:dyDescent="0.25">
      <c r="A507" s="4"/>
      <c r="B507" s="4"/>
      <c r="C507" s="4"/>
    </row>
    <row r="508" spans="1:3" ht="15.75" customHeight="1" x14ac:dyDescent="0.25">
      <c r="A508" s="4"/>
      <c r="B508" s="4"/>
      <c r="C508" s="4"/>
    </row>
    <row r="509" spans="1:3" ht="15.75" customHeight="1" x14ac:dyDescent="0.25">
      <c r="A509" s="4"/>
      <c r="B509" s="4"/>
      <c r="C509" s="4"/>
    </row>
    <row r="510" spans="1:3" ht="15.75" customHeight="1" x14ac:dyDescent="0.25">
      <c r="A510" s="4"/>
      <c r="B510" s="4"/>
      <c r="C510" s="4"/>
    </row>
    <row r="511" spans="1:3" ht="15.75" customHeight="1" x14ac:dyDescent="0.25">
      <c r="A511" s="4"/>
      <c r="B511" s="4"/>
      <c r="C511" s="4"/>
    </row>
    <row r="512" spans="1:3" ht="15.75" customHeight="1" x14ac:dyDescent="0.25">
      <c r="A512" s="4"/>
      <c r="B512" s="4"/>
      <c r="C512" s="4"/>
    </row>
    <row r="513" spans="1:3" ht="15.75" customHeight="1" x14ac:dyDescent="0.25">
      <c r="A513" s="4"/>
      <c r="B513" s="4"/>
      <c r="C513" s="4"/>
    </row>
    <row r="514" spans="1:3" ht="15.75" customHeight="1" x14ac:dyDescent="0.25">
      <c r="A514" s="4"/>
      <c r="B514" s="4"/>
      <c r="C514" s="4"/>
    </row>
    <row r="515" spans="1:3" ht="15.75" customHeight="1" x14ac:dyDescent="0.25">
      <c r="A515" s="4"/>
      <c r="B515" s="4"/>
      <c r="C515" s="4"/>
    </row>
    <row r="516" spans="1:3" ht="15.75" customHeight="1" x14ac:dyDescent="0.25">
      <c r="A516" s="4"/>
      <c r="B516" s="4"/>
      <c r="C516" s="4"/>
    </row>
    <row r="517" spans="1:3" ht="15.75" customHeight="1" x14ac:dyDescent="0.25">
      <c r="A517" s="4"/>
      <c r="B517" s="4"/>
      <c r="C517" s="4"/>
    </row>
    <row r="518" spans="1:3" ht="15.75" customHeight="1" x14ac:dyDescent="0.25">
      <c r="A518" s="4"/>
      <c r="B518" s="4"/>
      <c r="C518" s="4"/>
    </row>
    <row r="519" spans="1:3" ht="15.75" customHeight="1" x14ac:dyDescent="0.25">
      <c r="A519" s="4"/>
      <c r="B519" s="4"/>
      <c r="C519" s="4"/>
    </row>
    <row r="520" spans="1:3" ht="15.75" customHeight="1" x14ac:dyDescent="0.25">
      <c r="A520" s="4"/>
      <c r="B520" s="4"/>
      <c r="C520" s="4"/>
    </row>
    <row r="521" spans="1:3" ht="15.75" customHeight="1" x14ac:dyDescent="0.25">
      <c r="A521" s="4"/>
      <c r="B521" s="4"/>
      <c r="C521" s="4"/>
    </row>
    <row r="522" spans="1:3" ht="15.75" customHeight="1" x14ac:dyDescent="0.25">
      <c r="A522" s="4"/>
      <c r="B522" s="4"/>
      <c r="C522" s="4"/>
    </row>
    <row r="523" spans="1:3" ht="15.75" customHeight="1" x14ac:dyDescent="0.25">
      <c r="A523" s="4"/>
      <c r="B523" s="4"/>
      <c r="C523" s="4"/>
    </row>
    <row r="524" spans="1:3" ht="15.75" customHeight="1" x14ac:dyDescent="0.25">
      <c r="A524" s="4"/>
      <c r="B524" s="4"/>
      <c r="C524" s="4"/>
    </row>
    <row r="525" spans="1:3" ht="15.75" customHeight="1" x14ac:dyDescent="0.25">
      <c r="A525" s="4"/>
      <c r="B525" s="4"/>
      <c r="C525" s="4"/>
    </row>
    <row r="526" spans="1:3" ht="15.75" customHeight="1" x14ac:dyDescent="0.25">
      <c r="A526" s="4"/>
      <c r="B526" s="4"/>
      <c r="C526" s="4"/>
    </row>
    <row r="527" spans="1:3" ht="15.75" customHeight="1" x14ac:dyDescent="0.25">
      <c r="A527" s="4"/>
      <c r="B527" s="4"/>
      <c r="C527" s="4"/>
    </row>
    <row r="528" spans="1:3" ht="15.75" customHeight="1" x14ac:dyDescent="0.25">
      <c r="A528" s="4"/>
      <c r="B528" s="4"/>
      <c r="C528" s="4"/>
    </row>
    <row r="529" spans="1:3" ht="15.75" customHeight="1" x14ac:dyDescent="0.25">
      <c r="A529" s="4"/>
      <c r="B529" s="4"/>
      <c r="C529" s="4"/>
    </row>
    <row r="530" spans="1:3" ht="15.75" customHeight="1" x14ac:dyDescent="0.25">
      <c r="A530" s="4"/>
      <c r="B530" s="4"/>
      <c r="C530" s="4"/>
    </row>
    <row r="531" spans="1:3" ht="15.75" customHeight="1" x14ac:dyDescent="0.25">
      <c r="A531" s="4"/>
      <c r="B531" s="4"/>
      <c r="C531" s="4"/>
    </row>
    <row r="532" spans="1:3" ht="15.75" customHeight="1" x14ac:dyDescent="0.25">
      <c r="A532" s="4"/>
      <c r="B532" s="4"/>
      <c r="C532" s="4"/>
    </row>
    <row r="533" spans="1:3" ht="15.75" customHeight="1" x14ac:dyDescent="0.25">
      <c r="A533" s="4"/>
      <c r="B533" s="4"/>
      <c r="C533" s="4"/>
    </row>
    <row r="534" spans="1:3" ht="15.75" customHeight="1" x14ac:dyDescent="0.25">
      <c r="A534" s="4"/>
      <c r="B534" s="4"/>
      <c r="C534" s="4"/>
    </row>
    <row r="535" spans="1:3" ht="15.75" customHeight="1" x14ac:dyDescent="0.25">
      <c r="A535" s="4"/>
      <c r="B535" s="4"/>
      <c r="C535" s="4"/>
    </row>
    <row r="536" spans="1:3" ht="15.75" customHeight="1" x14ac:dyDescent="0.25">
      <c r="A536" s="4"/>
      <c r="B536" s="4"/>
      <c r="C536" s="4"/>
    </row>
    <row r="537" spans="1:3" ht="15.75" customHeight="1" x14ac:dyDescent="0.25">
      <c r="A537" s="4"/>
      <c r="B537" s="4"/>
      <c r="C537" s="4"/>
    </row>
    <row r="538" spans="1:3" ht="15.75" customHeight="1" x14ac:dyDescent="0.25">
      <c r="A538" s="4"/>
      <c r="B538" s="4"/>
      <c r="C538" s="4"/>
    </row>
    <row r="539" spans="1:3" ht="15.75" customHeight="1" x14ac:dyDescent="0.25">
      <c r="A539" s="4"/>
      <c r="B539" s="4"/>
      <c r="C539" s="4"/>
    </row>
    <row r="540" spans="1:3" ht="15.75" customHeight="1" x14ac:dyDescent="0.25">
      <c r="A540" s="4"/>
      <c r="B540" s="4"/>
      <c r="C540" s="4"/>
    </row>
    <row r="541" spans="1:3" ht="15.75" customHeight="1" x14ac:dyDescent="0.25">
      <c r="A541" s="4"/>
      <c r="B541" s="4"/>
      <c r="C541" s="4"/>
    </row>
    <row r="542" spans="1:3" ht="15.75" customHeight="1" x14ac:dyDescent="0.25">
      <c r="A542" s="4"/>
      <c r="B542" s="4"/>
      <c r="C542" s="4"/>
    </row>
    <row r="543" spans="1:3" ht="15.75" customHeight="1" x14ac:dyDescent="0.25">
      <c r="A543" s="4"/>
      <c r="B543" s="4"/>
      <c r="C543" s="4"/>
    </row>
    <row r="544" spans="1:3" ht="15.75" customHeight="1" x14ac:dyDescent="0.25">
      <c r="A544" s="4"/>
      <c r="B544" s="4"/>
      <c r="C544" s="4"/>
    </row>
    <row r="545" spans="1:3" ht="15.75" customHeight="1" x14ac:dyDescent="0.25">
      <c r="A545" s="4"/>
      <c r="B545" s="4"/>
      <c r="C545" s="4"/>
    </row>
    <row r="546" spans="1:3" ht="15.75" customHeight="1" x14ac:dyDescent="0.25">
      <c r="A546" s="4"/>
      <c r="B546" s="4"/>
      <c r="C546" s="4"/>
    </row>
    <row r="547" spans="1:3" ht="15.75" customHeight="1" x14ac:dyDescent="0.25">
      <c r="A547" s="4"/>
      <c r="B547" s="4"/>
      <c r="C547" s="4"/>
    </row>
    <row r="548" spans="1:3" ht="15.75" customHeight="1" x14ac:dyDescent="0.25">
      <c r="A548" s="4"/>
      <c r="B548" s="4"/>
      <c r="C548" s="4"/>
    </row>
    <row r="549" spans="1:3" ht="15.75" customHeight="1" x14ac:dyDescent="0.25">
      <c r="A549" s="4"/>
      <c r="B549" s="4"/>
      <c r="C549" s="4"/>
    </row>
    <row r="550" spans="1:3" ht="15.75" customHeight="1" x14ac:dyDescent="0.25">
      <c r="A550" s="4"/>
      <c r="B550" s="4"/>
      <c r="C550" s="4"/>
    </row>
    <row r="551" spans="1:3" ht="15.75" customHeight="1" x14ac:dyDescent="0.25">
      <c r="A551" s="4"/>
      <c r="B551" s="4"/>
      <c r="C551" s="4"/>
    </row>
    <row r="552" spans="1:3" ht="15.75" customHeight="1" x14ac:dyDescent="0.25">
      <c r="A552" s="4"/>
      <c r="B552" s="4"/>
      <c r="C552" s="4"/>
    </row>
    <row r="553" spans="1:3" ht="15.75" customHeight="1" x14ac:dyDescent="0.25">
      <c r="A553" s="4"/>
      <c r="B553" s="4"/>
      <c r="C553" s="4"/>
    </row>
    <row r="554" spans="1:3" ht="15.75" customHeight="1" x14ac:dyDescent="0.25">
      <c r="A554" s="4"/>
      <c r="B554" s="4"/>
      <c r="C554" s="4"/>
    </row>
    <row r="555" spans="1:3" ht="15.75" customHeight="1" x14ac:dyDescent="0.25">
      <c r="A555" s="4"/>
      <c r="B555" s="4"/>
      <c r="C555" s="4"/>
    </row>
    <row r="556" spans="1:3" ht="15.75" customHeight="1" x14ac:dyDescent="0.25">
      <c r="A556" s="4"/>
      <c r="B556" s="4"/>
      <c r="C556" s="4"/>
    </row>
    <row r="557" spans="1:3" ht="15.75" customHeight="1" x14ac:dyDescent="0.25">
      <c r="A557" s="4"/>
      <c r="B557" s="4"/>
      <c r="C557" s="4"/>
    </row>
    <row r="558" spans="1:3" ht="15.75" customHeight="1" x14ac:dyDescent="0.25">
      <c r="A558" s="4"/>
      <c r="B558" s="4"/>
      <c r="C558" s="4"/>
    </row>
    <row r="559" spans="1:3" ht="15.75" customHeight="1" x14ac:dyDescent="0.25">
      <c r="A559" s="4"/>
      <c r="B559" s="4"/>
      <c r="C559" s="4"/>
    </row>
    <row r="560" spans="1:3" ht="15.75" customHeight="1" x14ac:dyDescent="0.25">
      <c r="A560" s="4"/>
      <c r="B560" s="4"/>
      <c r="C560" s="4"/>
    </row>
    <row r="561" spans="1:3" ht="15.75" customHeight="1" x14ac:dyDescent="0.25">
      <c r="A561" s="4"/>
      <c r="B561" s="4"/>
      <c r="C561" s="4"/>
    </row>
    <row r="562" spans="1:3" ht="15.75" customHeight="1" x14ac:dyDescent="0.25">
      <c r="A562" s="4"/>
      <c r="B562" s="4"/>
      <c r="C562" s="4"/>
    </row>
    <row r="563" spans="1:3" ht="15.75" customHeight="1" x14ac:dyDescent="0.25">
      <c r="A563" s="4"/>
      <c r="B563" s="4"/>
      <c r="C563" s="4"/>
    </row>
    <row r="564" spans="1:3" ht="15.75" customHeight="1" x14ac:dyDescent="0.25">
      <c r="A564" s="4"/>
      <c r="B564" s="4"/>
      <c r="C564" s="4"/>
    </row>
    <row r="565" spans="1:3" ht="15.75" customHeight="1" x14ac:dyDescent="0.25">
      <c r="A565" s="4"/>
      <c r="B565" s="4"/>
      <c r="C565" s="4"/>
    </row>
    <row r="566" spans="1:3" ht="15.75" customHeight="1" x14ac:dyDescent="0.25">
      <c r="A566" s="4"/>
      <c r="B566" s="4"/>
      <c r="C566" s="4"/>
    </row>
    <row r="567" spans="1:3" ht="15.75" customHeight="1" x14ac:dyDescent="0.25">
      <c r="A567" s="4"/>
      <c r="B567" s="4"/>
      <c r="C567" s="4"/>
    </row>
    <row r="568" spans="1:3" ht="15.75" customHeight="1" x14ac:dyDescent="0.25">
      <c r="A568" s="4"/>
      <c r="B568" s="4"/>
      <c r="C568" s="4"/>
    </row>
    <row r="569" spans="1:3" ht="15.75" customHeight="1" x14ac:dyDescent="0.25">
      <c r="A569" s="4"/>
      <c r="B569" s="4"/>
      <c r="C569" s="4"/>
    </row>
    <row r="570" spans="1:3" ht="15.75" customHeight="1" x14ac:dyDescent="0.25">
      <c r="A570" s="4"/>
      <c r="B570" s="4"/>
      <c r="C570" s="4"/>
    </row>
    <row r="571" spans="1:3" ht="15.75" customHeight="1" x14ac:dyDescent="0.25">
      <c r="A571" s="4"/>
      <c r="B571" s="4"/>
      <c r="C571" s="4"/>
    </row>
    <row r="572" spans="1:3" ht="15.75" customHeight="1" x14ac:dyDescent="0.25">
      <c r="A572" s="4"/>
      <c r="B572" s="4"/>
      <c r="C572" s="4"/>
    </row>
    <row r="573" spans="1:3" ht="15.75" customHeight="1" x14ac:dyDescent="0.25">
      <c r="A573" s="4"/>
      <c r="B573" s="4"/>
      <c r="C573" s="4"/>
    </row>
    <row r="574" spans="1:3" ht="15.75" customHeight="1" x14ac:dyDescent="0.25">
      <c r="A574" s="4"/>
      <c r="B574" s="4"/>
      <c r="C574" s="4"/>
    </row>
    <row r="575" spans="1:3" ht="15.75" customHeight="1" x14ac:dyDescent="0.25">
      <c r="A575" s="4"/>
      <c r="B575" s="4"/>
      <c r="C575" s="4"/>
    </row>
    <row r="576" spans="1:3" ht="15.75" customHeight="1" x14ac:dyDescent="0.25">
      <c r="A576" s="4"/>
      <c r="B576" s="4"/>
      <c r="C576" s="4"/>
    </row>
    <row r="577" spans="1:3" ht="15.75" customHeight="1" x14ac:dyDescent="0.25">
      <c r="A577" s="4"/>
      <c r="B577" s="4"/>
      <c r="C577" s="4"/>
    </row>
    <row r="578" spans="1:3" ht="15.75" customHeight="1" x14ac:dyDescent="0.25">
      <c r="A578" s="4"/>
      <c r="B578" s="4"/>
      <c r="C578" s="4"/>
    </row>
    <row r="579" spans="1:3" ht="15.75" customHeight="1" x14ac:dyDescent="0.25">
      <c r="A579" s="4"/>
      <c r="B579" s="4"/>
      <c r="C579" s="4"/>
    </row>
    <row r="580" spans="1:3" ht="15.75" customHeight="1" x14ac:dyDescent="0.25">
      <c r="A580" s="4"/>
      <c r="B580" s="4"/>
      <c r="C580" s="4"/>
    </row>
    <row r="581" spans="1:3" ht="15.75" customHeight="1" x14ac:dyDescent="0.25">
      <c r="A581" s="4"/>
      <c r="B581" s="4"/>
      <c r="C581" s="4"/>
    </row>
    <row r="582" spans="1:3" ht="15.75" customHeight="1" x14ac:dyDescent="0.25">
      <c r="A582" s="4"/>
      <c r="B582" s="4"/>
      <c r="C582" s="4"/>
    </row>
    <row r="583" spans="1:3" ht="15.75" customHeight="1" x14ac:dyDescent="0.25">
      <c r="A583" s="4"/>
      <c r="B583" s="4"/>
      <c r="C583" s="4"/>
    </row>
    <row r="584" spans="1:3" ht="15.75" customHeight="1" x14ac:dyDescent="0.25">
      <c r="A584" s="4"/>
      <c r="B584" s="4"/>
      <c r="C584" s="4"/>
    </row>
    <row r="585" spans="1:3" ht="15.75" customHeight="1" x14ac:dyDescent="0.25">
      <c r="A585" s="4"/>
      <c r="B585" s="4"/>
      <c r="C585" s="4"/>
    </row>
    <row r="586" spans="1:3" ht="15.75" customHeight="1" x14ac:dyDescent="0.25">
      <c r="A586" s="4"/>
      <c r="B586" s="4"/>
      <c r="C586" s="4"/>
    </row>
    <row r="587" spans="1:3" ht="15.75" customHeight="1" x14ac:dyDescent="0.25">
      <c r="A587" s="4"/>
      <c r="B587" s="4"/>
      <c r="C587" s="4"/>
    </row>
    <row r="588" spans="1:3" ht="15.75" customHeight="1" x14ac:dyDescent="0.25">
      <c r="A588" s="4"/>
      <c r="B588" s="4"/>
      <c r="C588" s="4"/>
    </row>
    <row r="589" spans="1:3" ht="15.75" customHeight="1" x14ac:dyDescent="0.25">
      <c r="A589" s="4"/>
      <c r="B589" s="4"/>
      <c r="C589" s="4"/>
    </row>
    <row r="590" spans="1:3" ht="15.75" customHeight="1" x14ac:dyDescent="0.25">
      <c r="A590" s="4"/>
      <c r="B590" s="4"/>
      <c r="C590" s="4"/>
    </row>
    <row r="591" spans="1:3" ht="15.75" customHeight="1" x14ac:dyDescent="0.25">
      <c r="A591" s="4"/>
      <c r="B591" s="4"/>
      <c r="C591" s="4"/>
    </row>
    <row r="592" spans="1:3" ht="15.75" customHeight="1" x14ac:dyDescent="0.25">
      <c r="A592" s="4"/>
      <c r="B592" s="4"/>
      <c r="C592" s="4"/>
    </row>
    <row r="593" spans="1:3" ht="15.75" customHeight="1" x14ac:dyDescent="0.25">
      <c r="A593" s="4"/>
      <c r="B593" s="4"/>
      <c r="C593" s="4"/>
    </row>
    <row r="594" spans="1:3" ht="15.75" customHeight="1" x14ac:dyDescent="0.25">
      <c r="A594" s="4"/>
      <c r="B594" s="4"/>
      <c r="C594" s="4"/>
    </row>
    <row r="595" spans="1:3" ht="15.75" customHeight="1" x14ac:dyDescent="0.25">
      <c r="A595" s="4"/>
      <c r="B595" s="4"/>
      <c r="C595" s="4"/>
    </row>
    <row r="596" spans="1:3" ht="15.75" customHeight="1" x14ac:dyDescent="0.25">
      <c r="A596" s="4"/>
      <c r="B596" s="4"/>
      <c r="C596" s="4"/>
    </row>
    <row r="597" spans="1:3" ht="15.75" customHeight="1" x14ac:dyDescent="0.25">
      <c r="A597" s="4"/>
      <c r="B597" s="4"/>
      <c r="C597" s="4"/>
    </row>
    <row r="598" spans="1:3" ht="15.75" customHeight="1" x14ac:dyDescent="0.25">
      <c r="A598" s="4"/>
      <c r="B598" s="4"/>
      <c r="C598" s="4"/>
    </row>
    <row r="599" spans="1:3" ht="15.75" customHeight="1" x14ac:dyDescent="0.25">
      <c r="A599" s="4"/>
      <c r="B599" s="4"/>
      <c r="C599" s="4"/>
    </row>
    <row r="600" spans="1:3" ht="15.75" customHeight="1" x14ac:dyDescent="0.25">
      <c r="A600" s="4"/>
      <c r="B600" s="4"/>
      <c r="C600" s="4"/>
    </row>
    <row r="601" spans="1:3" ht="15.75" customHeight="1" x14ac:dyDescent="0.25">
      <c r="A601" s="4"/>
      <c r="B601" s="4"/>
      <c r="C601" s="4"/>
    </row>
    <row r="602" spans="1:3" ht="15.75" customHeight="1" x14ac:dyDescent="0.25">
      <c r="A602" s="4"/>
      <c r="B602" s="4"/>
      <c r="C602" s="4"/>
    </row>
    <row r="603" spans="1:3" ht="15.75" customHeight="1" x14ac:dyDescent="0.25">
      <c r="A603" s="4"/>
      <c r="B603" s="4"/>
      <c r="C603" s="4"/>
    </row>
    <row r="604" spans="1:3" ht="15.75" customHeight="1" x14ac:dyDescent="0.25">
      <c r="A604" s="4"/>
      <c r="B604" s="4"/>
      <c r="C604" s="4"/>
    </row>
    <row r="605" spans="1:3" ht="15.75" customHeight="1" x14ac:dyDescent="0.25">
      <c r="A605" s="4"/>
      <c r="B605" s="4"/>
      <c r="C605" s="4"/>
    </row>
    <row r="606" spans="1:3" ht="15.75" customHeight="1" x14ac:dyDescent="0.25">
      <c r="A606" s="4"/>
      <c r="B606" s="4"/>
      <c r="C606" s="4"/>
    </row>
    <row r="607" spans="1:3" ht="15.75" customHeight="1" x14ac:dyDescent="0.25">
      <c r="A607" s="4"/>
      <c r="B607" s="4"/>
      <c r="C607" s="4"/>
    </row>
    <row r="608" spans="1:3" ht="15.75" customHeight="1" x14ac:dyDescent="0.25">
      <c r="A608" s="4"/>
      <c r="B608" s="4"/>
      <c r="C608" s="4"/>
    </row>
    <row r="609" spans="1:3" ht="15.75" customHeight="1" x14ac:dyDescent="0.25">
      <c r="A609" s="4"/>
      <c r="B609" s="4"/>
      <c r="C609" s="4"/>
    </row>
    <row r="610" spans="1:3" ht="15.75" customHeight="1" x14ac:dyDescent="0.25">
      <c r="A610" s="4"/>
      <c r="B610" s="4"/>
      <c r="C610" s="4"/>
    </row>
    <row r="611" spans="1:3" ht="15.75" customHeight="1" x14ac:dyDescent="0.25">
      <c r="A611" s="4"/>
      <c r="B611" s="4"/>
      <c r="C611" s="4"/>
    </row>
    <row r="612" spans="1:3" ht="15.75" customHeight="1" x14ac:dyDescent="0.25">
      <c r="A612" s="4"/>
      <c r="B612" s="4"/>
      <c r="C612" s="4"/>
    </row>
    <row r="613" spans="1:3" ht="15.75" customHeight="1" x14ac:dyDescent="0.25">
      <c r="A613" s="4"/>
      <c r="B613" s="4"/>
      <c r="C613" s="4"/>
    </row>
    <row r="614" spans="1:3" ht="15.75" customHeight="1" x14ac:dyDescent="0.25">
      <c r="A614" s="4"/>
      <c r="B614" s="4"/>
      <c r="C614" s="4"/>
    </row>
    <row r="615" spans="1:3" ht="15.75" customHeight="1" x14ac:dyDescent="0.25">
      <c r="A615" s="4"/>
      <c r="B615" s="4"/>
      <c r="C615" s="4"/>
    </row>
    <row r="616" spans="1:3" ht="15.75" customHeight="1" x14ac:dyDescent="0.25">
      <c r="A616" s="4"/>
      <c r="B616" s="4"/>
      <c r="C616" s="4"/>
    </row>
    <row r="617" spans="1:3" ht="15.75" customHeight="1" x14ac:dyDescent="0.25">
      <c r="A617" s="4"/>
      <c r="B617" s="4"/>
      <c r="C617" s="4"/>
    </row>
    <row r="618" spans="1:3" ht="15.75" customHeight="1" x14ac:dyDescent="0.25">
      <c r="A618" s="4"/>
      <c r="B618" s="4"/>
      <c r="C618" s="4"/>
    </row>
    <row r="619" spans="1:3" ht="15.75" customHeight="1" x14ac:dyDescent="0.25">
      <c r="A619" s="4"/>
      <c r="B619" s="4"/>
      <c r="C619" s="4"/>
    </row>
    <row r="620" spans="1:3" ht="15.75" customHeight="1" x14ac:dyDescent="0.25">
      <c r="A620" s="4"/>
      <c r="B620" s="4"/>
      <c r="C620" s="4"/>
    </row>
    <row r="621" spans="1:3" ht="15.75" customHeight="1" x14ac:dyDescent="0.25">
      <c r="A621" s="4"/>
      <c r="B621" s="4"/>
      <c r="C621" s="4"/>
    </row>
    <row r="622" spans="1:3" ht="15.75" customHeight="1" x14ac:dyDescent="0.25">
      <c r="A622" s="4"/>
      <c r="B622" s="4"/>
      <c r="C622" s="4"/>
    </row>
    <row r="623" spans="1:3" ht="15.75" customHeight="1" x14ac:dyDescent="0.25">
      <c r="A623" s="4"/>
      <c r="B623" s="4"/>
      <c r="C623" s="4"/>
    </row>
    <row r="624" spans="1:3" ht="15.75" customHeight="1" x14ac:dyDescent="0.25">
      <c r="A624" s="4"/>
      <c r="B624" s="4"/>
      <c r="C624" s="4"/>
    </row>
    <row r="625" spans="1:3" ht="15.75" customHeight="1" x14ac:dyDescent="0.25">
      <c r="A625" s="4"/>
      <c r="B625" s="4"/>
      <c r="C625" s="4"/>
    </row>
    <row r="626" spans="1:3" ht="15.75" customHeight="1" x14ac:dyDescent="0.25">
      <c r="A626" s="4"/>
      <c r="B626" s="4"/>
      <c r="C626" s="4"/>
    </row>
    <row r="627" spans="1:3" ht="15.75" customHeight="1" x14ac:dyDescent="0.25">
      <c r="A627" s="4"/>
      <c r="B627" s="4"/>
      <c r="C627" s="4"/>
    </row>
    <row r="628" spans="1:3" ht="15.75" customHeight="1" x14ac:dyDescent="0.25">
      <c r="A628" s="4"/>
      <c r="B628" s="4"/>
      <c r="C628" s="4"/>
    </row>
    <row r="629" spans="1:3" ht="15.75" customHeight="1" x14ac:dyDescent="0.25">
      <c r="A629" s="4"/>
      <c r="B629" s="4"/>
      <c r="C629" s="4"/>
    </row>
    <row r="630" spans="1:3" ht="15.75" customHeight="1" x14ac:dyDescent="0.25">
      <c r="A630" s="4"/>
      <c r="B630" s="4"/>
      <c r="C630" s="4"/>
    </row>
    <row r="631" spans="1:3" ht="15.75" customHeight="1" x14ac:dyDescent="0.25">
      <c r="A631" s="4"/>
      <c r="B631" s="4"/>
      <c r="C631" s="4"/>
    </row>
    <row r="632" spans="1:3" ht="15.75" customHeight="1" x14ac:dyDescent="0.25">
      <c r="A632" s="4"/>
      <c r="B632" s="4"/>
      <c r="C632" s="4"/>
    </row>
    <row r="633" spans="1:3" ht="15.75" customHeight="1" x14ac:dyDescent="0.25">
      <c r="A633" s="4"/>
      <c r="B633" s="4"/>
      <c r="C633" s="4"/>
    </row>
    <row r="634" spans="1:3" ht="15.75" customHeight="1" x14ac:dyDescent="0.25">
      <c r="A634" s="4"/>
      <c r="B634" s="4"/>
      <c r="C634" s="4"/>
    </row>
    <row r="635" spans="1:3" ht="15.75" customHeight="1" x14ac:dyDescent="0.25">
      <c r="A635" s="4"/>
      <c r="B635" s="4"/>
      <c r="C635" s="4"/>
    </row>
    <row r="636" spans="1:3" ht="15.75" customHeight="1" x14ac:dyDescent="0.25">
      <c r="A636" s="4"/>
      <c r="B636" s="4"/>
      <c r="C636" s="4"/>
    </row>
    <row r="637" spans="1:3" ht="15.75" customHeight="1" x14ac:dyDescent="0.25">
      <c r="A637" s="4"/>
      <c r="B637" s="4"/>
      <c r="C637" s="4"/>
    </row>
    <row r="638" spans="1:3" ht="15.75" customHeight="1" x14ac:dyDescent="0.25">
      <c r="A638" s="4"/>
      <c r="B638" s="4"/>
      <c r="C638" s="4"/>
    </row>
    <row r="639" spans="1:3" ht="15.75" customHeight="1" x14ac:dyDescent="0.25">
      <c r="A639" s="4"/>
      <c r="B639" s="4"/>
      <c r="C639" s="4"/>
    </row>
    <row r="640" spans="1:3" ht="15.75" customHeight="1" x14ac:dyDescent="0.25">
      <c r="A640" s="4"/>
      <c r="B640" s="4"/>
      <c r="C640" s="4"/>
    </row>
    <row r="641" spans="1:3" ht="15.75" customHeight="1" x14ac:dyDescent="0.25">
      <c r="A641" s="4"/>
      <c r="B641" s="4"/>
      <c r="C641" s="4"/>
    </row>
    <row r="642" spans="1:3" ht="15.75" customHeight="1" x14ac:dyDescent="0.25">
      <c r="A642" s="4"/>
      <c r="B642" s="4"/>
      <c r="C642" s="4"/>
    </row>
    <row r="643" spans="1:3" ht="15.75" customHeight="1" x14ac:dyDescent="0.25">
      <c r="A643" s="4"/>
      <c r="B643" s="4"/>
      <c r="C643" s="4"/>
    </row>
    <row r="644" spans="1:3" ht="15.75" customHeight="1" x14ac:dyDescent="0.25">
      <c r="A644" s="4"/>
      <c r="B644" s="4"/>
      <c r="C644" s="4"/>
    </row>
    <row r="645" spans="1:3" ht="15.75" customHeight="1" x14ac:dyDescent="0.25">
      <c r="A645" s="4"/>
      <c r="B645" s="4"/>
      <c r="C645" s="4"/>
    </row>
    <row r="646" spans="1:3" ht="15.75" customHeight="1" x14ac:dyDescent="0.25">
      <c r="A646" s="4"/>
      <c r="B646" s="4"/>
      <c r="C646" s="4"/>
    </row>
    <row r="647" spans="1:3" ht="15.75" customHeight="1" x14ac:dyDescent="0.25">
      <c r="A647" s="4"/>
      <c r="B647" s="4"/>
      <c r="C647" s="4"/>
    </row>
    <row r="648" spans="1:3" ht="15.75" customHeight="1" x14ac:dyDescent="0.25">
      <c r="A648" s="4"/>
      <c r="B648" s="4"/>
      <c r="C648" s="4"/>
    </row>
    <row r="649" spans="1:3" ht="15.75" customHeight="1" x14ac:dyDescent="0.25">
      <c r="A649" s="4"/>
      <c r="B649" s="4"/>
      <c r="C649" s="4"/>
    </row>
    <row r="650" spans="1:3" ht="15.75" customHeight="1" x14ac:dyDescent="0.25">
      <c r="A650" s="4"/>
      <c r="B650" s="4"/>
      <c r="C650" s="4"/>
    </row>
    <row r="651" spans="1:3" ht="15.75" customHeight="1" x14ac:dyDescent="0.25">
      <c r="A651" s="4"/>
      <c r="B651" s="4"/>
      <c r="C651" s="4"/>
    </row>
    <row r="652" spans="1:3" ht="15.75" customHeight="1" x14ac:dyDescent="0.25">
      <c r="A652" s="4"/>
      <c r="B652" s="4"/>
      <c r="C652" s="4"/>
    </row>
    <row r="653" spans="1:3" ht="15.75" customHeight="1" x14ac:dyDescent="0.25">
      <c r="A653" s="4"/>
      <c r="B653" s="4"/>
      <c r="C653" s="4"/>
    </row>
    <row r="654" spans="1:3" ht="15.75" customHeight="1" x14ac:dyDescent="0.25">
      <c r="A654" s="4"/>
      <c r="B654" s="4"/>
      <c r="C654" s="4"/>
    </row>
    <row r="655" spans="1:3" ht="15.75" customHeight="1" x14ac:dyDescent="0.25">
      <c r="A655" s="4"/>
      <c r="B655" s="4"/>
      <c r="C655" s="4"/>
    </row>
    <row r="656" spans="1:3" ht="15.75" customHeight="1" x14ac:dyDescent="0.25">
      <c r="A656" s="4"/>
      <c r="B656" s="4"/>
      <c r="C656" s="4"/>
    </row>
    <row r="657" spans="1:3" ht="15.75" customHeight="1" x14ac:dyDescent="0.25">
      <c r="A657" s="4"/>
      <c r="B657" s="4"/>
      <c r="C657" s="4"/>
    </row>
    <row r="658" spans="1:3" ht="15.75" customHeight="1" x14ac:dyDescent="0.25">
      <c r="A658" s="4"/>
      <c r="B658" s="4"/>
      <c r="C658" s="4"/>
    </row>
    <row r="659" spans="1:3" ht="15.75" customHeight="1" x14ac:dyDescent="0.25">
      <c r="A659" s="4"/>
      <c r="B659" s="4"/>
      <c r="C659" s="4"/>
    </row>
    <row r="660" spans="1:3" ht="15.75" customHeight="1" x14ac:dyDescent="0.25">
      <c r="A660" s="4"/>
      <c r="B660" s="4"/>
      <c r="C660" s="4"/>
    </row>
    <row r="661" spans="1:3" ht="15.75" customHeight="1" x14ac:dyDescent="0.25">
      <c r="A661" s="4"/>
      <c r="B661" s="4"/>
      <c r="C661" s="4"/>
    </row>
    <row r="662" spans="1:3" ht="15.75" customHeight="1" x14ac:dyDescent="0.25">
      <c r="A662" s="4"/>
      <c r="B662" s="4"/>
      <c r="C662" s="4"/>
    </row>
    <row r="663" spans="1:3" ht="15.75" customHeight="1" x14ac:dyDescent="0.25">
      <c r="A663" s="4"/>
      <c r="B663" s="4"/>
      <c r="C663" s="4"/>
    </row>
    <row r="664" spans="1:3" ht="15.75" customHeight="1" x14ac:dyDescent="0.25">
      <c r="A664" s="4"/>
      <c r="B664" s="4"/>
      <c r="C664" s="4"/>
    </row>
    <row r="665" spans="1:3" ht="15.75" customHeight="1" x14ac:dyDescent="0.25">
      <c r="A665" s="4"/>
      <c r="B665" s="4"/>
      <c r="C665" s="4"/>
    </row>
    <row r="666" spans="1:3" ht="15.75" customHeight="1" x14ac:dyDescent="0.25">
      <c r="A666" s="4"/>
      <c r="B666" s="4"/>
      <c r="C666" s="4"/>
    </row>
    <row r="667" spans="1:3" ht="15.75" customHeight="1" x14ac:dyDescent="0.25">
      <c r="A667" s="4"/>
      <c r="B667" s="4"/>
      <c r="C667" s="4"/>
    </row>
    <row r="668" spans="1:3" ht="15.75" customHeight="1" x14ac:dyDescent="0.25">
      <c r="A668" s="4"/>
      <c r="B668" s="4"/>
      <c r="C668" s="4"/>
    </row>
    <row r="669" spans="1:3" ht="15.75" customHeight="1" x14ac:dyDescent="0.25">
      <c r="A669" s="4"/>
      <c r="B669" s="4"/>
      <c r="C669" s="4"/>
    </row>
    <row r="670" spans="1:3" ht="15.75" customHeight="1" x14ac:dyDescent="0.25">
      <c r="A670" s="4"/>
      <c r="B670" s="4"/>
      <c r="C670" s="4"/>
    </row>
    <row r="671" spans="1:3" ht="15.75" customHeight="1" x14ac:dyDescent="0.25">
      <c r="A671" s="4"/>
      <c r="B671" s="4"/>
      <c r="C671" s="4"/>
    </row>
    <row r="672" spans="1:3" ht="15.75" customHeight="1" x14ac:dyDescent="0.25">
      <c r="A672" s="4"/>
      <c r="B672" s="4"/>
      <c r="C672" s="4"/>
    </row>
    <row r="673" spans="1:3" ht="15.75" customHeight="1" x14ac:dyDescent="0.25">
      <c r="A673" s="4"/>
      <c r="B673" s="4"/>
      <c r="C673" s="4"/>
    </row>
    <row r="674" spans="1:3" ht="15.75" customHeight="1" x14ac:dyDescent="0.25">
      <c r="A674" s="4"/>
      <c r="B674" s="4"/>
      <c r="C674" s="4"/>
    </row>
    <row r="675" spans="1:3" ht="15.75" customHeight="1" x14ac:dyDescent="0.25">
      <c r="A675" s="4"/>
      <c r="B675" s="4"/>
      <c r="C675" s="4"/>
    </row>
    <row r="676" spans="1:3" ht="15.75" customHeight="1" x14ac:dyDescent="0.25">
      <c r="A676" s="4"/>
      <c r="B676" s="4"/>
      <c r="C676" s="4"/>
    </row>
    <row r="677" spans="1:3" ht="15.75" customHeight="1" x14ac:dyDescent="0.25">
      <c r="A677" s="4"/>
      <c r="B677" s="4"/>
      <c r="C677" s="4"/>
    </row>
    <row r="678" spans="1:3" ht="15.75" customHeight="1" x14ac:dyDescent="0.25">
      <c r="A678" s="4"/>
      <c r="B678" s="4"/>
      <c r="C678" s="4"/>
    </row>
    <row r="679" spans="1:3" ht="15.75" customHeight="1" x14ac:dyDescent="0.25">
      <c r="A679" s="4"/>
      <c r="B679" s="4"/>
      <c r="C679" s="4"/>
    </row>
    <row r="680" spans="1:3" ht="15.75" customHeight="1" x14ac:dyDescent="0.25">
      <c r="A680" s="4"/>
      <c r="B680" s="4"/>
      <c r="C680" s="4"/>
    </row>
    <row r="681" spans="1:3" ht="15.75" customHeight="1" x14ac:dyDescent="0.25">
      <c r="A681" s="4"/>
      <c r="B681" s="4"/>
      <c r="C681" s="4"/>
    </row>
    <row r="682" spans="1:3" ht="15.75" customHeight="1" x14ac:dyDescent="0.25">
      <c r="A682" s="4"/>
      <c r="B682" s="4"/>
      <c r="C682" s="4"/>
    </row>
    <row r="683" spans="1:3" ht="15.75" customHeight="1" x14ac:dyDescent="0.25">
      <c r="A683" s="4"/>
      <c r="B683" s="4"/>
      <c r="C683" s="4"/>
    </row>
    <row r="684" spans="1:3" ht="15.75" customHeight="1" x14ac:dyDescent="0.25">
      <c r="A684" s="4"/>
      <c r="B684" s="4"/>
      <c r="C684" s="4"/>
    </row>
    <row r="685" spans="1:3" ht="15.75" customHeight="1" x14ac:dyDescent="0.25">
      <c r="A685" s="4"/>
      <c r="B685" s="4"/>
      <c r="C685" s="4"/>
    </row>
    <row r="686" spans="1:3" ht="15.75" customHeight="1" x14ac:dyDescent="0.25">
      <c r="A686" s="4"/>
      <c r="B686" s="4"/>
      <c r="C686" s="4"/>
    </row>
    <row r="687" spans="1:3" ht="15.75" customHeight="1" x14ac:dyDescent="0.25">
      <c r="A687" s="4"/>
      <c r="B687" s="4"/>
      <c r="C687" s="4"/>
    </row>
    <row r="688" spans="1:3" ht="15.75" customHeight="1" x14ac:dyDescent="0.25">
      <c r="A688" s="4"/>
      <c r="B688" s="4"/>
      <c r="C688" s="4"/>
    </row>
    <row r="689" spans="1:3" ht="15.75" customHeight="1" x14ac:dyDescent="0.25">
      <c r="A689" s="4"/>
      <c r="B689" s="4"/>
      <c r="C689" s="4"/>
    </row>
    <row r="690" spans="1:3" ht="15.75" customHeight="1" x14ac:dyDescent="0.25">
      <c r="A690" s="4"/>
      <c r="B690" s="4"/>
      <c r="C690" s="4"/>
    </row>
    <row r="691" spans="1:3" ht="15.75" customHeight="1" x14ac:dyDescent="0.25">
      <c r="A691" s="4"/>
      <c r="B691" s="4"/>
      <c r="C691" s="4"/>
    </row>
    <row r="692" spans="1:3" ht="15.75" customHeight="1" x14ac:dyDescent="0.25">
      <c r="A692" s="4"/>
      <c r="B692" s="4"/>
      <c r="C692" s="4"/>
    </row>
    <row r="693" spans="1:3" ht="15.75" customHeight="1" x14ac:dyDescent="0.25">
      <c r="A693" s="4"/>
      <c r="B693" s="4"/>
      <c r="C693" s="4"/>
    </row>
    <row r="694" spans="1:3" ht="15.75" customHeight="1" x14ac:dyDescent="0.25">
      <c r="A694" s="4"/>
      <c r="B694" s="4"/>
      <c r="C694" s="4"/>
    </row>
    <row r="695" spans="1:3" ht="15.75" customHeight="1" x14ac:dyDescent="0.25">
      <c r="A695" s="4"/>
      <c r="B695" s="4"/>
      <c r="C695" s="4"/>
    </row>
    <row r="696" spans="1:3" ht="15.75" customHeight="1" x14ac:dyDescent="0.25">
      <c r="A696" s="4"/>
      <c r="B696" s="4"/>
      <c r="C696" s="4"/>
    </row>
    <row r="697" spans="1:3" ht="15.75" customHeight="1" x14ac:dyDescent="0.25">
      <c r="A697" s="4"/>
      <c r="B697" s="4"/>
      <c r="C697" s="4"/>
    </row>
    <row r="698" spans="1:3" ht="15.75" customHeight="1" x14ac:dyDescent="0.25">
      <c r="A698" s="4"/>
      <c r="B698" s="4"/>
      <c r="C698" s="4"/>
    </row>
    <row r="699" spans="1:3" ht="15.75" customHeight="1" x14ac:dyDescent="0.25">
      <c r="A699" s="4"/>
      <c r="B699" s="4"/>
      <c r="C699" s="4"/>
    </row>
    <row r="700" spans="1:3" ht="15.75" customHeight="1" x14ac:dyDescent="0.25">
      <c r="A700" s="4"/>
      <c r="B700" s="4"/>
      <c r="C700" s="4"/>
    </row>
    <row r="701" spans="1:3" ht="15.75" customHeight="1" x14ac:dyDescent="0.25">
      <c r="A701" s="4"/>
      <c r="B701" s="4"/>
      <c r="C701" s="4"/>
    </row>
    <row r="702" spans="1:3" ht="15.75" customHeight="1" x14ac:dyDescent="0.25">
      <c r="A702" s="4"/>
      <c r="B702" s="4"/>
      <c r="C702" s="4"/>
    </row>
    <row r="703" spans="1:3" ht="15.75" customHeight="1" x14ac:dyDescent="0.25">
      <c r="A703" s="4"/>
      <c r="B703" s="4"/>
      <c r="C703" s="4"/>
    </row>
    <row r="704" spans="1:3" ht="15.75" customHeight="1" x14ac:dyDescent="0.25">
      <c r="A704" s="4"/>
      <c r="B704" s="4"/>
      <c r="C704" s="4"/>
    </row>
    <row r="705" spans="1:3" ht="15.75" customHeight="1" x14ac:dyDescent="0.25">
      <c r="A705" s="4"/>
      <c r="B705" s="4"/>
      <c r="C705" s="4"/>
    </row>
    <row r="706" spans="1:3" ht="15.75" customHeight="1" x14ac:dyDescent="0.25">
      <c r="A706" s="4"/>
      <c r="B706" s="4"/>
      <c r="C706" s="4"/>
    </row>
    <row r="707" spans="1:3" ht="15.75" customHeight="1" x14ac:dyDescent="0.25">
      <c r="A707" s="4"/>
      <c r="B707" s="4"/>
      <c r="C707" s="4"/>
    </row>
    <row r="708" spans="1:3" ht="15.75" customHeight="1" x14ac:dyDescent="0.25">
      <c r="A708" s="4"/>
      <c r="B708" s="4"/>
      <c r="C708" s="4"/>
    </row>
    <row r="709" spans="1:3" ht="15.75" customHeight="1" x14ac:dyDescent="0.25">
      <c r="A709" s="4"/>
      <c r="B709" s="4"/>
      <c r="C709" s="4"/>
    </row>
    <row r="710" spans="1:3" ht="15.75" customHeight="1" x14ac:dyDescent="0.25">
      <c r="A710" s="4"/>
      <c r="B710" s="4"/>
      <c r="C710" s="4"/>
    </row>
    <row r="711" spans="1:3" ht="15.75" customHeight="1" x14ac:dyDescent="0.25">
      <c r="A711" s="4"/>
      <c r="B711" s="4"/>
      <c r="C711" s="4"/>
    </row>
    <row r="712" spans="1:3" ht="15.75" customHeight="1" x14ac:dyDescent="0.25">
      <c r="A712" s="4"/>
      <c r="B712" s="4"/>
      <c r="C712" s="4"/>
    </row>
    <row r="713" spans="1:3" ht="15.75" customHeight="1" x14ac:dyDescent="0.25">
      <c r="A713" s="4"/>
      <c r="B713" s="4"/>
      <c r="C713" s="4"/>
    </row>
    <row r="714" spans="1:3" ht="15.75" customHeight="1" x14ac:dyDescent="0.25">
      <c r="A714" s="4"/>
      <c r="B714" s="4"/>
      <c r="C714" s="4"/>
    </row>
    <row r="715" spans="1:3" ht="15.75" customHeight="1" x14ac:dyDescent="0.25">
      <c r="A715" s="4"/>
      <c r="B715" s="4"/>
      <c r="C715" s="4"/>
    </row>
    <row r="716" spans="1:3" ht="15.75" customHeight="1" x14ac:dyDescent="0.25">
      <c r="A716" s="4"/>
      <c r="B716" s="4"/>
      <c r="C716" s="4"/>
    </row>
    <row r="717" spans="1:3" ht="15.75" customHeight="1" x14ac:dyDescent="0.25">
      <c r="A717" s="4"/>
      <c r="B717" s="4"/>
      <c r="C717" s="4"/>
    </row>
    <row r="718" spans="1:3" ht="15.75" customHeight="1" x14ac:dyDescent="0.25">
      <c r="A718" s="4"/>
      <c r="B718" s="4"/>
      <c r="C718" s="4"/>
    </row>
    <row r="719" spans="1:3" ht="15.75" customHeight="1" x14ac:dyDescent="0.25">
      <c r="A719" s="4"/>
      <c r="B719" s="4"/>
      <c r="C719" s="4"/>
    </row>
    <row r="720" spans="1:3" ht="15.75" customHeight="1" x14ac:dyDescent="0.25">
      <c r="A720" s="4"/>
      <c r="B720" s="4"/>
      <c r="C720" s="4"/>
    </row>
    <row r="721" spans="1:3" ht="15.75" customHeight="1" x14ac:dyDescent="0.25">
      <c r="A721" s="4"/>
      <c r="B721" s="4"/>
      <c r="C721" s="4"/>
    </row>
    <row r="722" spans="1:3" ht="15.75" customHeight="1" x14ac:dyDescent="0.25">
      <c r="A722" s="4"/>
      <c r="B722" s="4"/>
      <c r="C722" s="4"/>
    </row>
    <row r="723" spans="1:3" ht="15.75" customHeight="1" x14ac:dyDescent="0.25">
      <c r="A723" s="4"/>
      <c r="B723" s="4"/>
      <c r="C723" s="4"/>
    </row>
    <row r="724" spans="1:3" ht="15.75" customHeight="1" x14ac:dyDescent="0.25">
      <c r="A724" s="4"/>
      <c r="B724" s="4"/>
      <c r="C724" s="4"/>
    </row>
    <row r="725" spans="1:3" ht="15.75" customHeight="1" x14ac:dyDescent="0.25">
      <c r="A725" s="4"/>
      <c r="B725" s="4"/>
      <c r="C725" s="4"/>
    </row>
    <row r="726" spans="1:3" ht="15.75" customHeight="1" x14ac:dyDescent="0.25">
      <c r="A726" s="4"/>
      <c r="B726" s="4"/>
      <c r="C726" s="4"/>
    </row>
    <row r="727" spans="1:3" ht="15.75" customHeight="1" x14ac:dyDescent="0.25">
      <c r="A727" s="4"/>
      <c r="B727" s="4"/>
      <c r="C727" s="4"/>
    </row>
    <row r="728" spans="1:3" ht="15.75" customHeight="1" x14ac:dyDescent="0.25">
      <c r="A728" s="4"/>
      <c r="B728" s="4"/>
      <c r="C728" s="4"/>
    </row>
    <row r="729" spans="1:3" ht="15.75" customHeight="1" x14ac:dyDescent="0.25">
      <c r="A729" s="4"/>
      <c r="B729" s="4"/>
      <c r="C729" s="4"/>
    </row>
    <row r="730" spans="1:3" ht="15.75" customHeight="1" x14ac:dyDescent="0.25">
      <c r="A730" s="4"/>
      <c r="B730" s="4"/>
      <c r="C730" s="4"/>
    </row>
    <row r="731" spans="1:3" ht="15.75" customHeight="1" x14ac:dyDescent="0.25">
      <c r="A731" s="4"/>
      <c r="B731" s="4"/>
      <c r="C731" s="4"/>
    </row>
    <row r="732" spans="1:3" ht="15.75" customHeight="1" x14ac:dyDescent="0.25">
      <c r="A732" s="4"/>
      <c r="B732" s="4"/>
      <c r="C732" s="4"/>
    </row>
    <row r="733" spans="1:3" ht="15.75" customHeight="1" x14ac:dyDescent="0.25">
      <c r="A733" s="4"/>
      <c r="B733" s="4"/>
      <c r="C733" s="4"/>
    </row>
    <row r="734" spans="1:3" ht="15.75" customHeight="1" x14ac:dyDescent="0.25">
      <c r="A734" s="4"/>
      <c r="B734" s="4"/>
      <c r="C734" s="4"/>
    </row>
    <row r="735" spans="1:3" ht="15.75" customHeight="1" x14ac:dyDescent="0.25">
      <c r="A735" s="4"/>
      <c r="B735" s="4"/>
      <c r="C735" s="4"/>
    </row>
    <row r="736" spans="1:3" ht="15.75" customHeight="1" x14ac:dyDescent="0.25">
      <c r="A736" s="4"/>
      <c r="B736" s="4"/>
      <c r="C736" s="4"/>
    </row>
    <row r="737" spans="1:3" ht="15.75" customHeight="1" x14ac:dyDescent="0.25">
      <c r="A737" s="4"/>
      <c r="B737" s="4"/>
      <c r="C737" s="4"/>
    </row>
    <row r="738" spans="1:3" ht="15.75" customHeight="1" x14ac:dyDescent="0.25">
      <c r="A738" s="4"/>
      <c r="B738" s="4"/>
      <c r="C738" s="4"/>
    </row>
    <row r="739" spans="1:3" ht="15.75" customHeight="1" x14ac:dyDescent="0.25">
      <c r="A739" s="4"/>
      <c r="B739" s="4"/>
      <c r="C739" s="4"/>
    </row>
    <row r="740" spans="1:3" ht="15.75" customHeight="1" x14ac:dyDescent="0.25">
      <c r="A740" s="4"/>
      <c r="B740" s="4"/>
      <c r="C740" s="4"/>
    </row>
    <row r="741" spans="1:3" ht="15.75" customHeight="1" x14ac:dyDescent="0.25">
      <c r="A741" s="4"/>
      <c r="B741" s="4"/>
      <c r="C741" s="4"/>
    </row>
    <row r="742" spans="1:3" ht="15.75" customHeight="1" x14ac:dyDescent="0.25">
      <c r="A742" s="4"/>
      <c r="B742" s="4"/>
      <c r="C742" s="4"/>
    </row>
    <row r="743" spans="1:3" ht="15.75" customHeight="1" x14ac:dyDescent="0.25">
      <c r="A743" s="4"/>
      <c r="B743" s="4"/>
      <c r="C743" s="4"/>
    </row>
    <row r="744" spans="1:3" ht="15.75" customHeight="1" x14ac:dyDescent="0.25">
      <c r="A744" s="4"/>
      <c r="B744" s="4"/>
      <c r="C744" s="4"/>
    </row>
    <row r="745" spans="1:3" ht="15.75" customHeight="1" x14ac:dyDescent="0.25">
      <c r="A745" s="4"/>
      <c r="B745" s="4"/>
      <c r="C745" s="4"/>
    </row>
    <row r="746" spans="1:3" ht="15.75" customHeight="1" x14ac:dyDescent="0.25">
      <c r="A746" s="4"/>
      <c r="B746" s="4"/>
      <c r="C746" s="4"/>
    </row>
    <row r="747" spans="1:3" ht="15.75" customHeight="1" x14ac:dyDescent="0.25">
      <c r="A747" s="4"/>
      <c r="B747" s="4"/>
      <c r="C747" s="4"/>
    </row>
    <row r="748" spans="1:3" ht="15.75" customHeight="1" x14ac:dyDescent="0.25">
      <c r="A748" s="4"/>
      <c r="B748" s="4"/>
      <c r="C748" s="4"/>
    </row>
    <row r="749" spans="1:3" ht="15.75" customHeight="1" x14ac:dyDescent="0.25">
      <c r="A749" s="4"/>
      <c r="B749" s="4"/>
      <c r="C749" s="4"/>
    </row>
    <row r="750" spans="1:3" ht="15.75" customHeight="1" x14ac:dyDescent="0.25">
      <c r="A750" s="4"/>
      <c r="B750" s="4"/>
      <c r="C750" s="4"/>
    </row>
    <row r="751" spans="1:3" ht="15.75" customHeight="1" x14ac:dyDescent="0.25">
      <c r="A751" s="4"/>
      <c r="B751" s="4"/>
      <c r="C751" s="4"/>
    </row>
    <row r="752" spans="1:3" ht="15.75" customHeight="1" x14ac:dyDescent="0.25">
      <c r="A752" s="4"/>
      <c r="B752" s="4"/>
      <c r="C752" s="4"/>
    </row>
    <row r="753" spans="1:3" ht="15.75" customHeight="1" x14ac:dyDescent="0.25">
      <c r="A753" s="4"/>
      <c r="B753" s="4"/>
      <c r="C753" s="4"/>
    </row>
    <row r="754" spans="1:3" ht="15.75" customHeight="1" x14ac:dyDescent="0.25">
      <c r="A754" s="4"/>
      <c r="B754" s="4"/>
      <c r="C754" s="4"/>
    </row>
    <row r="755" spans="1:3" ht="15.75" customHeight="1" x14ac:dyDescent="0.25">
      <c r="A755" s="4"/>
      <c r="B755" s="4"/>
      <c r="C755" s="4"/>
    </row>
    <row r="756" spans="1:3" ht="15.75" customHeight="1" x14ac:dyDescent="0.25">
      <c r="A756" s="4"/>
      <c r="B756" s="4"/>
      <c r="C756" s="4"/>
    </row>
    <row r="757" spans="1:3" ht="15.75" customHeight="1" x14ac:dyDescent="0.25">
      <c r="A757" s="4"/>
      <c r="B757" s="4"/>
      <c r="C757" s="4"/>
    </row>
    <row r="758" spans="1:3" ht="15.75" customHeight="1" x14ac:dyDescent="0.25">
      <c r="A758" s="4"/>
      <c r="B758" s="4"/>
      <c r="C758" s="4"/>
    </row>
    <row r="759" spans="1:3" ht="15.75" customHeight="1" x14ac:dyDescent="0.25">
      <c r="A759" s="4"/>
      <c r="B759" s="4"/>
      <c r="C759" s="4"/>
    </row>
    <row r="760" spans="1:3" ht="15.75" customHeight="1" x14ac:dyDescent="0.25">
      <c r="A760" s="4"/>
      <c r="B760" s="4"/>
      <c r="C760" s="4"/>
    </row>
    <row r="761" spans="1:3" ht="15.75" customHeight="1" x14ac:dyDescent="0.25">
      <c r="A761" s="4"/>
      <c r="B761" s="4"/>
      <c r="C761" s="4"/>
    </row>
    <row r="762" spans="1:3" ht="15.75" customHeight="1" x14ac:dyDescent="0.25">
      <c r="A762" s="4"/>
      <c r="B762" s="4"/>
      <c r="C762" s="4"/>
    </row>
    <row r="763" spans="1:3" ht="15.75" customHeight="1" x14ac:dyDescent="0.25">
      <c r="A763" s="4"/>
      <c r="B763" s="4"/>
      <c r="C763" s="4"/>
    </row>
    <row r="764" spans="1:3" ht="15.75" customHeight="1" x14ac:dyDescent="0.25">
      <c r="A764" s="4"/>
      <c r="B764" s="4"/>
      <c r="C764" s="4"/>
    </row>
    <row r="765" spans="1:3" ht="15.75" customHeight="1" x14ac:dyDescent="0.25">
      <c r="A765" s="4"/>
      <c r="B765" s="4"/>
      <c r="C765" s="4"/>
    </row>
    <row r="766" spans="1:3" ht="15.75" customHeight="1" x14ac:dyDescent="0.25">
      <c r="A766" s="4"/>
      <c r="B766" s="4"/>
      <c r="C766" s="4"/>
    </row>
    <row r="767" spans="1:3" ht="15.75" customHeight="1" x14ac:dyDescent="0.25">
      <c r="A767" s="4"/>
      <c r="B767" s="4"/>
      <c r="C767" s="4"/>
    </row>
    <row r="768" spans="1:3" ht="15.75" customHeight="1" x14ac:dyDescent="0.25">
      <c r="A768" s="4"/>
      <c r="B768" s="4"/>
      <c r="C768" s="4"/>
    </row>
    <row r="769" spans="1:3" ht="15.75" customHeight="1" x14ac:dyDescent="0.25">
      <c r="A769" s="4"/>
      <c r="B769" s="4"/>
      <c r="C769" s="4"/>
    </row>
    <row r="770" spans="1:3" ht="15.75" customHeight="1" x14ac:dyDescent="0.25">
      <c r="A770" s="4"/>
      <c r="B770" s="4"/>
      <c r="C770" s="4"/>
    </row>
    <row r="771" spans="1:3" ht="15.75" customHeight="1" x14ac:dyDescent="0.25">
      <c r="A771" s="4"/>
      <c r="B771" s="4"/>
      <c r="C771" s="4"/>
    </row>
    <row r="772" spans="1:3" ht="15.75" customHeight="1" x14ac:dyDescent="0.25">
      <c r="A772" s="4"/>
      <c r="B772" s="4"/>
      <c r="C772" s="4"/>
    </row>
    <row r="773" spans="1:3" ht="15.75" customHeight="1" x14ac:dyDescent="0.25">
      <c r="A773" s="4"/>
      <c r="B773" s="4"/>
      <c r="C773" s="4"/>
    </row>
    <row r="774" spans="1:3" ht="15.75" customHeight="1" x14ac:dyDescent="0.25">
      <c r="A774" s="4"/>
      <c r="B774" s="4"/>
      <c r="C774" s="4"/>
    </row>
    <row r="775" spans="1:3" ht="15.75" customHeight="1" x14ac:dyDescent="0.25">
      <c r="A775" s="4"/>
      <c r="B775" s="4"/>
      <c r="C775" s="4"/>
    </row>
    <row r="776" spans="1:3" ht="15.75" customHeight="1" x14ac:dyDescent="0.25">
      <c r="A776" s="4"/>
      <c r="B776" s="4"/>
      <c r="C776" s="4"/>
    </row>
    <row r="777" spans="1:3" ht="15.75" customHeight="1" x14ac:dyDescent="0.25">
      <c r="A777" s="4"/>
      <c r="B777" s="4"/>
      <c r="C777" s="4"/>
    </row>
    <row r="778" spans="1:3" ht="15.75" customHeight="1" x14ac:dyDescent="0.25">
      <c r="A778" s="4"/>
      <c r="B778" s="4"/>
      <c r="C778" s="4"/>
    </row>
    <row r="779" spans="1:3" ht="15.75" customHeight="1" x14ac:dyDescent="0.25">
      <c r="A779" s="4"/>
      <c r="B779" s="4"/>
      <c r="C779" s="4"/>
    </row>
    <row r="780" spans="1:3" ht="15.75" customHeight="1" x14ac:dyDescent="0.25">
      <c r="A780" s="4"/>
      <c r="B780" s="4"/>
      <c r="C780" s="4"/>
    </row>
    <row r="781" spans="1:3" ht="15.75" customHeight="1" x14ac:dyDescent="0.25">
      <c r="A781" s="4"/>
      <c r="B781" s="4"/>
      <c r="C781" s="4"/>
    </row>
    <row r="782" spans="1:3" ht="15.75" customHeight="1" x14ac:dyDescent="0.25">
      <c r="A782" s="4"/>
      <c r="B782" s="4"/>
      <c r="C782" s="4"/>
    </row>
    <row r="783" spans="1:3" ht="15.75" customHeight="1" x14ac:dyDescent="0.25">
      <c r="A783" s="4"/>
      <c r="B783" s="4"/>
      <c r="C783" s="4"/>
    </row>
    <row r="784" spans="1:3" ht="15.75" customHeight="1" x14ac:dyDescent="0.25">
      <c r="A784" s="4"/>
      <c r="B784" s="4"/>
      <c r="C784" s="4"/>
    </row>
    <row r="785" spans="1:3" ht="15.75" customHeight="1" x14ac:dyDescent="0.25">
      <c r="A785" s="4"/>
      <c r="B785" s="4"/>
      <c r="C785" s="4"/>
    </row>
    <row r="786" spans="1:3" ht="15.75" customHeight="1" x14ac:dyDescent="0.25">
      <c r="A786" s="4"/>
      <c r="B786" s="4"/>
      <c r="C786" s="4"/>
    </row>
    <row r="787" spans="1:3" ht="15.75" customHeight="1" x14ac:dyDescent="0.25">
      <c r="A787" s="4"/>
      <c r="B787" s="4"/>
      <c r="C787" s="4"/>
    </row>
    <row r="788" spans="1:3" ht="15.75" customHeight="1" x14ac:dyDescent="0.25">
      <c r="A788" s="4"/>
      <c r="B788" s="4"/>
      <c r="C788" s="4"/>
    </row>
    <row r="789" spans="1:3" ht="15.75" customHeight="1" x14ac:dyDescent="0.25">
      <c r="A789" s="4"/>
      <c r="B789" s="4"/>
      <c r="C789" s="4"/>
    </row>
    <row r="790" spans="1:3" ht="15.75" customHeight="1" x14ac:dyDescent="0.25">
      <c r="A790" s="4"/>
      <c r="B790" s="4"/>
      <c r="C790" s="4"/>
    </row>
    <row r="791" spans="1:3" ht="15.75" customHeight="1" x14ac:dyDescent="0.25">
      <c r="A791" s="4"/>
      <c r="B791" s="4"/>
      <c r="C791" s="4"/>
    </row>
    <row r="792" spans="1:3" ht="15.75" customHeight="1" x14ac:dyDescent="0.25">
      <c r="A792" s="4"/>
      <c r="B792" s="4"/>
      <c r="C792" s="4"/>
    </row>
    <row r="793" spans="1:3" ht="15.75" customHeight="1" x14ac:dyDescent="0.25">
      <c r="A793" s="4"/>
      <c r="B793" s="4"/>
      <c r="C793" s="4"/>
    </row>
    <row r="794" spans="1:3" ht="15.75" customHeight="1" x14ac:dyDescent="0.25">
      <c r="A794" s="4"/>
      <c r="B794" s="4"/>
      <c r="C794" s="4"/>
    </row>
    <row r="795" spans="1:3" ht="15.75" customHeight="1" x14ac:dyDescent="0.25">
      <c r="A795" s="4"/>
      <c r="B795" s="4"/>
      <c r="C795" s="4"/>
    </row>
    <row r="796" spans="1:3" ht="15.75" customHeight="1" x14ac:dyDescent="0.25">
      <c r="A796" s="4"/>
      <c r="B796" s="4"/>
      <c r="C796" s="4"/>
    </row>
    <row r="797" spans="1:3" ht="15.75" customHeight="1" x14ac:dyDescent="0.25">
      <c r="A797" s="4"/>
      <c r="B797" s="4"/>
      <c r="C797" s="4"/>
    </row>
    <row r="798" spans="1:3" ht="15.75" customHeight="1" x14ac:dyDescent="0.25">
      <c r="A798" s="4"/>
      <c r="B798" s="4"/>
      <c r="C798" s="4"/>
    </row>
    <row r="799" spans="1:3" ht="15.75" customHeight="1" x14ac:dyDescent="0.25">
      <c r="A799" s="4"/>
      <c r="B799" s="4"/>
      <c r="C799" s="4"/>
    </row>
    <row r="800" spans="1:3" ht="15.75" customHeight="1" x14ac:dyDescent="0.25">
      <c r="A800" s="4"/>
      <c r="B800" s="4"/>
      <c r="C800" s="4"/>
    </row>
    <row r="801" spans="1:3" ht="15.75" customHeight="1" x14ac:dyDescent="0.25">
      <c r="A801" s="4"/>
      <c r="B801" s="4"/>
      <c r="C801" s="4"/>
    </row>
    <row r="802" spans="1:3" ht="15.75" customHeight="1" x14ac:dyDescent="0.25">
      <c r="A802" s="4"/>
      <c r="B802" s="4"/>
      <c r="C802" s="4"/>
    </row>
    <row r="803" spans="1:3" ht="15.75" customHeight="1" x14ac:dyDescent="0.25">
      <c r="A803" s="4"/>
      <c r="B803" s="4"/>
      <c r="C803" s="4"/>
    </row>
    <row r="804" spans="1:3" ht="15.75" customHeight="1" x14ac:dyDescent="0.25">
      <c r="A804" s="4"/>
      <c r="B804" s="4"/>
      <c r="C804" s="4"/>
    </row>
    <row r="805" spans="1:3" ht="15.75" customHeight="1" x14ac:dyDescent="0.25">
      <c r="A805" s="4"/>
      <c r="B805" s="4"/>
      <c r="C805" s="4"/>
    </row>
    <row r="806" spans="1:3" ht="15.75" customHeight="1" x14ac:dyDescent="0.25">
      <c r="A806" s="4"/>
      <c r="B806" s="4"/>
      <c r="C806" s="4"/>
    </row>
    <row r="807" spans="1:3" ht="15.75" customHeight="1" x14ac:dyDescent="0.25">
      <c r="A807" s="4"/>
      <c r="B807" s="4"/>
      <c r="C807" s="4"/>
    </row>
    <row r="808" spans="1:3" ht="15.75" customHeight="1" x14ac:dyDescent="0.25">
      <c r="A808" s="4"/>
      <c r="B808" s="4"/>
      <c r="C808" s="4"/>
    </row>
    <row r="809" spans="1:3" ht="15.75" customHeight="1" x14ac:dyDescent="0.25">
      <c r="A809" s="4"/>
      <c r="B809" s="4"/>
      <c r="C809" s="4"/>
    </row>
    <row r="810" spans="1:3" ht="15.75" customHeight="1" x14ac:dyDescent="0.25">
      <c r="A810" s="4"/>
      <c r="B810" s="4"/>
      <c r="C810" s="4"/>
    </row>
    <row r="811" spans="1:3" ht="15.75" customHeight="1" x14ac:dyDescent="0.25">
      <c r="A811" s="4"/>
      <c r="B811" s="4"/>
      <c r="C811" s="4"/>
    </row>
    <row r="812" spans="1:3" ht="15.75" customHeight="1" x14ac:dyDescent="0.25">
      <c r="A812" s="4"/>
      <c r="B812" s="4"/>
      <c r="C812" s="4"/>
    </row>
    <row r="813" spans="1:3" ht="15.75" customHeight="1" x14ac:dyDescent="0.25">
      <c r="A813" s="4"/>
      <c r="B813" s="4"/>
      <c r="C813" s="4"/>
    </row>
    <row r="814" spans="1:3" ht="15.75" customHeight="1" x14ac:dyDescent="0.25">
      <c r="A814" s="4"/>
      <c r="B814" s="4"/>
      <c r="C814" s="4"/>
    </row>
    <row r="815" spans="1:3" ht="15.75" customHeight="1" x14ac:dyDescent="0.25">
      <c r="A815" s="4"/>
      <c r="B815" s="4"/>
      <c r="C815" s="4"/>
    </row>
    <row r="816" spans="1:3" ht="15.75" customHeight="1" x14ac:dyDescent="0.25">
      <c r="A816" s="4"/>
      <c r="B816" s="4"/>
      <c r="C816" s="4"/>
    </row>
    <row r="817" spans="1:3" ht="15.75" customHeight="1" x14ac:dyDescent="0.25">
      <c r="A817" s="4"/>
      <c r="B817" s="4"/>
      <c r="C817" s="4"/>
    </row>
    <row r="818" spans="1:3" ht="15.75" customHeight="1" x14ac:dyDescent="0.25">
      <c r="A818" s="4"/>
      <c r="B818" s="4"/>
      <c r="C818" s="4"/>
    </row>
    <row r="819" spans="1:3" ht="15.75" customHeight="1" x14ac:dyDescent="0.25">
      <c r="A819" s="4"/>
      <c r="B819" s="4"/>
      <c r="C819" s="4"/>
    </row>
    <row r="820" spans="1:3" ht="15.75" customHeight="1" x14ac:dyDescent="0.25">
      <c r="A820" s="4"/>
      <c r="B820" s="4"/>
      <c r="C820" s="4"/>
    </row>
    <row r="821" spans="1:3" ht="15.75" customHeight="1" x14ac:dyDescent="0.25">
      <c r="A821" s="4"/>
      <c r="B821" s="4"/>
      <c r="C821" s="4"/>
    </row>
    <row r="822" spans="1:3" ht="15.75" customHeight="1" x14ac:dyDescent="0.25">
      <c r="A822" s="4"/>
      <c r="B822" s="4"/>
      <c r="C822" s="4"/>
    </row>
    <row r="823" spans="1:3" ht="15.75" customHeight="1" x14ac:dyDescent="0.25">
      <c r="A823" s="4"/>
      <c r="B823" s="4"/>
      <c r="C823" s="4"/>
    </row>
    <row r="824" spans="1:3" ht="15.75" customHeight="1" x14ac:dyDescent="0.25">
      <c r="A824" s="4"/>
      <c r="B824" s="4"/>
      <c r="C824" s="4"/>
    </row>
    <row r="825" spans="1:3" ht="15.75" customHeight="1" x14ac:dyDescent="0.25">
      <c r="A825" s="4"/>
      <c r="B825" s="4"/>
      <c r="C825" s="4"/>
    </row>
    <row r="826" spans="1:3" ht="15.75" customHeight="1" x14ac:dyDescent="0.25">
      <c r="A826" s="4"/>
      <c r="B826" s="4"/>
      <c r="C826" s="4"/>
    </row>
    <row r="827" spans="1:3" ht="15.75" customHeight="1" x14ac:dyDescent="0.25">
      <c r="A827" s="4"/>
      <c r="B827" s="4"/>
      <c r="C827" s="4"/>
    </row>
    <row r="828" spans="1:3" ht="15.75" customHeight="1" x14ac:dyDescent="0.25">
      <c r="A828" s="4"/>
      <c r="B828" s="4"/>
      <c r="C828" s="4"/>
    </row>
    <row r="829" spans="1:3" ht="15.75" customHeight="1" x14ac:dyDescent="0.25">
      <c r="A829" s="4"/>
      <c r="B829" s="4"/>
      <c r="C829" s="4"/>
    </row>
    <row r="830" spans="1:3" ht="15.75" customHeight="1" x14ac:dyDescent="0.25">
      <c r="A830" s="4"/>
      <c r="B830" s="4"/>
      <c r="C830" s="4"/>
    </row>
    <row r="831" spans="1:3" ht="15.75" customHeight="1" x14ac:dyDescent="0.25">
      <c r="A831" s="4"/>
      <c r="B831" s="4"/>
      <c r="C831" s="4"/>
    </row>
    <row r="832" spans="1:3" ht="15.75" customHeight="1" x14ac:dyDescent="0.25">
      <c r="A832" s="4"/>
      <c r="B832" s="4"/>
      <c r="C832" s="4"/>
    </row>
    <row r="833" spans="1:3" ht="15.75" customHeight="1" x14ac:dyDescent="0.25">
      <c r="A833" s="4"/>
      <c r="B833" s="4"/>
      <c r="C833" s="4"/>
    </row>
    <row r="834" spans="1:3" ht="15.75" customHeight="1" x14ac:dyDescent="0.25">
      <c r="A834" s="4"/>
      <c r="B834" s="4"/>
      <c r="C834" s="4"/>
    </row>
    <row r="835" spans="1:3" ht="15.75" customHeight="1" x14ac:dyDescent="0.25">
      <c r="A835" s="4"/>
      <c r="B835" s="4"/>
      <c r="C835" s="4"/>
    </row>
    <row r="836" spans="1:3" ht="15.75" customHeight="1" x14ac:dyDescent="0.25">
      <c r="A836" s="4"/>
      <c r="B836" s="4"/>
      <c r="C836" s="4"/>
    </row>
    <row r="837" spans="1:3" ht="15.75" customHeight="1" x14ac:dyDescent="0.25">
      <c r="A837" s="4"/>
      <c r="B837" s="4"/>
      <c r="C837" s="4"/>
    </row>
    <row r="838" spans="1:3" ht="15.75" customHeight="1" x14ac:dyDescent="0.25">
      <c r="A838" s="4"/>
      <c r="B838" s="4"/>
      <c r="C838" s="4"/>
    </row>
    <row r="839" spans="1:3" ht="15.75" customHeight="1" x14ac:dyDescent="0.25">
      <c r="A839" s="4"/>
      <c r="B839" s="4"/>
      <c r="C839" s="4"/>
    </row>
    <row r="840" spans="1:3" ht="15.75" customHeight="1" x14ac:dyDescent="0.25">
      <c r="A840" s="4"/>
      <c r="B840" s="4"/>
      <c r="C840" s="4"/>
    </row>
    <row r="841" spans="1:3" ht="15.75" customHeight="1" x14ac:dyDescent="0.25">
      <c r="A841" s="4"/>
      <c r="B841" s="4"/>
      <c r="C841" s="4"/>
    </row>
    <row r="842" spans="1:3" ht="15.75" customHeight="1" x14ac:dyDescent="0.25">
      <c r="A842" s="4"/>
      <c r="B842" s="4"/>
      <c r="C842" s="4"/>
    </row>
    <row r="843" spans="1:3" ht="15.75" customHeight="1" x14ac:dyDescent="0.25">
      <c r="A843" s="4"/>
      <c r="B843" s="4"/>
      <c r="C843" s="4"/>
    </row>
    <row r="844" spans="1:3" ht="15.75" customHeight="1" x14ac:dyDescent="0.25">
      <c r="A844" s="4"/>
      <c r="B844" s="4"/>
      <c r="C844" s="4"/>
    </row>
    <row r="845" spans="1:3" ht="15.75" customHeight="1" x14ac:dyDescent="0.25">
      <c r="A845" s="4"/>
      <c r="B845" s="4"/>
      <c r="C845" s="4"/>
    </row>
    <row r="846" spans="1:3" ht="15.75" customHeight="1" x14ac:dyDescent="0.25">
      <c r="A846" s="4"/>
      <c r="B846" s="4"/>
      <c r="C846" s="4"/>
    </row>
    <row r="847" spans="1:3" ht="15.75" customHeight="1" x14ac:dyDescent="0.25">
      <c r="A847" s="4"/>
      <c r="B847" s="4"/>
      <c r="C847" s="4"/>
    </row>
    <row r="848" spans="1:3" ht="15.75" customHeight="1" x14ac:dyDescent="0.25">
      <c r="A848" s="4"/>
      <c r="B848" s="4"/>
      <c r="C848" s="4"/>
    </row>
    <row r="849" spans="1:3" ht="15.75" customHeight="1" x14ac:dyDescent="0.25">
      <c r="A849" s="4"/>
      <c r="B849" s="4"/>
      <c r="C849" s="4"/>
    </row>
    <row r="850" spans="1:3" ht="15.75" customHeight="1" x14ac:dyDescent="0.25">
      <c r="A850" s="4"/>
      <c r="B850" s="4"/>
      <c r="C850" s="4"/>
    </row>
    <row r="851" spans="1:3" ht="15.75" customHeight="1" x14ac:dyDescent="0.25">
      <c r="A851" s="4"/>
      <c r="B851" s="4"/>
      <c r="C851" s="4"/>
    </row>
    <row r="852" spans="1:3" ht="15.75" customHeight="1" x14ac:dyDescent="0.25">
      <c r="A852" s="4"/>
      <c r="B852" s="4"/>
      <c r="C852" s="4"/>
    </row>
    <row r="853" spans="1:3" ht="15.75" customHeight="1" x14ac:dyDescent="0.25">
      <c r="A853" s="4"/>
      <c r="B853" s="4"/>
      <c r="C853" s="4"/>
    </row>
    <row r="854" spans="1:3" ht="15.75" customHeight="1" x14ac:dyDescent="0.25">
      <c r="A854" s="4"/>
      <c r="B854" s="4"/>
      <c r="C854" s="4"/>
    </row>
    <row r="855" spans="1:3" ht="15.75" customHeight="1" x14ac:dyDescent="0.25">
      <c r="A855" s="4"/>
      <c r="B855" s="4"/>
      <c r="C855" s="4"/>
    </row>
    <row r="856" spans="1:3" ht="15.75" customHeight="1" x14ac:dyDescent="0.25">
      <c r="A856" s="4"/>
      <c r="B856" s="4"/>
      <c r="C856" s="4"/>
    </row>
    <row r="857" spans="1:3" ht="15.75" customHeight="1" x14ac:dyDescent="0.25">
      <c r="A857" s="4"/>
      <c r="B857" s="4"/>
      <c r="C857" s="4"/>
    </row>
    <row r="858" spans="1:3" ht="15.75" customHeight="1" x14ac:dyDescent="0.25">
      <c r="A858" s="4"/>
      <c r="B858" s="4"/>
      <c r="C858" s="4"/>
    </row>
    <row r="859" spans="1:3" ht="15.75" customHeight="1" x14ac:dyDescent="0.25">
      <c r="A859" s="4"/>
      <c r="B859" s="4"/>
      <c r="C859" s="4"/>
    </row>
    <row r="860" spans="1:3" ht="15.75" customHeight="1" x14ac:dyDescent="0.25">
      <c r="A860" s="4"/>
      <c r="B860" s="4"/>
      <c r="C860" s="4"/>
    </row>
    <row r="861" spans="1:3" ht="15.75" customHeight="1" x14ac:dyDescent="0.25">
      <c r="A861" s="4"/>
      <c r="B861" s="4"/>
      <c r="C861" s="4"/>
    </row>
    <row r="862" spans="1:3" ht="15.75" customHeight="1" x14ac:dyDescent="0.25">
      <c r="A862" s="4"/>
      <c r="B862" s="4"/>
      <c r="C862" s="4"/>
    </row>
    <row r="863" spans="1:3" ht="15.75" customHeight="1" x14ac:dyDescent="0.25">
      <c r="A863" s="4"/>
      <c r="B863" s="4"/>
      <c r="C863" s="4"/>
    </row>
    <row r="864" spans="1:3" ht="15.75" customHeight="1" x14ac:dyDescent="0.25">
      <c r="A864" s="4"/>
      <c r="B864" s="4"/>
      <c r="C864" s="4"/>
    </row>
    <row r="865" spans="1:3" ht="15.75" customHeight="1" x14ac:dyDescent="0.25">
      <c r="A865" s="4"/>
      <c r="B865" s="4"/>
      <c r="C865" s="4"/>
    </row>
    <row r="866" spans="1:3" ht="15.75" customHeight="1" x14ac:dyDescent="0.25">
      <c r="A866" s="4"/>
      <c r="B866" s="4"/>
      <c r="C866" s="4"/>
    </row>
    <row r="867" spans="1:3" ht="15.75" customHeight="1" x14ac:dyDescent="0.25">
      <c r="A867" s="4"/>
      <c r="B867" s="4"/>
      <c r="C867" s="4"/>
    </row>
    <row r="868" spans="1:3" ht="15.75" customHeight="1" x14ac:dyDescent="0.25">
      <c r="A868" s="4"/>
      <c r="B868" s="4"/>
      <c r="C868" s="4"/>
    </row>
    <row r="869" spans="1:3" ht="15.75" customHeight="1" x14ac:dyDescent="0.25">
      <c r="A869" s="4"/>
      <c r="B869" s="4"/>
      <c r="C869" s="4"/>
    </row>
    <row r="870" spans="1:3" ht="15.75" customHeight="1" x14ac:dyDescent="0.25">
      <c r="A870" s="4"/>
      <c r="B870" s="4"/>
      <c r="C870" s="4"/>
    </row>
    <row r="871" spans="1:3" ht="15.75" customHeight="1" x14ac:dyDescent="0.25">
      <c r="A871" s="4"/>
      <c r="B871" s="4"/>
      <c r="C871" s="4"/>
    </row>
    <row r="872" spans="1:3" ht="15.75" customHeight="1" x14ac:dyDescent="0.25">
      <c r="A872" s="4"/>
      <c r="B872" s="4"/>
      <c r="C872" s="4"/>
    </row>
    <row r="873" spans="1:3" ht="15.75" customHeight="1" x14ac:dyDescent="0.25">
      <c r="A873" s="4"/>
      <c r="B873" s="4"/>
      <c r="C873" s="4"/>
    </row>
    <row r="874" spans="1:3" ht="15.75" customHeight="1" x14ac:dyDescent="0.25">
      <c r="A874" s="4"/>
      <c r="B874" s="4"/>
      <c r="C874" s="4"/>
    </row>
    <row r="875" spans="1:3" ht="15.75" customHeight="1" x14ac:dyDescent="0.25">
      <c r="A875" s="4"/>
      <c r="B875" s="4"/>
      <c r="C875" s="4"/>
    </row>
    <row r="876" spans="1:3" ht="15.75" customHeight="1" x14ac:dyDescent="0.25">
      <c r="A876" s="4"/>
      <c r="B876" s="4"/>
      <c r="C876" s="4"/>
    </row>
    <row r="877" spans="1:3" ht="15.75" customHeight="1" x14ac:dyDescent="0.25">
      <c r="A877" s="4"/>
      <c r="B877" s="4"/>
      <c r="C877" s="4"/>
    </row>
    <row r="878" spans="1:3" ht="15.75" customHeight="1" x14ac:dyDescent="0.25">
      <c r="A878" s="4"/>
      <c r="B878" s="4"/>
      <c r="C878" s="4"/>
    </row>
    <row r="879" spans="1:3" ht="15.75" customHeight="1" x14ac:dyDescent="0.25">
      <c r="A879" s="4"/>
      <c r="B879" s="4"/>
      <c r="C879" s="4"/>
    </row>
    <row r="880" spans="1:3" ht="15.75" customHeight="1" x14ac:dyDescent="0.25">
      <c r="A880" s="4"/>
      <c r="B880" s="4"/>
      <c r="C880" s="4"/>
    </row>
    <row r="881" spans="1:3" ht="15.75" customHeight="1" x14ac:dyDescent="0.25">
      <c r="A881" s="4"/>
      <c r="B881" s="4"/>
      <c r="C881" s="4"/>
    </row>
    <row r="882" spans="1:3" ht="15.75" customHeight="1" x14ac:dyDescent="0.25">
      <c r="A882" s="4"/>
      <c r="B882" s="4"/>
      <c r="C882" s="4"/>
    </row>
    <row r="883" spans="1:3" ht="15.75" customHeight="1" x14ac:dyDescent="0.25">
      <c r="A883" s="4"/>
      <c r="B883" s="4"/>
      <c r="C883" s="4"/>
    </row>
    <row r="884" spans="1:3" ht="15.75" customHeight="1" x14ac:dyDescent="0.25">
      <c r="A884" s="4"/>
      <c r="B884" s="4"/>
      <c r="C884" s="4"/>
    </row>
    <row r="885" spans="1:3" ht="15.75" customHeight="1" x14ac:dyDescent="0.25">
      <c r="A885" s="4"/>
      <c r="B885" s="4"/>
      <c r="C885" s="4"/>
    </row>
    <row r="886" spans="1:3" ht="15.75" customHeight="1" x14ac:dyDescent="0.25">
      <c r="A886" s="4"/>
      <c r="B886" s="4"/>
      <c r="C886" s="4"/>
    </row>
    <row r="887" spans="1:3" ht="15.75" customHeight="1" x14ac:dyDescent="0.25">
      <c r="A887" s="4"/>
      <c r="B887" s="4"/>
      <c r="C887" s="4"/>
    </row>
    <row r="888" spans="1:3" ht="15.75" customHeight="1" x14ac:dyDescent="0.25">
      <c r="A888" s="4"/>
      <c r="B888" s="4"/>
      <c r="C888" s="4"/>
    </row>
    <row r="889" spans="1:3" ht="15.75" customHeight="1" x14ac:dyDescent="0.25">
      <c r="A889" s="4"/>
      <c r="B889" s="4"/>
      <c r="C889" s="4"/>
    </row>
    <row r="890" spans="1:3" ht="15.75" customHeight="1" x14ac:dyDescent="0.25">
      <c r="A890" s="4"/>
      <c r="B890" s="4"/>
      <c r="C890" s="4"/>
    </row>
    <row r="891" spans="1:3" ht="15.75" customHeight="1" x14ac:dyDescent="0.25">
      <c r="A891" s="4"/>
      <c r="B891" s="4"/>
      <c r="C891" s="4"/>
    </row>
    <row r="892" spans="1:3" ht="15.75" customHeight="1" x14ac:dyDescent="0.25">
      <c r="A892" s="4"/>
      <c r="B892" s="4"/>
      <c r="C892" s="4"/>
    </row>
    <row r="893" spans="1:3" ht="15.75" customHeight="1" x14ac:dyDescent="0.25">
      <c r="A893" s="4"/>
      <c r="B893" s="4"/>
      <c r="C893" s="4"/>
    </row>
    <row r="894" spans="1:3" ht="15.75" customHeight="1" x14ac:dyDescent="0.25">
      <c r="A894" s="4"/>
      <c r="B894" s="4"/>
      <c r="C894" s="4"/>
    </row>
    <row r="895" spans="1:3" ht="15.75" customHeight="1" x14ac:dyDescent="0.25">
      <c r="A895" s="4"/>
      <c r="B895" s="4"/>
      <c r="C895" s="4"/>
    </row>
    <row r="896" spans="1:3" ht="15.75" customHeight="1" x14ac:dyDescent="0.25">
      <c r="A896" s="4"/>
      <c r="B896" s="4"/>
      <c r="C896" s="4"/>
    </row>
    <row r="897" spans="1:3" ht="15.75" customHeight="1" x14ac:dyDescent="0.25">
      <c r="A897" s="4"/>
      <c r="B897" s="4"/>
      <c r="C897" s="4"/>
    </row>
    <row r="898" spans="1:3" ht="15.75" customHeight="1" x14ac:dyDescent="0.25">
      <c r="A898" s="4"/>
      <c r="B898" s="4"/>
      <c r="C898" s="4"/>
    </row>
    <row r="899" spans="1:3" ht="15.75" customHeight="1" x14ac:dyDescent="0.25">
      <c r="A899" s="4"/>
      <c r="B899" s="4"/>
      <c r="C899" s="4"/>
    </row>
    <row r="900" spans="1:3" ht="15.75" customHeight="1" x14ac:dyDescent="0.25">
      <c r="A900" s="4"/>
      <c r="B900" s="4"/>
      <c r="C900" s="4"/>
    </row>
    <row r="901" spans="1:3" ht="15.75" customHeight="1" x14ac:dyDescent="0.25">
      <c r="A901" s="4"/>
      <c r="B901" s="4"/>
      <c r="C901" s="4"/>
    </row>
    <row r="902" spans="1:3" ht="15.75" customHeight="1" x14ac:dyDescent="0.25">
      <c r="A902" s="4"/>
      <c r="B902" s="4"/>
      <c r="C902" s="4"/>
    </row>
    <row r="903" spans="1:3" ht="15.75" customHeight="1" x14ac:dyDescent="0.25">
      <c r="A903" s="4"/>
      <c r="B903" s="4"/>
      <c r="C903" s="4"/>
    </row>
    <row r="904" spans="1:3" ht="15.75" customHeight="1" x14ac:dyDescent="0.25">
      <c r="A904" s="4"/>
      <c r="B904" s="4"/>
      <c r="C904" s="4"/>
    </row>
    <row r="905" spans="1:3" ht="15.75" customHeight="1" x14ac:dyDescent="0.25">
      <c r="A905" s="4"/>
      <c r="B905" s="4"/>
      <c r="C905" s="4"/>
    </row>
    <row r="906" spans="1:3" ht="15.75" customHeight="1" x14ac:dyDescent="0.25">
      <c r="A906" s="4"/>
      <c r="B906" s="4"/>
      <c r="C906" s="4"/>
    </row>
    <row r="907" spans="1:3" ht="15.75" customHeight="1" x14ac:dyDescent="0.25">
      <c r="A907" s="4"/>
      <c r="B907" s="4"/>
      <c r="C907" s="4"/>
    </row>
    <row r="908" spans="1:3" ht="15.75" customHeight="1" x14ac:dyDescent="0.25">
      <c r="A908" s="4"/>
      <c r="B908" s="4"/>
      <c r="C908" s="4"/>
    </row>
    <row r="909" spans="1:3" ht="15.75" customHeight="1" x14ac:dyDescent="0.25">
      <c r="A909" s="4"/>
      <c r="B909" s="4"/>
      <c r="C909" s="4"/>
    </row>
    <row r="910" spans="1:3" ht="15.75" customHeight="1" x14ac:dyDescent="0.25">
      <c r="A910" s="4"/>
      <c r="B910" s="4"/>
      <c r="C910" s="4"/>
    </row>
    <row r="911" spans="1:3" ht="15.75" customHeight="1" x14ac:dyDescent="0.25">
      <c r="A911" s="4"/>
      <c r="B911" s="4"/>
      <c r="C911" s="4"/>
    </row>
    <row r="912" spans="1:3" ht="15.75" customHeight="1" x14ac:dyDescent="0.25">
      <c r="A912" s="4"/>
      <c r="B912" s="4"/>
      <c r="C912" s="4"/>
    </row>
    <row r="913" spans="1:3" ht="15.75" customHeight="1" x14ac:dyDescent="0.25">
      <c r="A913" s="4"/>
      <c r="B913" s="4"/>
      <c r="C913" s="4"/>
    </row>
    <row r="914" spans="1:3" ht="15.75" customHeight="1" x14ac:dyDescent="0.25">
      <c r="A914" s="4"/>
      <c r="B914" s="4"/>
      <c r="C914" s="4"/>
    </row>
    <row r="915" spans="1:3" ht="15.75" customHeight="1" x14ac:dyDescent="0.25">
      <c r="A915" s="4"/>
      <c r="B915" s="4"/>
      <c r="C915" s="4"/>
    </row>
    <row r="916" spans="1:3" ht="15.75" customHeight="1" x14ac:dyDescent="0.25">
      <c r="A916" s="4"/>
      <c r="B916" s="4"/>
      <c r="C916" s="4"/>
    </row>
    <row r="917" spans="1:3" ht="15.75" customHeight="1" x14ac:dyDescent="0.25">
      <c r="A917" s="4"/>
      <c r="B917" s="4"/>
      <c r="C917" s="4"/>
    </row>
    <row r="918" spans="1:3" ht="15.75" customHeight="1" x14ac:dyDescent="0.25">
      <c r="A918" s="4"/>
      <c r="B918" s="4"/>
      <c r="C918" s="4"/>
    </row>
    <row r="919" spans="1:3" ht="15.75" customHeight="1" x14ac:dyDescent="0.25">
      <c r="A919" s="4"/>
      <c r="B919" s="4"/>
      <c r="C919" s="4"/>
    </row>
    <row r="920" spans="1:3" ht="15.75" customHeight="1" x14ac:dyDescent="0.25">
      <c r="A920" s="4"/>
      <c r="B920" s="4"/>
      <c r="C920" s="4"/>
    </row>
    <row r="921" spans="1:3" ht="15.75" customHeight="1" x14ac:dyDescent="0.25">
      <c r="A921" s="4"/>
      <c r="B921" s="4"/>
      <c r="C921" s="4"/>
    </row>
    <row r="922" spans="1:3" ht="15.75" customHeight="1" x14ac:dyDescent="0.25">
      <c r="A922" s="4"/>
      <c r="B922" s="4"/>
      <c r="C922" s="4"/>
    </row>
    <row r="923" spans="1:3" ht="15.75" customHeight="1" x14ac:dyDescent="0.25">
      <c r="A923" s="4"/>
      <c r="B923" s="4"/>
      <c r="C923" s="4"/>
    </row>
    <row r="924" spans="1:3" ht="15.75" customHeight="1" x14ac:dyDescent="0.25">
      <c r="A924" s="4"/>
      <c r="B924" s="4"/>
      <c r="C924" s="4"/>
    </row>
    <row r="925" spans="1:3" ht="15.75" customHeight="1" x14ac:dyDescent="0.25">
      <c r="A925" s="4"/>
      <c r="B925" s="4"/>
      <c r="C925" s="4"/>
    </row>
    <row r="926" spans="1:3" ht="15.75" customHeight="1" x14ac:dyDescent="0.25">
      <c r="A926" s="4"/>
      <c r="B926" s="4"/>
      <c r="C926" s="4"/>
    </row>
    <row r="927" spans="1:3" ht="15.75" customHeight="1" x14ac:dyDescent="0.25">
      <c r="A927" s="4"/>
      <c r="B927" s="4"/>
      <c r="C927" s="4"/>
    </row>
    <row r="928" spans="1:3" ht="15.75" customHeight="1" x14ac:dyDescent="0.25">
      <c r="A928" s="4"/>
      <c r="B928" s="4"/>
      <c r="C928" s="4"/>
    </row>
    <row r="929" spans="1:3" ht="15.75" customHeight="1" x14ac:dyDescent="0.25">
      <c r="A929" s="4"/>
      <c r="B929" s="4"/>
      <c r="C929" s="4"/>
    </row>
    <row r="930" spans="1:3" ht="15.75" customHeight="1" x14ac:dyDescent="0.25">
      <c r="A930" s="4"/>
      <c r="B930" s="4"/>
      <c r="C930" s="4"/>
    </row>
    <row r="931" spans="1:3" ht="15.75" customHeight="1" x14ac:dyDescent="0.25">
      <c r="A931" s="4"/>
      <c r="B931" s="4"/>
      <c r="C931" s="4"/>
    </row>
    <row r="932" spans="1:3" ht="15.75" customHeight="1" x14ac:dyDescent="0.25">
      <c r="A932" s="4"/>
      <c r="B932" s="4"/>
      <c r="C932" s="4"/>
    </row>
    <row r="933" spans="1:3" ht="15.75" customHeight="1" x14ac:dyDescent="0.25">
      <c r="A933" s="4"/>
      <c r="B933" s="4"/>
      <c r="C933" s="4"/>
    </row>
    <row r="934" spans="1:3" ht="15.75" customHeight="1" x14ac:dyDescent="0.25">
      <c r="A934" s="4"/>
      <c r="B934" s="4"/>
      <c r="C934" s="4"/>
    </row>
    <row r="935" spans="1:3" ht="15.75" customHeight="1" x14ac:dyDescent="0.25">
      <c r="A935" s="4"/>
      <c r="B935" s="4"/>
      <c r="C935" s="4"/>
    </row>
    <row r="936" spans="1:3" ht="15.75" customHeight="1" x14ac:dyDescent="0.25">
      <c r="A936" s="4"/>
      <c r="B936" s="4"/>
      <c r="C936" s="4"/>
    </row>
    <row r="937" spans="1:3" ht="15.75" customHeight="1" x14ac:dyDescent="0.25">
      <c r="A937" s="4"/>
      <c r="B937" s="4"/>
      <c r="C937" s="4"/>
    </row>
    <row r="938" spans="1:3" ht="15.75" customHeight="1" x14ac:dyDescent="0.25">
      <c r="A938" s="4"/>
      <c r="B938" s="4"/>
      <c r="C938" s="4"/>
    </row>
    <row r="939" spans="1:3" ht="15.75" customHeight="1" x14ac:dyDescent="0.25">
      <c r="A939" s="4"/>
      <c r="B939" s="4"/>
      <c r="C939" s="4"/>
    </row>
    <row r="940" spans="1:3" ht="15.75" customHeight="1" x14ac:dyDescent="0.25">
      <c r="A940" s="4"/>
      <c r="B940" s="4"/>
      <c r="C940" s="4"/>
    </row>
    <row r="941" spans="1:3" ht="15.75" customHeight="1" x14ac:dyDescent="0.25">
      <c r="A941" s="4"/>
      <c r="B941" s="4"/>
      <c r="C941" s="4"/>
    </row>
    <row r="942" spans="1:3" ht="15.75" customHeight="1" x14ac:dyDescent="0.25">
      <c r="A942" s="4"/>
      <c r="B942" s="4"/>
      <c r="C942" s="4"/>
    </row>
    <row r="943" spans="1:3" ht="15.75" customHeight="1" x14ac:dyDescent="0.25">
      <c r="A943" s="4"/>
      <c r="B943" s="4"/>
      <c r="C943" s="4"/>
    </row>
    <row r="944" spans="1:3" ht="15.75" customHeight="1" x14ac:dyDescent="0.25">
      <c r="A944" s="4"/>
      <c r="B944" s="4"/>
      <c r="C944" s="4"/>
    </row>
    <row r="945" spans="1:3" ht="15.75" customHeight="1" x14ac:dyDescent="0.25">
      <c r="A945" s="4"/>
      <c r="B945" s="4"/>
      <c r="C945" s="4"/>
    </row>
    <row r="946" spans="1:3" ht="15.75" customHeight="1" x14ac:dyDescent="0.25">
      <c r="A946" s="4"/>
      <c r="B946" s="4"/>
      <c r="C946" s="4"/>
    </row>
    <row r="947" spans="1:3" ht="15.75" customHeight="1" x14ac:dyDescent="0.25">
      <c r="A947" s="4"/>
      <c r="B947" s="4"/>
      <c r="C947" s="4"/>
    </row>
    <row r="948" spans="1:3" ht="15.75" customHeight="1" x14ac:dyDescent="0.25">
      <c r="A948" s="4"/>
      <c r="B948" s="4"/>
      <c r="C948" s="4"/>
    </row>
    <row r="949" spans="1:3" ht="15.75" customHeight="1" x14ac:dyDescent="0.25">
      <c r="A949" s="4"/>
      <c r="B949" s="4"/>
      <c r="C949" s="4"/>
    </row>
    <row r="950" spans="1:3" ht="15.75" customHeight="1" x14ac:dyDescent="0.25">
      <c r="A950" s="4"/>
      <c r="B950" s="4"/>
      <c r="C950" s="4"/>
    </row>
    <row r="951" spans="1:3" ht="15.75" customHeight="1" x14ac:dyDescent="0.25">
      <c r="A951" s="4"/>
      <c r="B951" s="4"/>
      <c r="C951" s="4"/>
    </row>
    <row r="952" spans="1:3" ht="15.75" customHeight="1" x14ac:dyDescent="0.25">
      <c r="A952" s="4"/>
      <c r="B952" s="4"/>
      <c r="C952" s="4"/>
    </row>
    <row r="953" spans="1:3" ht="15.75" customHeight="1" x14ac:dyDescent="0.25">
      <c r="A953" s="4"/>
      <c r="B953" s="4"/>
      <c r="C953" s="4"/>
    </row>
    <row r="954" spans="1:3" ht="15.75" customHeight="1" x14ac:dyDescent="0.25">
      <c r="A954" s="4"/>
      <c r="B954" s="4"/>
      <c r="C954" s="4"/>
    </row>
    <row r="955" spans="1:3" ht="15.75" customHeight="1" x14ac:dyDescent="0.25">
      <c r="A955" s="4"/>
      <c r="B955" s="4"/>
      <c r="C955" s="4"/>
    </row>
    <row r="956" spans="1:3" ht="15.75" customHeight="1" x14ac:dyDescent="0.25">
      <c r="A956" s="4"/>
      <c r="B956" s="4"/>
      <c r="C956" s="4"/>
    </row>
    <row r="957" spans="1:3" ht="15.75" customHeight="1" x14ac:dyDescent="0.25">
      <c r="A957" s="4"/>
      <c r="B957" s="4"/>
      <c r="C957" s="4"/>
    </row>
    <row r="958" spans="1:3" ht="15.75" customHeight="1" x14ac:dyDescent="0.25">
      <c r="A958" s="4"/>
      <c r="B958" s="4"/>
      <c r="C958" s="4"/>
    </row>
    <row r="959" spans="1:3" ht="15.75" customHeight="1" x14ac:dyDescent="0.25">
      <c r="A959" s="4"/>
      <c r="B959" s="4"/>
      <c r="C959" s="4"/>
    </row>
    <row r="960" spans="1:3" ht="15.75" customHeight="1" x14ac:dyDescent="0.25">
      <c r="A960" s="4"/>
      <c r="B960" s="4"/>
      <c r="C960" s="4"/>
    </row>
    <row r="961" spans="1:3" ht="15.75" customHeight="1" x14ac:dyDescent="0.25">
      <c r="A961" s="4"/>
      <c r="B961" s="4"/>
      <c r="C961" s="4"/>
    </row>
    <row r="962" spans="1:3" ht="15.75" customHeight="1" x14ac:dyDescent="0.25">
      <c r="A962" s="4"/>
      <c r="B962" s="4"/>
      <c r="C962" s="4"/>
    </row>
    <row r="963" spans="1:3" ht="15.75" customHeight="1" x14ac:dyDescent="0.25">
      <c r="A963" s="4"/>
      <c r="B963" s="4"/>
      <c r="C963" s="4"/>
    </row>
    <row r="964" spans="1:3" ht="15.75" customHeight="1" x14ac:dyDescent="0.25">
      <c r="A964" s="4"/>
      <c r="B964" s="4"/>
      <c r="C964" s="4"/>
    </row>
    <row r="965" spans="1:3" ht="15.75" customHeight="1" x14ac:dyDescent="0.25">
      <c r="A965" s="4"/>
      <c r="B965" s="4"/>
      <c r="C965" s="4"/>
    </row>
    <row r="966" spans="1:3" ht="15.75" customHeight="1" x14ac:dyDescent="0.25">
      <c r="A966" s="4"/>
      <c r="B966" s="4"/>
      <c r="C966" s="4"/>
    </row>
    <row r="967" spans="1:3" ht="15.75" customHeight="1" x14ac:dyDescent="0.25">
      <c r="A967" s="4"/>
      <c r="B967" s="4"/>
      <c r="C967" s="4"/>
    </row>
    <row r="968" spans="1:3" ht="15.75" customHeight="1" x14ac:dyDescent="0.25">
      <c r="A968" s="4"/>
      <c r="B968" s="4"/>
      <c r="C968" s="4"/>
    </row>
    <row r="969" spans="1:3" ht="15.75" customHeight="1" x14ac:dyDescent="0.25">
      <c r="A969" s="4"/>
      <c r="B969" s="4"/>
      <c r="C969" s="4"/>
    </row>
    <row r="970" spans="1:3" ht="15.75" customHeight="1" x14ac:dyDescent="0.25">
      <c r="A970" s="4"/>
      <c r="B970" s="4"/>
      <c r="C970" s="4"/>
    </row>
    <row r="971" spans="1:3" ht="15.75" customHeight="1" x14ac:dyDescent="0.25">
      <c r="A971" s="4"/>
      <c r="B971" s="4"/>
      <c r="C971" s="4"/>
    </row>
    <row r="972" spans="1:3" ht="15.75" customHeight="1" x14ac:dyDescent="0.25">
      <c r="A972" s="4"/>
      <c r="B972" s="4"/>
      <c r="C972" s="4"/>
    </row>
    <row r="973" spans="1:3" ht="15.75" customHeight="1" x14ac:dyDescent="0.25">
      <c r="A973" s="4"/>
      <c r="B973" s="4"/>
      <c r="C973" s="4"/>
    </row>
    <row r="974" spans="1:3" ht="15.75" customHeight="1" x14ac:dyDescent="0.25">
      <c r="A974" s="4"/>
      <c r="B974" s="4"/>
      <c r="C974" s="4"/>
    </row>
    <row r="975" spans="1:3" ht="15.75" customHeight="1" x14ac:dyDescent="0.25">
      <c r="A975" s="4"/>
      <c r="B975" s="4"/>
      <c r="C975" s="4"/>
    </row>
    <row r="976" spans="1:3" ht="15.75" customHeight="1" x14ac:dyDescent="0.25">
      <c r="A976" s="4"/>
      <c r="B976" s="4"/>
      <c r="C976" s="4"/>
    </row>
    <row r="977" spans="1:3" ht="15.75" customHeight="1" x14ac:dyDescent="0.25">
      <c r="A977" s="4"/>
      <c r="B977" s="4"/>
      <c r="C977" s="4"/>
    </row>
    <row r="978" spans="1:3" ht="15.75" customHeight="1" x14ac:dyDescent="0.25">
      <c r="A978" s="4"/>
      <c r="B978" s="4"/>
      <c r="C978" s="4"/>
    </row>
    <row r="979" spans="1:3" ht="15.75" customHeight="1" x14ac:dyDescent="0.25">
      <c r="A979" s="4"/>
      <c r="B979" s="4"/>
      <c r="C979" s="4"/>
    </row>
    <row r="980" spans="1:3" ht="15.75" customHeight="1" x14ac:dyDescent="0.25">
      <c r="A980" s="4"/>
      <c r="B980" s="4"/>
      <c r="C980" s="4"/>
    </row>
    <row r="981" spans="1:3" ht="15.75" customHeight="1" x14ac:dyDescent="0.25">
      <c r="A981" s="4"/>
      <c r="B981" s="4"/>
      <c r="C981" s="4"/>
    </row>
    <row r="982" spans="1:3" ht="15.75" customHeight="1" x14ac:dyDescent="0.25">
      <c r="A982" s="4"/>
      <c r="B982" s="4"/>
      <c r="C982" s="4"/>
    </row>
    <row r="983" spans="1:3" ht="15.75" customHeight="1" x14ac:dyDescent="0.25">
      <c r="A983" s="4"/>
      <c r="B983" s="4"/>
      <c r="C983" s="4"/>
    </row>
    <row r="984" spans="1:3" ht="15.75" customHeight="1" x14ac:dyDescent="0.25">
      <c r="A984" s="4"/>
      <c r="B984" s="4"/>
      <c r="C984" s="4"/>
    </row>
    <row r="985" spans="1:3" ht="15.75" customHeight="1" x14ac:dyDescent="0.25">
      <c r="A985" s="4"/>
      <c r="B985" s="4"/>
      <c r="C985" s="4"/>
    </row>
    <row r="986" spans="1:3" ht="15.75" customHeight="1" x14ac:dyDescent="0.25">
      <c r="A986" s="4"/>
      <c r="B986" s="4"/>
      <c r="C986" s="4"/>
    </row>
    <row r="987" spans="1:3" ht="15.75" customHeight="1" x14ac:dyDescent="0.25">
      <c r="A987" s="4"/>
      <c r="B987" s="4"/>
      <c r="C987" s="4"/>
    </row>
    <row r="988" spans="1:3" ht="15.75" customHeight="1" x14ac:dyDescent="0.25">
      <c r="A988" s="4"/>
      <c r="B988" s="4"/>
      <c r="C988" s="4"/>
    </row>
    <row r="989" spans="1:3" ht="15.75" customHeight="1" x14ac:dyDescent="0.25">
      <c r="A989" s="4"/>
      <c r="B989" s="4"/>
      <c r="C989" s="4"/>
    </row>
    <row r="990" spans="1:3" ht="15.75" customHeight="1" x14ac:dyDescent="0.25">
      <c r="A990" s="4"/>
      <c r="B990" s="4"/>
      <c r="C990" s="4"/>
    </row>
    <row r="991" spans="1:3" ht="15.75" customHeight="1" x14ac:dyDescent="0.25">
      <c r="A991" s="4"/>
      <c r="B991" s="4"/>
      <c r="C991" s="4"/>
    </row>
    <row r="992" spans="1:3" ht="15.75" customHeight="1" x14ac:dyDescent="0.25">
      <c r="A992" s="4"/>
      <c r="B992" s="4"/>
      <c r="C992" s="4"/>
    </row>
    <row r="993" spans="1:3" ht="15.75" customHeight="1" x14ac:dyDescent="0.25">
      <c r="A993" s="4"/>
      <c r="B993" s="4"/>
      <c r="C993" s="4"/>
    </row>
    <row r="994" spans="1:3" ht="15.75" customHeight="1" x14ac:dyDescent="0.25">
      <c r="A994" s="4"/>
      <c r="B994" s="4"/>
      <c r="C994" s="4"/>
    </row>
    <row r="995" spans="1:3" ht="15.75" customHeight="1" x14ac:dyDescent="0.25">
      <c r="A995" s="4"/>
      <c r="B995" s="4"/>
      <c r="C995" s="4"/>
    </row>
    <row r="996" spans="1:3" ht="15.75" customHeight="1" x14ac:dyDescent="0.25">
      <c r="A996" s="4"/>
      <c r="B996" s="4"/>
      <c r="C996" s="4"/>
    </row>
    <row r="997" spans="1:3" ht="15.75" customHeight="1" x14ac:dyDescent="0.25">
      <c r="A997" s="4"/>
      <c r="B997" s="4"/>
      <c r="C997" s="4"/>
    </row>
    <row r="998" spans="1:3" ht="15.75" customHeight="1" x14ac:dyDescent="0.25">
      <c r="A998" s="4"/>
      <c r="B998" s="4"/>
      <c r="C998" s="4"/>
    </row>
    <row r="999" spans="1:3" ht="15.75" customHeight="1" x14ac:dyDescent="0.25">
      <c r="A999" s="4"/>
      <c r="B999" s="4"/>
      <c r="C999" s="4"/>
    </row>
    <row r="1000" spans="1:3" ht="15.75" customHeight="1" x14ac:dyDescent="0.25">
      <c r="A1000" s="4"/>
      <c r="B1000" s="4"/>
      <c r="C1000" s="4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2578125" defaultRowHeight="15" customHeight="1" x14ac:dyDescent="0.25"/>
  <cols>
    <col min="1" max="1" width="20.42578125" customWidth="1"/>
    <col min="2" max="2" width="14.5703125" customWidth="1"/>
    <col min="3" max="3" width="15.7109375" customWidth="1"/>
    <col min="4" max="4" width="8" customWidth="1"/>
    <col min="5" max="5" width="12.140625" customWidth="1"/>
    <col min="6" max="6" width="9.42578125" customWidth="1"/>
    <col min="7" max="7" width="10.85546875" customWidth="1"/>
    <col min="8" max="8" width="17.85546875" customWidth="1"/>
    <col min="9" max="9" width="12" customWidth="1"/>
    <col min="10" max="10" width="16.140625" customWidth="1"/>
    <col min="11" max="11" width="9" customWidth="1"/>
    <col min="12" max="12" width="38.5703125" customWidth="1"/>
    <col min="13" max="26" width="8.7109375" customWidth="1"/>
  </cols>
  <sheetData>
    <row r="1" spans="1:12" ht="18" customHeight="1" x14ac:dyDescent="0.25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25">
      <c r="A2" s="106" t="s">
        <v>31</v>
      </c>
      <c r="B2" s="107"/>
      <c r="C2" s="107"/>
      <c r="D2" s="107"/>
      <c r="E2" s="107"/>
      <c r="F2" s="107"/>
      <c r="G2" s="107"/>
      <c r="H2" s="107"/>
      <c r="I2" s="2"/>
      <c r="J2" s="2"/>
      <c r="K2" s="2"/>
      <c r="L2" s="2"/>
    </row>
    <row r="3" spans="1:12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45" customHeight="1" x14ac:dyDescent="0.2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</row>
    <row r="5" spans="1:12" ht="15" customHeight="1" x14ac:dyDescent="0.25">
      <c r="A5" s="13" t="s">
        <v>212</v>
      </c>
      <c r="B5" s="13" t="s">
        <v>213</v>
      </c>
      <c r="C5" s="9">
        <v>8200</v>
      </c>
      <c r="D5" s="14">
        <v>4.9000000000000002E-2</v>
      </c>
      <c r="E5" s="9">
        <v>245.3</v>
      </c>
      <c r="F5" s="16"/>
      <c r="G5" s="18">
        <f t="shared" ref="G5:G10" si="0">IF(C5="","",E5*F5)</f>
        <v>0</v>
      </c>
      <c r="H5" s="18">
        <f t="shared" ref="H5:H10" si="1">IF(C5="","",MAX(0,E5*F5-C5))</f>
        <v>0</v>
      </c>
      <c r="I5" s="21" t="str">
        <f>IF(OR(C5="",F5=""),"",EDATE(Budget!$B$28,F5))</f>
        <v/>
      </c>
      <c r="J5" s="24" t="str">
        <f>IF(N(C5)&lt;=0,"",IF(N(D5)&gt;Budget!$B$35,"Oui","Non"))</f>
        <v>Oui</v>
      </c>
      <c r="K5" s="26">
        <f t="shared" ref="K5:K10" si="2">IF(J5="Oui",COUNTIFS($J$5:$J$10,"Oui",$D$5:$D$10,"&gt;"&amp;D5)+COUNTIFS($J$4:J4,"Oui",$D$4:D4,D5)+1,"")</f>
        <v>3</v>
      </c>
      <c r="L5" s="24" t="str">
        <f t="shared" ref="L5:L10" si="3">IF(N(C5)&lt;=0,"",IF(N(D5)&gt;=0.1,"Taux élevé : à solder en priorité",IF(J5="Oui","Remb. anticipé intéressant (vérifier IRA)","Garder, épargner plutôt")))</f>
        <v>Remb. anticipé intéressant (vérifier IRA)</v>
      </c>
    </row>
    <row r="6" spans="1:12" ht="15" customHeight="1" x14ac:dyDescent="0.25">
      <c r="A6" s="13" t="s">
        <v>214</v>
      </c>
      <c r="B6" s="13" t="s">
        <v>105</v>
      </c>
      <c r="C6" s="9">
        <v>1850</v>
      </c>
      <c r="D6" s="14">
        <v>0.189</v>
      </c>
      <c r="E6" s="9">
        <v>72.400000000000006</v>
      </c>
      <c r="F6" s="16"/>
      <c r="G6" s="18">
        <f t="shared" si="0"/>
        <v>0</v>
      </c>
      <c r="H6" s="18">
        <f t="shared" si="1"/>
        <v>0</v>
      </c>
      <c r="I6" s="21" t="str">
        <f>IF(OR(C6="",F6=""),"",EDATE(Budget!$B$28,F6))</f>
        <v/>
      </c>
      <c r="J6" s="24" t="str">
        <f>IF(N(C6)&lt;=0,"",IF(N(D6)&gt;Budget!$B$35,"Oui","Non"))</f>
        <v>Oui</v>
      </c>
      <c r="K6" s="26">
        <f t="shared" si="2"/>
        <v>1</v>
      </c>
      <c r="L6" s="24" t="str">
        <f t="shared" si="3"/>
        <v>Taux élevé : à solder en priorité</v>
      </c>
    </row>
    <row r="7" spans="1:12" ht="15" customHeight="1" x14ac:dyDescent="0.25">
      <c r="A7" s="13" t="s">
        <v>215</v>
      </c>
      <c r="B7" s="13" t="s">
        <v>47</v>
      </c>
      <c r="C7" s="9">
        <v>3400</v>
      </c>
      <c r="D7" s="14">
        <v>6.1499999999999999E-2</v>
      </c>
      <c r="E7" s="9">
        <v>118.75</v>
      </c>
      <c r="F7" s="16"/>
      <c r="G7" s="18">
        <f t="shared" si="0"/>
        <v>0</v>
      </c>
      <c r="H7" s="18">
        <f t="shared" si="1"/>
        <v>0</v>
      </c>
      <c r="I7" s="21" t="str">
        <f>IF(OR(C7="",F7=""),"",EDATE(Budget!$B$28,F7))</f>
        <v/>
      </c>
      <c r="J7" s="24" t="str">
        <f>IF(N(C7)&lt;=0,"",IF(N(D7)&gt;Budget!$B$35,"Oui","Non"))</f>
        <v>Oui</v>
      </c>
      <c r="K7" s="26">
        <f t="shared" si="2"/>
        <v>2</v>
      </c>
      <c r="L7" s="24" t="str">
        <f t="shared" si="3"/>
        <v>Remb. anticipé intéressant (vérifier IRA)</v>
      </c>
    </row>
    <row r="8" spans="1:12" ht="15" customHeight="1" x14ac:dyDescent="0.25">
      <c r="A8" s="13" t="s">
        <v>216</v>
      </c>
      <c r="B8" s="13" t="s">
        <v>216</v>
      </c>
      <c r="C8" s="9">
        <v>2100</v>
      </c>
      <c r="D8" s="14">
        <v>1.2E-2</v>
      </c>
      <c r="E8" s="9">
        <v>95</v>
      </c>
      <c r="F8" s="16"/>
      <c r="G8" s="18">
        <f t="shared" si="0"/>
        <v>0</v>
      </c>
      <c r="H8" s="18">
        <f t="shared" si="1"/>
        <v>0</v>
      </c>
      <c r="I8" s="21" t="str">
        <f>IF(OR(C8="",F8=""),"",EDATE(Budget!$B$28,F8))</f>
        <v/>
      </c>
      <c r="J8" s="24" t="str">
        <f>IF(N(C8)&lt;=0,"",IF(N(D8)&gt;Budget!$B$35,"Oui","Non"))</f>
        <v>Non</v>
      </c>
      <c r="K8" s="26" t="str">
        <f t="shared" si="2"/>
        <v/>
      </c>
      <c r="L8" s="24" t="str">
        <f t="shared" si="3"/>
        <v>Garder, épargner plutôt</v>
      </c>
    </row>
    <row r="9" spans="1:12" ht="15" customHeight="1" x14ac:dyDescent="0.25">
      <c r="A9" s="13" t="s">
        <v>217</v>
      </c>
      <c r="B9" s="13" t="s">
        <v>218</v>
      </c>
      <c r="C9" s="9">
        <v>600</v>
      </c>
      <c r="D9" s="14">
        <v>0</v>
      </c>
      <c r="E9" s="9">
        <v>150</v>
      </c>
      <c r="F9" s="16"/>
      <c r="G9" s="18">
        <f t="shared" si="0"/>
        <v>0</v>
      </c>
      <c r="H9" s="18">
        <f t="shared" si="1"/>
        <v>0</v>
      </c>
      <c r="I9" s="21" t="str">
        <f>IF(OR(C9="",F9=""),"",EDATE(Budget!$B$28,F9))</f>
        <v/>
      </c>
      <c r="J9" s="24" t="str">
        <f>IF(N(C9)&lt;=0,"",IF(N(D9)&gt;Budget!$B$35,"Oui","Non"))</f>
        <v>Non</v>
      </c>
      <c r="K9" s="26" t="str">
        <f t="shared" si="2"/>
        <v/>
      </c>
      <c r="L9" s="24" t="str">
        <f t="shared" si="3"/>
        <v>Garder, épargner plutôt</v>
      </c>
    </row>
    <row r="10" spans="1:12" ht="15" customHeight="1" x14ac:dyDescent="0.25">
      <c r="A10" s="13" t="s">
        <v>219</v>
      </c>
      <c r="B10" s="13" t="s">
        <v>218</v>
      </c>
      <c r="C10" s="9">
        <v>250</v>
      </c>
      <c r="D10" s="14">
        <v>0</v>
      </c>
      <c r="E10" s="9">
        <v>50</v>
      </c>
      <c r="F10" s="16"/>
      <c r="G10" s="18">
        <f t="shared" si="0"/>
        <v>0</v>
      </c>
      <c r="H10" s="18">
        <f t="shared" si="1"/>
        <v>0</v>
      </c>
      <c r="I10" s="21" t="str">
        <f>IF(OR(C10="",F10=""),"",EDATE(Budget!$B$28,F10))</f>
        <v/>
      </c>
      <c r="J10" s="24" t="str">
        <f>IF(N(C10)&lt;=0,"",IF(N(D10)&gt;Budget!$B$35,"Oui","Non"))</f>
        <v>Non</v>
      </c>
      <c r="K10" s="26" t="str">
        <f t="shared" si="2"/>
        <v/>
      </c>
      <c r="L10" s="24" t="str">
        <f t="shared" si="3"/>
        <v>Garder, épargner plutôt</v>
      </c>
    </row>
    <row r="11" spans="1:12" ht="15" customHeight="1" x14ac:dyDescent="0.25">
      <c r="A11" s="3" t="s">
        <v>106</v>
      </c>
      <c r="B11" s="2"/>
      <c r="C11" s="12">
        <f>SUM(C5:C10)</f>
        <v>16400</v>
      </c>
      <c r="D11" s="33">
        <f>IFERROR(SUMPRODUCT(C5:C10,D5:D10)/C11,0)</f>
        <v>6.0106707317073176E-2</v>
      </c>
      <c r="E11" s="12">
        <f>SUM(E5:E10)</f>
        <v>731.45</v>
      </c>
      <c r="F11" s="2"/>
      <c r="G11" s="12">
        <f t="shared" ref="G11:H11" si="4">SUM(G5:G10)</f>
        <v>0</v>
      </c>
      <c r="H11" s="12">
        <f t="shared" si="4"/>
        <v>0</v>
      </c>
      <c r="I11" s="2"/>
      <c r="J11" s="2"/>
      <c r="K11" s="2"/>
      <c r="L11" s="2"/>
    </row>
    <row r="12" spans="1:12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 customHeight="1" x14ac:dyDescent="0.25">
      <c r="A13" s="20" t="s">
        <v>107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" customHeight="1" x14ac:dyDescent="0.25">
      <c r="A14" s="20" t="s">
        <v>108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">
    <mergeCell ref="A2:H2"/>
  </mergeCells>
  <pageMargins left="0.75" right="0.75" top="1" bottom="1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14.42578125" defaultRowHeight="15" customHeight="1" x14ac:dyDescent="0.25"/>
  <cols>
    <col min="1" max="1" width="10" customWidth="1"/>
    <col min="2" max="2" width="13" customWidth="1"/>
    <col min="3" max="3" width="15" customWidth="1"/>
    <col min="4" max="4" width="14" customWidth="1"/>
    <col min="5" max="6" width="13" customWidth="1"/>
    <col min="7" max="12" width="14" customWidth="1"/>
    <col min="13" max="15" width="13" customWidth="1"/>
    <col min="16" max="17" width="14" customWidth="1"/>
    <col min="18" max="18" width="13" customWidth="1"/>
    <col min="19" max="20" width="12" customWidth="1"/>
    <col min="21" max="21" width="22" customWidth="1"/>
    <col min="22" max="22" width="13" hidden="1" customWidth="1"/>
    <col min="23" max="23" width="3" customWidth="1"/>
    <col min="24" max="24" width="38" customWidth="1"/>
    <col min="25" max="26" width="8.7109375" customWidth="1"/>
  </cols>
  <sheetData>
    <row r="1" spans="1:24" ht="18" x14ac:dyDescent="0.25">
      <c r="A1" s="1" t="s">
        <v>50</v>
      </c>
    </row>
    <row r="2" spans="1:24" x14ac:dyDescent="0.25">
      <c r="A2" s="15" t="s">
        <v>54</v>
      </c>
    </row>
    <row r="4" spans="1:24" x14ac:dyDescent="0.25">
      <c r="A4" s="17" t="s">
        <v>58</v>
      </c>
      <c r="B4" s="108" t="s">
        <v>64</v>
      </c>
      <c r="C4" s="109"/>
      <c r="D4" s="110" t="s">
        <v>67</v>
      </c>
      <c r="E4" s="111"/>
      <c r="F4" s="109"/>
      <c r="G4" s="112" t="s">
        <v>72</v>
      </c>
      <c r="H4" s="111"/>
      <c r="I4" s="111"/>
      <c r="J4" s="111"/>
      <c r="K4" s="111"/>
      <c r="L4" s="109"/>
      <c r="M4" s="113" t="s">
        <v>80</v>
      </c>
      <c r="N4" s="111"/>
      <c r="O4" s="111"/>
      <c r="P4" s="111"/>
      <c r="Q4" s="111"/>
      <c r="R4" s="111"/>
      <c r="S4" s="111"/>
      <c r="T4" s="111"/>
      <c r="U4" s="109"/>
      <c r="X4" s="3" t="s">
        <v>81</v>
      </c>
    </row>
    <row r="5" spans="1:24" ht="45" customHeight="1" x14ac:dyDescent="0.25">
      <c r="A5" s="23" t="s">
        <v>82</v>
      </c>
      <c r="B5" s="11" t="s">
        <v>88</v>
      </c>
      <c r="C5" s="11" t="s">
        <v>91</v>
      </c>
      <c r="D5" s="25" t="s">
        <v>92</v>
      </c>
      <c r="E5" s="25" t="s">
        <v>93</v>
      </c>
      <c r="F5" s="25" t="s">
        <v>94</v>
      </c>
      <c r="G5" s="27" t="str">
        <f>IF(Crédits!A5="","Crédit 1",Crédits!A5)</f>
        <v>Prêt auto</v>
      </c>
      <c r="H5" s="27" t="str">
        <f>IF(Crédits!A6="","Crédit 2",Crédits!A6)</f>
        <v>Carte revolving</v>
      </c>
      <c r="I5" s="27" t="str">
        <f>IF(Crédits!A7="","Crédit 3",Crédits!A7)</f>
        <v>Prêt travaux</v>
      </c>
      <c r="J5" s="27" t="str">
        <f>IF(Crédits!A8="","Crédit 4",Crédits!A8)</f>
        <v>Prêt étudiant</v>
      </c>
      <c r="K5" s="27" t="str">
        <f>IF(Crédits!A9="","Crédit 5",Crédits!A9)</f>
        <v>Dette perso A</v>
      </c>
      <c r="L5" s="27" t="str">
        <f>IF(Crédits!A10="","Crédit 6",Crédits!A10)</f>
        <v>Dette perso B</v>
      </c>
      <c r="M5" s="28" t="s">
        <v>95</v>
      </c>
      <c r="N5" s="28" t="s">
        <v>96</v>
      </c>
      <c r="O5" s="28" t="s">
        <v>97</v>
      </c>
      <c r="P5" s="28" t="s">
        <v>98</v>
      </c>
      <c r="Q5" s="28" t="s">
        <v>99</v>
      </c>
      <c r="R5" s="28" t="s">
        <v>100</v>
      </c>
      <c r="S5" s="28" t="s">
        <v>101</v>
      </c>
      <c r="T5" s="28" t="s">
        <v>102</v>
      </c>
      <c r="U5" s="28" t="s">
        <v>103</v>
      </c>
      <c r="X5" s="2" t="s">
        <v>104</v>
      </c>
    </row>
    <row r="6" spans="1:24" x14ac:dyDescent="0.25">
      <c r="A6" s="29">
        <f>Plan!B5</f>
        <v>46388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30" t="str">
        <f t="shared" ref="M6:M29" si="0">IF(COUNT(B6:L6)&gt;0,SUM(G6:L6),"")</f>
        <v/>
      </c>
      <c r="N6" s="30" t="str">
        <f>IF(COUNT(B6:L6)&gt;0,Plan!P5,"")</f>
        <v/>
      </c>
      <c r="O6" s="31" t="str">
        <f t="shared" ref="O6:O29" si="1">IF(COUNT(B6:L6)&gt;0,M6-N6,"")</f>
        <v/>
      </c>
      <c r="P6" s="30" t="str">
        <f t="shared" ref="P6:P29" si="2">IF(COUNT(B6:L6)&gt;0,SUM(D6:F6),"")</f>
        <v/>
      </c>
      <c r="Q6" s="30" t="str">
        <f>IF(COUNT(B6:L6)&gt;0,Plan!H5+Plan!J5+Plan!O5,"")</f>
        <v/>
      </c>
      <c r="R6" s="31" t="str">
        <f t="shared" ref="R6:R29" si="3">IF(COUNT(B6:L6)&gt;0,P6-Q6,"")</f>
        <v/>
      </c>
      <c r="S6" s="32" t="str">
        <f>IF(COUNT(B6:L6)&gt;0,IFERROR(MIN(1,D6/Budget!$B$29),0),"")</f>
        <v/>
      </c>
      <c r="T6" s="32" t="str">
        <f>IF(COUNT(B6:L6)&gt;0,IFERROR(MAX(0,1-M6/Crédits!$C$11),0),"")</f>
        <v/>
      </c>
      <c r="U6" s="34" t="str">
        <f t="shared" ref="U6:U29" si="4">IF(COUNT(B6:L6)&gt;0,IF(AND(O6&lt;=10,R6&gt;=-10),"✅ Dans les temps",IF(AND(O6&gt;10,R6&lt;-10),"🔴 En retard","🟠 Mitigé")),"")</f>
        <v/>
      </c>
      <c r="V6" s="35">
        <f t="shared" ref="V6:V29" si="5">IF(COUNT(B6:L6)&gt;0,ROW(),0)</f>
        <v>0</v>
      </c>
      <c r="X6" s="2" t="s">
        <v>109</v>
      </c>
    </row>
    <row r="7" spans="1:24" x14ac:dyDescent="0.25">
      <c r="A7" s="29">
        <f>Plan!B6</f>
        <v>46419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30" t="str">
        <f t="shared" si="0"/>
        <v/>
      </c>
      <c r="N7" s="30" t="str">
        <f>IF(COUNT(B7:L7)&gt;0,Plan!P6,"")</f>
        <v/>
      </c>
      <c r="O7" s="31" t="str">
        <f t="shared" si="1"/>
        <v/>
      </c>
      <c r="P7" s="30" t="str">
        <f t="shared" si="2"/>
        <v/>
      </c>
      <c r="Q7" s="30" t="str">
        <f>IF(COUNT(B7:L7)&gt;0,Plan!H6+Plan!J6+Plan!O6,"")</f>
        <v/>
      </c>
      <c r="R7" s="31" t="str">
        <f t="shared" si="3"/>
        <v/>
      </c>
      <c r="S7" s="32" t="str">
        <f>IF(COUNT(B7:L7)&gt;0,IFERROR(MIN(1,D7/Budget!$B$29),0),"")</f>
        <v/>
      </c>
      <c r="T7" s="32" t="str">
        <f>IF(COUNT(B7:L7)&gt;0,IFERROR(MAX(0,1-M7/Crédits!$C$11),0),"")</f>
        <v/>
      </c>
      <c r="U7" s="34" t="str">
        <f t="shared" si="4"/>
        <v/>
      </c>
      <c r="V7" s="35">
        <f t="shared" si="5"/>
        <v>0</v>
      </c>
      <c r="X7" s="2" t="s">
        <v>110</v>
      </c>
    </row>
    <row r="8" spans="1:24" x14ac:dyDescent="0.25">
      <c r="A8" s="29">
        <f>Plan!B7</f>
        <v>46447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0" t="str">
        <f t="shared" si="0"/>
        <v/>
      </c>
      <c r="N8" s="30" t="str">
        <f>IF(COUNT(B8:L8)&gt;0,Plan!P7,"")</f>
        <v/>
      </c>
      <c r="O8" s="31" t="str">
        <f t="shared" si="1"/>
        <v/>
      </c>
      <c r="P8" s="30" t="str">
        <f t="shared" si="2"/>
        <v/>
      </c>
      <c r="Q8" s="30" t="str">
        <f>IF(COUNT(B8:L8)&gt;0,Plan!H7+Plan!J7+Plan!O7,"")</f>
        <v/>
      </c>
      <c r="R8" s="31" t="str">
        <f t="shared" si="3"/>
        <v/>
      </c>
      <c r="S8" s="32" t="str">
        <f>IF(COUNT(B8:L8)&gt;0,IFERROR(MIN(1,D8/Budget!$B$29),0),"")</f>
        <v/>
      </c>
      <c r="T8" s="32" t="str">
        <f>IF(COUNT(B8:L8)&gt;0,IFERROR(MAX(0,1-M8/Crédits!$C$11),0),"")</f>
        <v/>
      </c>
      <c r="U8" s="34" t="str">
        <f t="shared" si="4"/>
        <v/>
      </c>
      <c r="V8" s="35">
        <f t="shared" si="5"/>
        <v>0</v>
      </c>
      <c r="X8" s="2"/>
    </row>
    <row r="9" spans="1:24" x14ac:dyDescent="0.25">
      <c r="A9" s="29">
        <f>Plan!B8</f>
        <v>46478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30" t="str">
        <f t="shared" si="0"/>
        <v/>
      </c>
      <c r="N9" s="30" t="str">
        <f>IF(COUNT(B9:L9)&gt;0,Plan!P8,"")</f>
        <v/>
      </c>
      <c r="O9" s="31" t="str">
        <f t="shared" si="1"/>
        <v/>
      </c>
      <c r="P9" s="30" t="str">
        <f t="shared" si="2"/>
        <v/>
      </c>
      <c r="Q9" s="30" t="str">
        <f>IF(COUNT(B9:L9)&gt;0,Plan!H8+Plan!J8+Plan!O8,"")</f>
        <v/>
      </c>
      <c r="R9" s="31" t="str">
        <f t="shared" si="3"/>
        <v/>
      </c>
      <c r="S9" s="32" t="str">
        <f>IF(COUNT(B9:L9)&gt;0,IFERROR(MIN(1,D9/Budget!$B$29),0),"")</f>
        <v/>
      </c>
      <c r="T9" s="32" t="str">
        <f>IF(COUNT(B9:L9)&gt;0,IFERROR(MAX(0,1-M9/Crédits!$C$11),0),"")</f>
        <v/>
      </c>
      <c r="U9" s="34" t="str">
        <f t="shared" si="4"/>
        <v/>
      </c>
      <c r="V9" s="35">
        <f t="shared" si="5"/>
        <v>0</v>
      </c>
      <c r="X9" s="2" t="s">
        <v>111</v>
      </c>
    </row>
    <row r="10" spans="1:24" x14ac:dyDescent="0.25">
      <c r="A10" s="29">
        <f>Plan!B9</f>
        <v>46508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30" t="str">
        <f t="shared" si="0"/>
        <v/>
      </c>
      <c r="N10" s="30" t="str">
        <f>IF(COUNT(B10:L10)&gt;0,Plan!P9,"")</f>
        <v/>
      </c>
      <c r="O10" s="31" t="str">
        <f t="shared" si="1"/>
        <v/>
      </c>
      <c r="P10" s="30" t="str">
        <f t="shared" si="2"/>
        <v/>
      </c>
      <c r="Q10" s="30" t="str">
        <f>IF(COUNT(B10:L10)&gt;0,Plan!H9+Plan!J9+Plan!O9,"")</f>
        <v/>
      </c>
      <c r="R10" s="31" t="str">
        <f t="shared" si="3"/>
        <v/>
      </c>
      <c r="S10" s="32" t="str">
        <f>IF(COUNT(B10:L10)&gt;0,IFERROR(MIN(1,D10/Budget!$B$29),0),"")</f>
        <v/>
      </c>
      <c r="T10" s="32" t="str">
        <f>IF(COUNT(B10:L10)&gt;0,IFERROR(MAX(0,1-M10/Crédits!$C$11),0),"")</f>
        <v/>
      </c>
      <c r="U10" s="34" t="str">
        <f t="shared" si="4"/>
        <v/>
      </c>
      <c r="V10" s="35">
        <f t="shared" si="5"/>
        <v>0</v>
      </c>
      <c r="X10" s="2" t="s">
        <v>113</v>
      </c>
    </row>
    <row r="11" spans="1:24" x14ac:dyDescent="0.25">
      <c r="A11" s="29">
        <f>Plan!B10</f>
        <v>46539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30" t="str">
        <f t="shared" si="0"/>
        <v/>
      </c>
      <c r="N11" s="30" t="str">
        <f>IF(COUNT(B11:L11)&gt;0,Plan!P10,"")</f>
        <v/>
      </c>
      <c r="O11" s="31" t="str">
        <f t="shared" si="1"/>
        <v/>
      </c>
      <c r="P11" s="30" t="str">
        <f t="shared" si="2"/>
        <v/>
      </c>
      <c r="Q11" s="30" t="str">
        <f>IF(COUNT(B11:L11)&gt;0,Plan!H10+Plan!J10+Plan!O10,"")</f>
        <v/>
      </c>
      <c r="R11" s="31" t="str">
        <f t="shared" si="3"/>
        <v/>
      </c>
      <c r="S11" s="32" t="str">
        <f>IF(COUNT(B11:L11)&gt;0,IFERROR(MIN(1,D11/Budget!$B$29),0),"")</f>
        <v/>
      </c>
      <c r="T11" s="32" t="str">
        <f>IF(COUNT(B11:L11)&gt;0,IFERROR(MAX(0,1-M11/Crédits!$C$11),0),"")</f>
        <v/>
      </c>
      <c r="U11" s="34" t="str">
        <f t="shared" si="4"/>
        <v/>
      </c>
      <c r="V11" s="35">
        <f t="shared" si="5"/>
        <v>0</v>
      </c>
      <c r="X11" s="2" t="s">
        <v>122</v>
      </c>
    </row>
    <row r="12" spans="1:24" x14ac:dyDescent="0.25">
      <c r="A12" s="29">
        <f>Plan!B11</f>
        <v>46569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30" t="str">
        <f t="shared" si="0"/>
        <v/>
      </c>
      <c r="N12" s="30" t="str">
        <f>IF(COUNT(B12:L12)&gt;0,Plan!P11,"")</f>
        <v/>
      </c>
      <c r="O12" s="31" t="str">
        <f t="shared" si="1"/>
        <v/>
      </c>
      <c r="P12" s="30" t="str">
        <f t="shared" si="2"/>
        <v/>
      </c>
      <c r="Q12" s="30" t="str">
        <f>IF(COUNT(B12:L12)&gt;0,Plan!H11+Plan!J11+Plan!O11,"")</f>
        <v/>
      </c>
      <c r="R12" s="31" t="str">
        <f t="shared" si="3"/>
        <v/>
      </c>
      <c r="S12" s="32" t="str">
        <f>IF(COUNT(B12:L12)&gt;0,IFERROR(MIN(1,D12/Budget!$B$29),0),"")</f>
        <v/>
      </c>
      <c r="T12" s="32" t="str">
        <f>IF(COUNT(B12:L12)&gt;0,IFERROR(MAX(0,1-M12/Crédits!$C$11),0),"")</f>
        <v/>
      </c>
      <c r="U12" s="34" t="str">
        <f t="shared" si="4"/>
        <v/>
      </c>
      <c r="V12" s="35">
        <f t="shared" si="5"/>
        <v>0</v>
      </c>
      <c r="X12" s="2" t="s">
        <v>132</v>
      </c>
    </row>
    <row r="13" spans="1:24" x14ac:dyDescent="0.25">
      <c r="A13" s="29">
        <f>Plan!B12</f>
        <v>46600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30" t="str">
        <f t="shared" si="0"/>
        <v/>
      </c>
      <c r="N13" s="30" t="str">
        <f>IF(COUNT(B13:L13)&gt;0,Plan!P12,"")</f>
        <v/>
      </c>
      <c r="O13" s="31" t="str">
        <f t="shared" si="1"/>
        <v/>
      </c>
      <c r="P13" s="30" t="str">
        <f t="shared" si="2"/>
        <v/>
      </c>
      <c r="Q13" s="30" t="str">
        <f>IF(COUNT(B13:L13)&gt;0,Plan!H12+Plan!J12+Plan!O12,"")</f>
        <v/>
      </c>
      <c r="R13" s="31" t="str">
        <f t="shared" si="3"/>
        <v/>
      </c>
      <c r="S13" s="32" t="str">
        <f>IF(COUNT(B13:L13)&gt;0,IFERROR(MIN(1,D13/Budget!$B$29),0),"")</f>
        <v/>
      </c>
      <c r="T13" s="32" t="str">
        <f>IF(COUNT(B13:L13)&gt;0,IFERROR(MAX(0,1-M13/Crédits!$C$11),0),"")</f>
        <v/>
      </c>
      <c r="U13" s="34" t="str">
        <f t="shared" si="4"/>
        <v/>
      </c>
      <c r="V13" s="35">
        <f t="shared" si="5"/>
        <v>0</v>
      </c>
      <c r="X13" s="2"/>
    </row>
    <row r="14" spans="1:24" x14ac:dyDescent="0.25">
      <c r="A14" s="29">
        <f>Plan!B13</f>
        <v>46631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30" t="str">
        <f t="shared" si="0"/>
        <v/>
      </c>
      <c r="N14" s="30" t="str">
        <f>IF(COUNT(B14:L14)&gt;0,Plan!P13,"")</f>
        <v/>
      </c>
      <c r="O14" s="31" t="str">
        <f t="shared" si="1"/>
        <v/>
      </c>
      <c r="P14" s="30" t="str">
        <f t="shared" si="2"/>
        <v/>
      </c>
      <c r="Q14" s="30" t="str">
        <f>IF(COUNT(B14:L14)&gt;0,Plan!H13+Plan!J13+Plan!O13,"")</f>
        <v/>
      </c>
      <c r="R14" s="31" t="str">
        <f t="shared" si="3"/>
        <v/>
      </c>
      <c r="S14" s="32" t="str">
        <f>IF(COUNT(B14:L14)&gt;0,IFERROR(MIN(1,D14/Budget!$B$29),0),"")</f>
        <v/>
      </c>
      <c r="T14" s="32" t="str">
        <f>IF(COUNT(B14:L14)&gt;0,IFERROR(MAX(0,1-M14/Crédits!$C$11),0),"")</f>
        <v/>
      </c>
      <c r="U14" s="34" t="str">
        <f t="shared" si="4"/>
        <v/>
      </c>
      <c r="V14" s="35">
        <f t="shared" si="5"/>
        <v>0</v>
      </c>
      <c r="X14" s="2" t="s">
        <v>149</v>
      </c>
    </row>
    <row r="15" spans="1:24" x14ac:dyDescent="0.25">
      <c r="A15" s="29">
        <f>Plan!B14</f>
        <v>46661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30" t="str">
        <f t="shared" si="0"/>
        <v/>
      </c>
      <c r="N15" s="30" t="str">
        <f>IF(COUNT(B15:L15)&gt;0,Plan!P14,"")</f>
        <v/>
      </c>
      <c r="O15" s="31" t="str">
        <f t="shared" si="1"/>
        <v/>
      </c>
      <c r="P15" s="30" t="str">
        <f t="shared" si="2"/>
        <v/>
      </c>
      <c r="Q15" s="30" t="str">
        <f>IF(COUNT(B15:L15)&gt;0,Plan!H14+Plan!J14+Plan!O14,"")</f>
        <v/>
      </c>
      <c r="R15" s="31" t="str">
        <f t="shared" si="3"/>
        <v/>
      </c>
      <c r="S15" s="32" t="str">
        <f>IF(COUNT(B15:L15)&gt;0,IFERROR(MIN(1,D15/Budget!$B$29),0),"")</f>
        <v/>
      </c>
      <c r="T15" s="32" t="str">
        <f>IF(COUNT(B15:L15)&gt;0,IFERROR(MAX(0,1-M15/Crédits!$C$11),0),"")</f>
        <v/>
      </c>
      <c r="U15" s="34" t="str">
        <f t="shared" si="4"/>
        <v/>
      </c>
      <c r="V15" s="35">
        <f t="shared" si="5"/>
        <v>0</v>
      </c>
      <c r="X15" s="2" t="s">
        <v>155</v>
      </c>
    </row>
    <row r="16" spans="1:24" x14ac:dyDescent="0.25">
      <c r="A16" s="29">
        <f>Plan!B15</f>
        <v>46692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30" t="str">
        <f t="shared" si="0"/>
        <v/>
      </c>
      <c r="N16" s="30" t="str">
        <f>IF(COUNT(B16:L16)&gt;0,Plan!P15,"")</f>
        <v/>
      </c>
      <c r="O16" s="31" t="str">
        <f t="shared" si="1"/>
        <v/>
      </c>
      <c r="P16" s="30" t="str">
        <f t="shared" si="2"/>
        <v/>
      </c>
      <c r="Q16" s="30" t="str">
        <f>IF(COUNT(B16:L16)&gt;0,Plan!H15+Plan!J15+Plan!O15,"")</f>
        <v/>
      </c>
      <c r="R16" s="31" t="str">
        <f t="shared" si="3"/>
        <v/>
      </c>
      <c r="S16" s="32" t="str">
        <f>IF(COUNT(B16:L16)&gt;0,IFERROR(MIN(1,D16/Budget!$B$29),0),"")</f>
        <v/>
      </c>
      <c r="T16" s="32" t="str">
        <f>IF(COUNT(B16:L16)&gt;0,IFERROR(MAX(0,1-M16/Crédits!$C$11),0),"")</f>
        <v/>
      </c>
      <c r="U16" s="34" t="str">
        <f t="shared" si="4"/>
        <v/>
      </c>
      <c r="V16" s="35">
        <f t="shared" si="5"/>
        <v>0</v>
      </c>
    </row>
    <row r="17" spans="1:22" x14ac:dyDescent="0.25">
      <c r="A17" s="29">
        <f>Plan!B16</f>
        <v>46722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30" t="str">
        <f t="shared" si="0"/>
        <v/>
      </c>
      <c r="N17" s="30" t="str">
        <f>IF(COUNT(B17:L17)&gt;0,Plan!P16,"")</f>
        <v/>
      </c>
      <c r="O17" s="31" t="str">
        <f t="shared" si="1"/>
        <v/>
      </c>
      <c r="P17" s="30" t="str">
        <f t="shared" si="2"/>
        <v/>
      </c>
      <c r="Q17" s="30" t="str">
        <f>IF(COUNT(B17:L17)&gt;0,Plan!H16+Plan!J16+Plan!O16,"")</f>
        <v/>
      </c>
      <c r="R17" s="31" t="str">
        <f t="shared" si="3"/>
        <v/>
      </c>
      <c r="S17" s="32" t="str">
        <f>IF(COUNT(B17:L17)&gt;0,IFERROR(MIN(1,D17/Budget!$B$29),0),"")</f>
        <v/>
      </c>
      <c r="T17" s="32" t="str">
        <f>IF(COUNT(B17:L17)&gt;0,IFERROR(MAX(0,1-M17/Crédits!$C$11),0),"")</f>
        <v/>
      </c>
      <c r="U17" s="34" t="str">
        <f t="shared" si="4"/>
        <v/>
      </c>
      <c r="V17" s="35">
        <f t="shared" si="5"/>
        <v>0</v>
      </c>
    </row>
    <row r="18" spans="1:22" x14ac:dyDescent="0.25">
      <c r="A18" s="29">
        <f>Plan!B17</f>
        <v>46753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30" t="str">
        <f t="shared" si="0"/>
        <v/>
      </c>
      <c r="N18" s="30" t="str">
        <f>IF(COUNT(B18:L18)&gt;0,Plan!P17,"")</f>
        <v/>
      </c>
      <c r="O18" s="31" t="str">
        <f t="shared" si="1"/>
        <v/>
      </c>
      <c r="P18" s="30" t="str">
        <f t="shared" si="2"/>
        <v/>
      </c>
      <c r="Q18" s="30" t="str">
        <f>IF(COUNT(B18:L18)&gt;0,Plan!H17+Plan!J17+Plan!O17,"")</f>
        <v/>
      </c>
      <c r="R18" s="31" t="str">
        <f t="shared" si="3"/>
        <v/>
      </c>
      <c r="S18" s="32" t="str">
        <f>IF(COUNT(B18:L18)&gt;0,IFERROR(MIN(1,D18/Budget!$B$29),0),"")</f>
        <v/>
      </c>
      <c r="T18" s="32" t="str">
        <f>IF(COUNT(B18:L18)&gt;0,IFERROR(MAX(0,1-M18/Crédits!$C$11),0),"")</f>
        <v/>
      </c>
      <c r="U18" s="34" t="str">
        <f t="shared" si="4"/>
        <v/>
      </c>
      <c r="V18" s="35">
        <f t="shared" si="5"/>
        <v>0</v>
      </c>
    </row>
    <row r="19" spans="1:22" x14ac:dyDescent="0.25">
      <c r="A19" s="29">
        <f>Plan!B18</f>
        <v>46784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30" t="str">
        <f t="shared" si="0"/>
        <v/>
      </c>
      <c r="N19" s="30" t="str">
        <f>IF(COUNT(B19:L19)&gt;0,Plan!P18,"")</f>
        <v/>
      </c>
      <c r="O19" s="31" t="str">
        <f t="shared" si="1"/>
        <v/>
      </c>
      <c r="P19" s="30" t="str">
        <f t="shared" si="2"/>
        <v/>
      </c>
      <c r="Q19" s="30" t="str">
        <f>IF(COUNT(B19:L19)&gt;0,Plan!H18+Plan!J18+Plan!O18,"")</f>
        <v/>
      </c>
      <c r="R19" s="31" t="str">
        <f t="shared" si="3"/>
        <v/>
      </c>
      <c r="S19" s="32" t="str">
        <f>IF(COUNT(B19:L19)&gt;0,IFERROR(MIN(1,D19/Budget!$B$29),0),"")</f>
        <v/>
      </c>
      <c r="T19" s="32" t="str">
        <f>IF(COUNT(B19:L19)&gt;0,IFERROR(MAX(0,1-M19/Crédits!$C$11),0),"")</f>
        <v/>
      </c>
      <c r="U19" s="34" t="str">
        <f t="shared" si="4"/>
        <v/>
      </c>
      <c r="V19" s="35">
        <f t="shared" si="5"/>
        <v>0</v>
      </c>
    </row>
    <row r="20" spans="1:22" x14ac:dyDescent="0.25">
      <c r="A20" s="29">
        <f>Plan!B19</f>
        <v>46813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30" t="str">
        <f t="shared" si="0"/>
        <v/>
      </c>
      <c r="N20" s="30" t="str">
        <f>IF(COUNT(B20:L20)&gt;0,Plan!P19,"")</f>
        <v/>
      </c>
      <c r="O20" s="31" t="str">
        <f t="shared" si="1"/>
        <v/>
      </c>
      <c r="P20" s="30" t="str">
        <f t="shared" si="2"/>
        <v/>
      </c>
      <c r="Q20" s="30" t="str">
        <f>IF(COUNT(B20:L20)&gt;0,Plan!H19+Plan!J19+Plan!O19,"")</f>
        <v/>
      </c>
      <c r="R20" s="31" t="str">
        <f t="shared" si="3"/>
        <v/>
      </c>
      <c r="S20" s="32" t="str">
        <f>IF(COUNT(B20:L20)&gt;0,IFERROR(MIN(1,D20/Budget!$B$29),0),"")</f>
        <v/>
      </c>
      <c r="T20" s="32" t="str">
        <f>IF(COUNT(B20:L20)&gt;0,IFERROR(MAX(0,1-M20/Crédits!$C$11),0),"")</f>
        <v/>
      </c>
      <c r="U20" s="34" t="str">
        <f t="shared" si="4"/>
        <v/>
      </c>
      <c r="V20" s="35">
        <f t="shared" si="5"/>
        <v>0</v>
      </c>
    </row>
    <row r="21" spans="1:22" ht="15.75" customHeight="1" x14ac:dyDescent="0.25">
      <c r="A21" s="29">
        <f>Plan!B20</f>
        <v>46844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30" t="str">
        <f t="shared" si="0"/>
        <v/>
      </c>
      <c r="N21" s="30" t="str">
        <f>IF(COUNT(B21:L21)&gt;0,Plan!P20,"")</f>
        <v/>
      </c>
      <c r="O21" s="31" t="str">
        <f t="shared" si="1"/>
        <v/>
      </c>
      <c r="P21" s="30" t="str">
        <f t="shared" si="2"/>
        <v/>
      </c>
      <c r="Q21" s="30" t="str">
        <f>IF(COUNT(B21:L21)&gt;0,Plan!H20+Plan!J20+Plan!O20,"")</f>
        <v/>
      </c>
      <c r="R21" s="31" t="str">
        <f t="shared" si="3"/>
        <v/>
      </c>
      <c r="S21" s="32" t="str">
        <f>IF(COUNT(B21:L21)&gt;0,IFERROR(MIN(1,D21/Budget!$B$29),0),"")</f>
        <v/>
      </c>
      <c r="T21" s="32" t="str">
        <f>IF(COUNT(B21:L21)&gt;0,IFERROR(MAX(0,1-M21/Crédits!$C$11),0),"")</f>
        <v/>
      </c>
      <c r="U21" s="34" t="str">
        <f t="shared" si="4"/>
        <v/>
      </c>
      <c r="V21" s="35">
        <f t="shared" si="5"/>
        <v>0</v>
      </c>
    </row>
    <row r="22" spans="1:22" ht="15.75" customHeight="1" x14ac:dyDescent="0.25">
      <c r="A22" s="29">
        <f>Plan!B21</f>
        <v>46874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30" t="str">
        <f t="shared" si="0"/>
        <v/>
      </c>
      <c r="N22" s="30" t="str">
        <f>IF(COUNT(B22:L22)&gt;0,Plan!P21,"")</f>
        <v/>
      </c>
      <c r="O22" s="31" t="str">
        <f t="shared" si="1"/>
        <v/>
      </c>
      <c r="P22" s="30" t="str">
        <f t="shared" si="2"/>
        <v/>
      </c>
      <c r="Q22" s="30" t="str">
        <f>IF(COUNT(B22:L22)&gt;0,Plan!H21+Plan!J21+Plan!O21,"")</f>
        <v/>
      </c>
      <c r="R22" s="31" t="str">
        <f t="shared" si="3"/>
        <v/>
      </c>
      <c r="S22" s="32" t="str">
        <f>IF(COUNT(B22:L22)&gt;0,IFERROR(MIN(1,D22/Budget!$B$29),0),"")</f>
        <v/>
      </c>
      <c r="T22" s="32" t="str">
        <f>IF(COUNT(B22:L22)&gt;0,IFERROR(MAX(0,1-M22/Crédits!$C$11),0),"")</f>
        <v/>
      </c>
      <c r="U22" s="34" t="str">
        <f t="shared" si="4"/>
        <v/>
      </c>
      <c r="V22" s="35">
        <f t="shared" si="5"/>
        <v>0</v>
      </c>
    </row>
    <row r="23" spans="1:22" ht="15.75" customHeight="1" x14ac:dyDescent="0.25">
      <c r="A23" s="29">
        <f>Plan!B22</f>
        <v>46905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30" t="str">
        <f t="shared" si="0"/>
        <v/>
      </c>
      <c r="N23" s="30" t="str">
        <f>IF(COUNT(B23:L23)&gt;0,Plan!P22,"")</f>
        <v/>
      </c>
      <c r="O23" s="31" t="str">
        <f t="shared" si="1"/>
        <v/>
      </c>
      <c r="P23" s="30" t="str">
        <f t="shared" si="2"/>
        <v/>
      </c>
      <c r="Q23" s="30" t="str">
        <f>IF(COUNT(B23:L23)&gt;0,Plan!H22+Plan!J22+Plan!O22,"")</f>
        <v/>
      </c>
      <c r="R23" s="31" t="str">
        <f t="shared" si="3"/>
        <v/>
      </c>
      <c r="S23" s="32" t="str">
        <f>IF(COUNT(B23:L23)&gt;0,IFERROR(MIN(1,D23/Budget!$B$29),0),"")</f>
        <v/>
      </c>
      <c r="T23" s="32" t="str">
        <f>IF(COUNT(B23:L23)&gt;0,IFERROR(MAX(0,1-M23/Crédits!$C$11),0),"")</f>
        <v/>
      </c>
      <c r="U23" s="34" t="str">
        <f t="shared" si="4"/>
        <v/>
      </c>
      <c r="V23" s="35">
        <f t="shared" si="5"/>
        <v>0</v>
      </c>
    </row>
    <row r="24" spans="1:22" ht="15.75" customHeight="1" x14ac:dyDescent="0.25">
      <c r="A24" s="29">
        <f>Plan!B23</f>
        <v>46935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30" t="str">
        <f t="shared" si="0"/>
        <v/>
      </c>
      <c r="N24" s="30" t="str">
        <f>IF(COUNT(B24:L24)&gt;0,Plan!P23,"")</f>
        <v/>
      </c>
      <c r="O24" s="31" t="str">
        <f t="shared" si="1"/>
        <v/>
      </c>
      <c r="P24" s="30" t="str">
        <f t="shared" si="2"/>
        <v/>
      </c>
      <c r="Q24" s="30" t="str">
        <f>IF(COUNT(B24:L24)&gt;0,Plan!H23+Plan!J23+Plan!O23,"")</f>
        <v/>
      </c>
      <c r="R24" s="31" t="str">
        <f t="shared" si="3"/>
        <v/>
      </c>
      <c r="S24" s="32" t="str">
        <f>IF(COUNT(B24:L24)&gt;0,IFERROR(MIN(1,D24/Budget!$B$29),0),"")</f>
        <v/>
      </c>
      <c r="T24" s="32" t="str">
        <f>IF(COUNT(B24:L24)&gt;0,IFERROR(MAX(0,1-M24/Crédits!$C$11),0),"")</f>
        <v/>
      </c>
      <c r="U24" s="34" t="str">
        <f t="shared" si="4"/>
        <v/>
      </c>
      <c r="V24" s="35">
        <f t="shared" si="5"/>
        <v>0</v>
      </c>
    </row>
    <row r="25" spans="1:22" ht="15.75" customHeight="1" x14ac:dyDescent="0.25">
      <c r="A25" s="29">
        <f>Plan!B24</f>
        <v>46966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30" t="str">
        <f t="shared" si="0"/>
        <v/>
      </c>
      <c r="N25" s="30" t="str">
        <f>IF(COUNT(B25:L25)&gt;0,Plan!P24,"")</f>
        <v/>
      </c>
      <c r="O25" s="31" t="str">
        <f t="shared" si="1"/>
        <v/>
      </c>
      <c r="P25" s="30" t="str">
        <f t="shared" si="2"/>
        <v/>
      </c>
      <c r="Q25" s="30" t="str">
        <f>IF(COUNT(B25:L25)&gt;0,Plan!H24+Plan!J24+Plan!O24,"")</f>
        <v/>
      </c>
      <c r="R25" s="31" t="str">
        <f t="shared" si="3"/>
        <v/>
      </c>
      <c r="S25" s="32" t="str">
        <f>IF(COUNT(B25:L25)&gt;0,IFERROR(MIN(1,D25/Budget!$B$29),0),"")</f>
        <v/>
      </c>
      <c r="T25" s="32" t="str">
        <f>IF(COUNT(B25:L25)&gt;0,IFERROR(MAX(0,1-M25/Crédits!$C$11),0),"")</f>
        <v/>
      </c>
      <c r="U25" s="34" t="str">
        <f t="shared" si="4"/>
        <v/>
      </c>
      <c r="V25" s="35">
        <f t="shared" si="5"/>
        <v>0</v>
      </c>
    </row>
    <row r="26" spans="1:22" ht="15.75" customHeight="1" x14ac:dyDescent="0.25">
      <c r="A26" s="29">
        <f>Plan!B25</f>
        <v>46997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30" t="str">
        <f t="shared" si="0"/>
        <v/>
      </c>
      <c r="N26" s="30" t="str">
        <f>IF(COUNT(B26:L26)&gt;0,Plan!P25,"")</f>
        <v/>
      </c>
      <c r="O26" s="31" t="str">
        <f t="shared" si="1"/>
        <v/>
      </c>
      <c r="P26" s="30" t="str">
        <f t="shared" si="2"/>
        <v/>
      </c>
      <c r="Q26" s="30" t="str">
        <f>IF(COUNT(B26:L26)&gt;0,Plan!H25+Plan!J25+Plan!O25,"")</f>
        <v/>
      </c>
      <c r="R26" s="31" t="str">
        <f t="shared" si="3"/>
        <v/>
      </c>
      <c r="S26" s="32" t="str">
        <f>IF(COUNT(B26:L26)&gt;0,IFERROR(MIN(1,D26/Budget!$B$29),0),"")</f>
        <v/>
      </c>
      <c r="T26" s="32" t="str">
        <f>IF(COUNT(B26:L26)&gt;0,IFERROR(MAX(0,1-M26/Crédits!$C$11),0),"")</f>
        <v/>
      </c>
      <c r="U26" s="34" t="str">
        <f t="shared" si="4"/>
        <v/>
      </c>
      <c r="V26" s="35">
        <f t="shared" si="5"/>
        <v>0</v>
      </c>
    </row>
    <row r="27" spans="1:22" ht="15.75" customHeight="1" x14ac:dyDescent="0.25">
      <c r="A27" s="29">
        <f>Plan!B26</f>
        <v>47027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30" t="str">
        <f t="shared" si="0"/>
        <v/>
      </c>
      <c r="N27" s="30" t="str">
        <f>IF(COUNT(B27:L27)&gt;0,Plan!P26,"")</f>
        <v/>
      </c>
      <c r="O27" s="31" t="str">
        <f t="shared" si="1"/>
        <v/>
      </c>
      <c r="P27" s="30" t="str">
        <f t="shared" si="2"/>
        <v/>
      </c>
      <c r="Q27" s="30" t="str">
        <f>IF(COUNT(B27:L27)&gt;0,Plan!H26+Plan!J26+Plan!O26,"")</f>
        <v/>
      </c>
      <c r="R27" s="31" t="str">
        <f t="shared" si="3"/>
        <v/>
      </c>
      <c r="S27" s="32" t="str">
        <f>IF(COUNT(B27:L27)&gt;0,IFERROR(MIN(1,D27/Budget!$B$29),0),"")</f>
        <v/>
      </c>
      <c r="T27" s="32" t="str">
        <f>IF(COUNT(B27:L27)&gt;0,IFERROR(MAX(0,1-M27/Crédits!$C$11),0),"")</f>
        <v/>
      </c>
      <c r="U27" s="34" t="str">
        <f t="shared" si="4"/>
        <v/>
      </c>
      <c r="V27" s="35">
        <f t="shared" si="5"/>
        <v>0</v>
      </c>
    </row>
    <row r="28" spans="1:22" ht="15.75" customHeight="1" x14ac:dyDescent="0.25">
      <c r="A28" s="29">
        <f>Plan!B27</f>
        <v>47058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30" t="str">
        <f t="shared" si="0"/>
        <v/>
      </c>
      <c r="N28" s="30" t="str">
        <f>IF(COUNT(B28:L28)&gt;0,Plan!P27,"")</f>
        <v/>
      </c>
      <c r="O28" s="31" t="str">
        <f t="shared" si="1"/>
        <v/>
      </c>
      <c r="P28" s="30" t="str">
        <f t="shared" si="2"/>
        <v/>
      </c>
      <c r="Q28" s="30" t="str">
        <f>IF(COUNT(B28:L28)&gt;0,Plan!H27+Plan!J27+Plan!O27,"")</f>
        <v/>
      </c>
      <c r="R28" s="31" t="str">
        <f t="shared" si="3"/>
        <v/>
      </c>
      <c r="S28" s="32" t="str">
        <f>IF(COUNT(B28:L28)&gt;0,IFERROR(MIN(1,D28/Budget!$B$29),0),"")</f>
        <v/>
      </c>
      <c r="T28" s="32" t="str">
        <f>IF(COUNT(B28:L28)&gt;0,IFERROR(MAX(0,1-M28/Crédits!$C$11),0),"")</f>
        <v/>
      </c>
      <c r="U28" s="34" t="str">
        <f t="shared" si="4"/>
        <v/>
      </c>
      <c r="V28" s="35">
        <f t="shared" si="5"/>
        <v>0</v>
      </c>
    </row>
    <row r="29" spans="1:22" ht="15.75" customHeight="1" x14ac:dyDescent="0.25">
      <c r="A29" s="29">
        <f>Plan!B28</f>
        <v>47088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30" t="str">
        <f t="shared" si="0"/>
        <v/>
      </c>
      <c r="N29" s="30" t="str">
        <f>IF(COUNT(B29:L29)&gt;0,Plan!P28,"")</f>
        <v/>
      </c>
      <c r="O29" s="31" t="str">
        <f t="shared" si="1"/>
        <v/>
      </c>
      <c r="P29" s="30" t="str">
        <f t="shared" si="2"/>
        <v/>
      </c>
      <c r="Q29" s="30" t="str">
        <f>IF(COUNT(B29:L29)&gt;0,Plan!H28+Plan!J28+Plan!O28,"")</f>
        <v/>
      </c>
      <c r="R29" s="31" t="str">
        <f t="shared" si="3"/>
        <v/>
      </c>
      <c r="S29" s="32" t="str">
        <f>IF(COUNT(B29:L29)&gt;0,IFERROR(MIN(1,D29/Budget!$B$29),0),"")</f>
        <v/>
      </c>
      <c r="T29" s="32" t="str">
        <f>IF(COUNT(B29:L29)&gt;0,IFERROR(MAX(0,1-M29/Crédits!$C$11),0),"")</f>
        <v/>
      </c>
      <c r="U29" s="34" t="str">
        <f t="shared" si="4"/>
        <v/>
      </c>
      <c r="V29" s="35">
        <f t="shared" si="5"/>
        <v>0</v>
      </c>
    </row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4:C4"/>
    <mergeCell ref="D4:F4"/>
    <mergeCell ref="G4:L4"/>
    <mergeCell ref="M4:U4"/>
  </mergeCells>
  <conditionalFormatting sqref="A6:A29">
    <cfRule type="expression" dxfId="12" priority="8">
      <formula>AND(TODAY()&gt;=A6,TODAY()&lt;EDATE(A6,1))</formula>
    </cfRule>
  </conditionalFormatting>
  <conditionalFormatting sqref="O6:O29">
    <cfRule type="expression" dxfId="11" priority="1">
      <formula>AND(O6&lt;&gt;"",O6&lt;=10)</formula>
    </cfRule>
    <cfRule type="expression" dxfId="10" priority="2">
      <formula>AND(O6&lt;&gt;"",O6&gt;10)</formula>
    </cfRule>
  </conditionalFormatting>
  <conditionalFormatting sqref="R6:R29">
    <cfRule type="expression" dxfId="9" priority="3">
      <formula>AND(R6&lt;&gt;"",R6&gt;=-10)</formula>
    </cfRule>
    <cfRule type="expression" dxfId="8" priority="4">
      <formula>AND(R6&lt;&gt;"",R6&lt;-10)</formula>
    </cfRule>
  </conditionalFormatting>
  <conditionalFormatting sqref="U6:U29">
    <cfRule type="expression" dxfId="7" priority="5">
      <formula>LEFT(U6,1)="✅"</formula>
    </cfRule>
    <cfRule type="expression" dxfId="6" priority="6">
      <formula>ISNUMBER(SEARCH("retard",U6))</formula>
    </cfRule>
    <cfRule type="expression" dxfId="5" priority="7">
      <formula>ISNUMBER(SEARCH("Mitigé",U6))</formula>
    </cfRule>
  </conditionalFormatting>
  <pageMargins left="0.75" right="0.75" top="1" bottom="1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2578125" defaultRowHeight="15" customHeight="1" x14ac:dyDescent="0.25"/>
  <cols>
    <col min="1" max="1" width="7" customWidth="1"/>
    <col min="2" max="2" width="10" customWidth="1"/>
    <col min="3" max="3" width="12" customWidth="1"/>
    <col min="4" max="5" width="14" customWidth="1"/>
    <col min="6" max="6" width="13" customWidth="1"/>
    <col min="7" max="10" width="14" customWidth="1"/>
    <col min="11" max="11" width="12" customWidth="1"/>
    <col min="12" max="13" width="14" customWidth="1"/>
    <col min="14" max="14" width="13" customWidth="1"/>
    <col min="15" max="16" width="14" customWidth="1"/>
    <col min="17" max="17" width="18" customWidth="1"/>
    <col min="18" max="20" width="6" hidden="1" customWidth="1"/>
    <col min="21" max="21" width="3" customWidth="1"/>
    <col min="22" max="22" width="48" customWidth="1"/>
    <col min="23" max="26" width="8.7109375" customWidth="1"/>
    <col min="27" max="28" width="13" hidden="1" customWidth="1"/>
  </cols>
  <sheetData>
    <row r="1" spans="1:28" ht="18" customHeight="1" x14ac:dyDescent="0.25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  <c r="V1" s="4"/>
      <c r="AA1" s="4"/>
      <c r="AB1" s="4"/>
    </row>
    <row r="2" spans="1:28" ht="15" customHeight="1" x14ac:dyDescent="0.25">
      <c r="A2" s="15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/>
      <c r="V2" s="4"/>
      <c r="AA2" s="4"/>
      <c r="AB2" s="4"/>
    </row>
    <row r="3" spans="1:28" ht="30" customHeight="1" x14ac:dyDescent="0.25">
      <c r="A3" s="114" t="s">
        <v>158</v>
      </c>
      <c r="B3" s="115"/>
      <c r="C3" s="116" t="s">
        <v>159</v>
      </c>
      <c r="D3" s="111"/>
      <c r="E3" s="111"/>
      <c r="F3" s="115"/>
      <c r="G3" s="117" t="s">
        <v>160</v>
      </c>
      <c r="H3" s="115"/>
      <c r="I3" s="118" t="s">
        <v>161</v>
      </c>
      <c r="J3" s="115"/>
      <c r="K3" s="119" t="s">
        <v>162</v>
      </c>
      <c r="L3" s="111"/>
      <c r="M3" s="111"/>
      <c r="N3" s="111"/>
      <c r="O3" s="115"/>
      <c r="P3" s="120" t="s">
        <v>137</v>
      </c>
      <c r="Q3" s="109"/>
      <c r="R3" s="2"/>
      <c r="S3" s="2"/>
      <c r="T3" s="2"/>
      <c r="U3" s="4"/>
      <c r="V3" s="47" t="s">
        <v>163</v>
      </c>
      <c r="AA3" s="4"/>
      <c r="AB3" s="4"/>
    </row>
    <row r="4" spans="1:28" ht="42" customHeight="1" x14ac:dyDescent="0.25">
      <c r="A4" s="23" t="s">
        <v>82</v>
      </c>
      <c r="B4" s="48" t="s">
        <v>164</v>
      </c>
      <c r="C4" s="11" t="s">
        <v>165</v>
      </c>
      <c r="D4" s="11" t="s">
        <v>166</v>
      </c>
      <c r="E4" s="11" t="s">
        <v>167</v>
      </c>
      <c r="F4" s="49" t="s">
        <v>168</v>
      </c>
      <c r="G4" s="50" t="s">
        <v>169</v>
      </c>
      <c r="H4" s="51" t="s">
        <v>170</v>
      </c>
      <c r="I4" s="25" t="s">
        <v>171</v>
      </c>
      <c r="J4" s="52" t="s">
        <v>172</v>
      </c>
      <c r="K4" s="28" t="s">
        <v>173</v>
      </c>
      <c r="L4" s="28" t="s">
        <v>174</v>
      </c>
      <c r="M4" s="28" t="s">
        <v>175</v>
      </c>
      <c r="N4" s="28" t="s">
        <v>176</v>
      </c>
      <c r="O4" s="53" t="s">
        <v>177</v>
      </c>
      <c r="P4" s="27" t="s">
        <v>178</v>
      </c>
      <c r="Q4" s="27" t="s">
        <v>179</v>
      </c>
      <c r="R4" s="11" t="s">
        <v>180</v>
      </c>
      <c r="S4" s="11" t="s">
        <v>181</v>
      </c>
      <c r="T4" s="11" t="s">
        <v>182</v>
      </c>
      <c r="U4" s="4"/>
      <c r="V4" s="54" t="s">
        <v>183</v>
      </c>
      <c r="AA4" s="4" t="s">
        <v>184</v>
      </c>
      <c r="AB4" s="4" t="s">
        <v>185</v>
      </c>
    </row>
    <row r="5" spans="1:28" ht="15" customHeight="1" x14ac:dyDescent="0.25">
      <c r="A5" s="55">
        <v>1</v>
      </c>
      <c r="B5" s="56">
        <f>EDATE(Budget!$B$28,A5-1)</f>
        <v>46388</v>
      </c>
      <c r="C5" s="57">
        <f>Budget!$B$7</f>
        <v>2900</v>
      </c>
      <c r="D5" s="57">
        <f>Budget!$B$18+Budget!$B$25</f>
        <v>1725</v>
      </c>
      <c r="E5" s="57">
        <f>Calcul!AX3</f>
        <v>731.45</v>
      </c>
      <c r="F5" s="58">
        <f t="shared" ref="F5:F259" si="0">C5-D5-E5</f>
        <v>443.54999999999995</v>
      </c>
      <c r="G5" s="59">
        <f>IF(B5&lt;=Budget!$B$30,MAX(0,MIN(F5,Budget!$B$29-Budget!$B$31)),0)</f>
        <v>443.54999999999995</v>
      </c>
      <c r="H5" s="60">
        <f>Budget!$B$31+G5</f>
        <v>943.55</v>
      </c>
      <c r="I5" s="61">
        <f>MAX(0,MIN(F5-G5,Budget!$B$32-Budget!$B$34))</f>
        <v>0</v>
      </c>
      <c r="J5" s="62">
        <f>Budget!$B$34+I5</f>
        <v>800</v>
      </c>
      <c r="K5" s="63">
        <f t="shared" ref="K5:K259" si="1">MAX(0,F5-G5-I5)</f>
        <v>0</v>
      </c>
      <c r="L5" s="63">
        <f>K5*Budget!$B$36</f>
        <v>0</v>
      </c>
      <c r="M5" s="63">
        <f>MAX(0,L5-Calcul!AY3)</f>
        <v>0</v>
      </c>
      <c r="N5" s="63">
        <f t="shared" ref="N5:N259" si="2">K5-L5+M5</f>
        <v>0</v>
      </c>
      <c r="O5" s="64">
        <f>0+N5</f>
        <v>0</v>
      </c>
      <c r="P5" s="65">
        <f>Calcul!AZ3</f>
        <v>15750.7</v>
      </c>
      <c r="Q5" s="66" t="str">
        <f t="shared" ref="Q5:Q259" si="3">IF(F5&lt;0,"Budget négatif !","")</f>
        <v/>
      </c>
      <c r="R5" s="67">
        <f>IF(H5&gt;=Budget!$B$29,1,0)</f>
        <v>0</v>
      </c>
      <c r="S5" s="67">
        <f>IF(J5&gt;=Budget!$B$32,1,0)</f>
        <v>0</v>
      </c>
      <c r="T5" s="67">
        <f t="shared" ref="T5:T259" si="4">IF(P5&lt;=0.01,1,0)</f>
        <v>0</v>
      </c>
      <c r="U5" s="4"/>
      <c r="V5" s="54" t="s">
        <v>186</v>
      </c>
      <c r="AA5" s="68">
        <f>Budget!$B$29</f>
        <v>4000</v>
      </c>
      <c r="AB5" s="68">
        <f>Budget!$B$32</f>
        <v>4000</v>
      </c>
    </row>
    <row r="6" spans="1:28" ht="15" customHeight="1" x14ac:dyDescent="0.25">
      <c r="A6" s="55">
        <v>2</v>
      </c>
      <c r="B6" s="56">
        <f>EDATE(Budget!$B$28,A6-1)</f>
        <v>46419</v>
      </c>
      <c r="C6" s="57">
        <f>Budget!$B$7</f>
        <v>2900</v>
      </c>
      <c r="D6" s="57">
        <f>Budget!$B$18+Budget!$B$25</f>
        <v>1725</v>
      </c>
      <c r="E6" s="57">
        <f>Calcul!AX4</f>
        <v>731.45</v>
      </c>
      <c r="F6" s="58">
        <f t="shared" si="0"/>
        <v>443.54999999999995</v>
      </c>
      <c r="G6" s="59">
        <f>IF(B6&lt;=Budget!$B$30,MAX(0,MIN(F6,Budget!$B$29-H5)),0)</f>
        <v>443.54999999999995</v>
      </c>
      <c r="H6" s="60">
        <f t="shared" ref="H6:H260" si="5">H5+G6</f>
        <v>1387.1</v>
      </c>
      <c r="I6" s="61">
        <f>MAX(0,MIN(F6-G6,Budget!$B$32-J5))</f>
        <v>0</v>
      </c>
      <c r="J6" s="62">
        <f t="shared" ref="J6:J260" si="6">J5+I6</f>
        <v>800</v>
      </c>
      <c r="K6" s="63">
        <f t="shared" si="1"/>
        <v>0</v>
      </c>
      <c r="L6" s="63">
        <f>K6*Budget!$B$36</f>
        <v>0</v>
      </c>
      <c r="M6" s="63">
        <f>MAX(0,L6-Calcul!AY4)</f>
        <v>0</v>
      </c>
      <c r="N6" s="63">
        <f t="shared" si="2"/>
        <v>0</v>
      </c>
      <c r="O6" s="64">
        <f t="shared" ref="O6:O260" si="7">O5+N6</f>
        <v>0</v>
      </c>
      <c r="P6" s="65">
        <f>Calcul!AZ4</f>
        <v>15099.25</v>
      </c>
      <c r="Q6" s="66" t="str">
        <f t="shared" si="3"/>
        <v/>
      </c>
      <c r="R6" s="67">
        <f>IF(H6&gt;=Budget!$B$29,1,0)</f>
        <v>0</v>
      </c>
      <c r="S6" s="67">
        <f>IF(J6&gt;=Budget!$B$32,1,0)</f>
        <v>0</v>
      </c>
      <c r="T6" s="67">
        <f t="shared" si="4"/>
        <v>0</v>
      </c>
      <c r="U6" s="4"/>
      <c r="V6" s="69" t="s">
        <v>187</v>
      </c>
      <c r="AA6" s="68">
        <f>Budget!$B$29</f>
        <v>4000</v>
      </c>
      <c r="AB6" s="68">
        <f>Budget!$B$32</f>
        <v>4000</v>
      </c>
    </row>
    <row r="7" spans="1:28" ht="15" customHeight="1" x14ac:dyDescent="0.25">
      <c r="A7" s="55">
        <v>3</v>
      </c>
      <c r="B7" s="56">
        <f>EDATE(Budget!$B$28,A7-1)</f>
        <v>46447</v>
      </c>
      <c r="C7" s="57">
        <f>Budget!$B$7</f>
        <v>2900</v>
      </c>
      <c r="D7" s="57">
        <f>Budget!$B$18+Budget!$B$25</f>
        <v>1725</v>
      </c>
      <c r="E7" s="57">
        <f>Calcul!AX5</f>
        <v>731.45</v>
      </c>
      <c r="F7" s="58">
        <f t="shared" si="0"/>
        <v>443.54999999999995</v>
      </c>
      <c r="G7" s="59">
        <f>IF(B7&lt;=Budget!$B$30,MAX(0,MIN(F7,Budget!$B$29-H6)),0)</f>
        <v>443.54999999999995</v>
      </c>
      <c r="H7" s="60">
        <f t="shared" si="5"/>
        <v>1830.6499999999999</v>
      </c>
      <c r="I7" s="61">
        <f>MAX(0,MIN(F7-G7,Budget!$B$32-J6))</f>
        <v>0</v>
      </c>
      <c r="J7" s="62">
        <f t="shared" si="6"/>
        <v>800</v>
      </c>
      <c r="K7" s="63">
        <f t="shared" si="1"/>
        <v>0</v>
      </c>
      <c r="L7" s="63">
        <f>K7*Budget!$B$36</f>
        <v>0</v>
      </c>
      <c r="M7" s="63">
        <f>MAX(0,L7-Calcul!AY5)</f>
        <v>0</v>
      </c>
      <c r="N7" s="63">
        <f t="shared" si="2"/>
        <v>0</v>
      </c>
      <c r="O7" s="64">
        <f t="shared" si="7"/>
        <v>0</v>
      </c>
      <c r="P7" s="65">
        <f>Calcul!AZ5</f>
        <v>14445.6</v>
      </c>
      <c r="Q7" s="66" t="str">
        <f t="shared" si="3"/>
        <v/>
      </c>
      <c r="R7" s="67">
        <f>IF(H7&gt;=Budget!$B$29,1,0)</f>
        <v>0</v>
      </c>
      <c r="S7" s="67">
        <f>IF(J7&gt;=Budget!$B$32,1,0)</f>
        <v>0</v>
      </c>
      <c r="T7" s="67">
        <f t="shared" si="4"/>
        <v>0</v>
      </c>
      <c r="U7" s="4"/>
      <c r="V7" s="70" t="s">
        <v>188</v>
      </c>
      <c r="AA7" s="68">
        <f>Budget!$B$29</f>
        <v>4000</v>
      </c>
      <c r="AB7" s="68">
        <f>Budget!$B$32</f>
        <v>4000</v>
      </c>
    </row>
    <row r="8" spans="1:28" ht="15" customHeight="1" x14ac:dyDescent="0.25">
      <c r="A8" s="55">
        <v>4</v>
      </c>
      <c r="B8" s="56">
        <f>EDATE(Budget!$B$28,A8-1)</f>
        <v>46478</v>
      </c>
      <c r="C8" s="57">
        <f>Budget!$B$7</f>
        <v>2900</v>
      </c>
      <c r="D8" s="57">
        <f>Budget!$B$18+Budget!$B$25</f>
        <v>1725</v>
      </c>
      <c r="E8" s="57">
        <f>Calcul!AX6</f>
        <v>731.45</v>
      </c>
      <c r="F8" s="58">
        <f t="shared" si="0"/>
        <v>443.54999999999995</v>
      </c>
      <c r="G8" s="59">
        <f>IF(B8&lt;=Budget!$B$30,MAX(0,MIN(F8,Budget!$B$29-H7)),0)</f>
        <v>443.54999999999995</v>
      </c>
      <c r="H8" s="60">
        <f t="shared" si="5"/>
        <v>2274.1999999999998</v>
      </c>
      <c r="I8" s="61">
        <f>MAX(0,MIN(F8-G8,Budget!$B$32-J7))</f>
        <v>0</v>
      </c>
      <c r="J8" s="62">
        <f t="shared" si="6"/>
        <v>800</v>
      </c>
      <c r="K8" s="63">
        <f t="shared" si="1"/>
        <v>0</v>
      </c>
      <c r="L8" s="63">
        <f>K8*Budget!$B$36</f>
        <v>0</v>
      </c>
      <c r="M8" s="63">
        <f>MAX(0,L8-Calcul!AY6)</f>
        <v>0</v>
      </c>
      <c r="N8" s="63">
        <f t="shared" si="2"/>
        <v>0</v>
      </c>
      <c r="O8" s="64">
        <f t="shared" si="7"/>
        <v>0</v>
      </c>
      <c r="P8" s="65">
        <f>Calcul!AZ6</f>
        <v>13789.77</v>
      </c>
      <c r="Q8" s="66" t="str">
        <f t="shared" si="3"/>
        <v/>
      </c>
      <c r="R8" s="67">
        <f>IF(H8&gt;=Budget!$B$29,1,0)</f>
        <v>0</v>
      </c>
      <c r="S8" s="67">
        <f>IF(J8&gt;=Budget!$B$32,1,0)</f>
        <v>0</v>
      </c>
      <c r="T8" s="67">
        <f t="shared" si="4"/>
        <v>0</v>
      </c>
      <c r="U8" s="4"/>
      <c r="V8" s="71" t="s">
        <v>189</v>
      </c>
      <c r="AA8" s="68">
        <f>Budget!$B$29</f>
        <v>4000</v>
      </c>
      <c r="AB8" s="68">
        <f>Budget!$B$32</f>
        <v>4000</v>
      </c>
    </row>
    <row r="9" spans="1:28" ht="15" customHeight="1" x14ac:dyDescent="0.25">
      <c r="A9" s="55">
        <v>5</v>
      </c>
      <c r="B9" s="56">
        <f>EDATE(Budget!$B$28,A9-1)</f>
        <v>46508</v>
      </c>
      <c r="C9" s="57">
        <f>Budget!$B$7</f>
        <v>2900</v>
      </c>
      <c r="D9" s="57">
        <f>Budget!$B$18+Budget!$B$25</f>
        <v>1725</v>
      </c>
      <c r="E9" s="57">
        <f>Calcul!AX7</f>
        <v>581.45000000000005</v>
      </c>
      <c r="F9" s="58">
        <f t="shared" si="0"/>
        <v>593.54999999999995</v>
      </c>
      <c r="G9" s="59">
        <f>IF(B9&lt;=Budget!$B$30,MAX(0,MIN(F9,Budget!$B$29-H8)),0)</f>
        <v>593.54999999999995</v>
      </c>
      <c r="H9" s="60">
        <f t="shared" si="5"/>
        <v>2867.75</v>
      </c>
      <c r="I9" s="61">
        <f>MAX(0,MIN(F9-G9,Budget!$B$32-J8))</f>
        <v>0</v>
      </c>
      <c r="J9" s="62">
        <f t="shared" si="6"/>
        <v>800</v>
      </c>
      <c r="K9" s="63">
        <f t="shared" si="1"/>
        <v>0</v>
      </c>
      <c r="L9" s="63">
        <f>K9*Budget!$B$36</f>
        <v>0</v>
      </c>
      <c r="M9" s="63">
        <f>MAX(0,L9-Calcul!AY7)</f>
        <v>0</v>
      </c>
      <c r="N9" s="63">
        <f t="shared" si="2"/>
        <v>0</v>
      </c>
      <c r="O9" s="64">
        <f t="shared" si="7"/>
        <v>0</v>
      </c>
      <c r="P9" s="65">
        <f>Calcul!AZ7</f>
        <v>13281.73</v>
      </c>
      <c r="Q9" s="66" t="str">
        <f t="shared" si="3"/>
        <v/>
      </c>
      <c r="R9" s="67">
        <f>IF(H9&gt;=Budget!$B$29,1,0)</f>
        <v>0</v>
      </c>
      <c r="S9" s="67">
        <f>IF(J9&gt;=Budget!$B$32,1,0)</f>
        <v>0</v>
      </c>
      <c r="T9" s="67">
        <f t="shared" si="4"/>
        <v>0</v>
      </c>
      <c r="U9" s="4"/>
      <c r="V9" s="72" t="s">
        <v>190</v>
      </c>
      <c r="AA9" s="68">
        <f>Budget!$B$29</f>
        <v>4000</v>
      </c>
      <c r="AB9" s="68">
        <f>Budget!$B$32</f>
        <v>4000</v>
      </c>
    </row>
    <row r="10" spans="1:28" ht="15" customHeight="1" x14ac:dyDescent="0.25">
      <c r="A10" s="55">
        <v>6</v>
      </c>
      <c r="B10" s="56">
        <f>EDATE(Budget!$B$28,A10-1)</f>
        <v>46539</v>
      </c>
      <c r="C10" s="57">
        <f>Budget!$B$7</f>
        <v>2900</v>
      </c>
      <c r="D10" s="57">
        <f>Budget!$B$18+Budget!$B$25</f>
        <v>1725</v>
      </c>
      <c r="E10" s="57">
        <f>Calcul!AX8</f>
        <v>531.45000000000005</v>
      </c>
      <c r="F10" s="58">
        <f t="shared" si="0"/>
        <v>643.54999999999995</v>
      </c>
      <c r="G10" s="59">
        <f>IF(B10&lt;=Budget!$B$30,MAX(0,MIN(F10,Budget!$B$29-H9)),0)</f>
        <v>643.54999999999995</v>
      </c>
      <c r="H10" s="60">
        <f t="shared" si="5"/>
        <v>3511.3</v>
      </c>
      <c r="I10" s="61">
        <f>MAX(0,MIN(F10-G10,Budget!$B$32-J9))</f>
        <v>0</v>
      </c>
      <c r="J10" s="62">
        <f t="shared" si="6"/>
        <v>800</v>
      </c>
      <c r="K10" s="63">
        <f t="shared" si="1"/>
        <v>0</v>
      </c>
      <c r="L10" s="63">
        <f>K10*Budget!$B$36</f>
        <v>0</v>
      </c>
      <c r="M10" s="63">
        <f>MAX(0,L10-Calcul!AY8)</f>
        <v>0</v>
      </c>
      <c r="N10" s="63">
        <f t="shared" si="2"/>
        <v>0</v>
      </c>
      <c r="O10" s="64">
        <f t="shared" si="7"/>
        <v>0</v>
      </c>
      <c r="P10" s="65">
        <f>Calcul!AZ8</f>
        <v>12821.45</v>
      </c>
      <c r="Q10" s="66" t="str">
        <f t="shared" si="3"/>
        <v/>
      </c>
      <c r="R10" s="67">
        <f>IF(H10&gt;=Budget!$B$29,1,0)</f>
        <v>0</v>
      </c>
      <c r="S10" s="67">
        <f>IF(J10&gt;=Budget!$B$32,1,0)</f>
        <v>0</v>
      </c>
      <c r="T10" s="67">
        <f t="shared" si="4"/>
        <v>0</v>
      </c>
      <c r="U10" s="4"/>
      <c r="V10" s="73" t="s">
        <v>178</v>
      </c>
      <c r="AA10" s="68">
        <f>Budget!$B$29</f>
        <v>4000</v>
      </c>
      <c r="AB10" s="68">
        <f>Budget!$B$32</f>
        <v>4000</v>
      </c>
    </row>
    <row r="11" spans="1:28" ht="15" customHeight="1" x14ac:dyDescent="0.25">
      <c r="A11" s="55">
        <v>7</v>
      </c>
      <c r="B11" s="56">
        <f>EDATE(Budget!$B$28,A11-1)</f>
        <v>46569</v>
      </c>
      <c r="C11" s="57">
        <f>Budget!$B$7</f>
        <v>2900</v>
      </c>
      <c r="D11" s="57">
        <f>Budget!$B$18+Budget!$B$25</f>
        <v>1725</v>
      </c>
      <c r="E11" s="57">
        <f>Calcul!AX9</f>
        <v>531.45000000000005</v>
      </c>
      <c r="F11" s="58">
        <f t="shared" si="0"/>
        <v>643.54999999999995</v>
      </c>
      <c r="G11" s="59">
        <f>IF(B11&lt;=Budget!$B$30,MAX(0,MIN(F11,Budget!$B$29-H10)),0)</f>
        <v>0</v>
      </c>
      <c r="H11" s="60">
        <f t="shared" si="5"/>
        <v>3511.3</v>
      </c>
      <c r="I11" s="61">
        <f>MAX(0,MIN(F11-G11,Budget!$B$32-J10))</f>
        <v>643.54999999999995</v>
      </c>
      <c r="J11" s="62">
        <f t="shared" si="6"/>
        <v>1443.55</v>
      </c>
      <c r="K11" s="63">
        <f t="shared" si="1"/>
        <v>0</v>
      </c>
      <c r="L11" s="63">
        <f>K11*Budget!$B$36</f>
        <v>0</v>
      </c>
      <c r="M11" s="63">
        <f>MAX(0,L11-Calcul!AY9)</f>
        <v>0</v>
      </c>
      <c r="N11" s="63">
        <f t="shared" si="2"/>
        <v>0</v>
      </c>
      <c r="O11" s="64">
        <f t="shared" si="7"/>
        <v>0</v>
      </c>
      <c r="P11" s="65">
        <f>Calcul!AZ9</f>
        <v>12358.929999999998</v>
      </c>
      <c r="Q11" s="66" t="str">
        <f t="shared" si="3"/>
        <v/>
      </c>
      <c r="R11" s="67">
        <f>IF(H11&gt;=Budget!$B$29,1,0)</f>
        <v>0</v>
      </c>
      <c r="S11" s="67">
        <f>IF(J11&gt;=Budget!$B$32,1,0)</f>
        <v>0</v>
      </c>
      <c r="T11" s="67">
        <f t="shared" si="4"/>
        <v>0</v>
      </c>
      <c r="U11" s="4"/>
      <c r="V11" s="54"/>
      <c r="AA11" s="68">
        <f>Budget!$B$29</f>
        <v>4000</v>
      </c>
      <c r="AB11" s="68">
        <f>Budget!$B$32</f>
        <v>4000</v>
      </c>
    </row>
    <row r="12" spans="1:28" ht="15" customHeight="1" x14ac:dyDescent="0.25">
      <c r="A12" s="55">
        <v>8</v>
      </c>
      <c r="B12" s="56">
        <f>EDATE(Budget!$B$28,A12-1)</f>
        <v>46600</v>
      </c>
      <c r="C12" s="57">
        <f>Budget!$B$7</f>
        <v>2900</v>
      </c>
      <c r="D12" s="57">
        <f>Budget!$B$18+Budget!$B$25</f>
        <v>1725</v>
      </c>
      <c r="E12" s="57">
        <f>Calcul!AX10</f>
        <v>531.45000000000005</v>
      </c>
      <c r="F12" s="58">
        <f t="shared" si="0"/>
        <v>643.54999999999995</v>
      </c>
      <c r="G12" s="59">
        <f>IF(B12&lt;=Budget!$B$30,MAX(0,MIN(F12,Budget!$B$29-H11)),0)</f>
        <v>0</v>
      </c>
      <c r="H12" s="60">
        <f t="shared" si="5"/>
        <v>3511.3</v>
      </c>
      <c r="I12" s="61">
        <f>MAX(0,MIN(F12-G12,Budget!$B$32-J11))</f>
        <v>643.54999999999995</v>
      </c>
      <c r="J12" s="62">
        <f t="shared" si="6"/>
        <v>2087.1</v>
      </c>
      <c r="K12" s="63">
        <f t="shared" si="1"/>
        <v>0</v>
      </c>
      <c r="L12" s="63">
        <f>K12*Budget!$B$36</f>
        <v>0</v>
      </c>
      <c r="M12" s="63">
        <f>MAX(0,L12-Calcul!AY10)</f>
        <v>0</v>
      </c>
      <c r="N12" s="63">
        <f t="shared" si="2"/>
        <v>0</v>
      </c>
      <c r="O12" s="64">
        <f t="shared" si="7"/>
        <v>0</v>
      </c>
      <c r="P12" s="65">
        <f>Calcul!AZ10</f>
        <v>11894.15</v>
      </c>
      <c r="Q12" s="66" t="str">
        <f t="shared" si="3"/>
        <v/>
      </c>
      <c r="R12" s="67">
        <f>IF(H12&gt;=Budget!$B$29,1,0)</f>
        <v>0</v>
      </c>
      <c r="S12" s="67">
        <f>IF(J12&gt;=Budget!$B$32,1,0)</f>
        <v>0</v>
      </c>
      <c r="T12" s="67">
        <f t="shared" si="4"/>
        <v>0</v>
      </c>
      <c r="U12" s="4"/>
      <c r="V12" s="84" t="s">
        <v>207</v>
      </c>
      <c r="AA12" s="68">
        <f>Budget!$B$29</f>
        <v>4000</v>
      </c>
      <c r="AB12" s="68">
        <f>Budget!$B$32</f>
        <v>4000</v>
      </c>
    </row>
    <row r="13" spans="1:28" ht="15" customHeight="1" x14ac:dyDescent="0.25">
      <c r="A13" s="55">
        <v>9</v>
      </c>
      <c r="B13" s="56">
        <f>EDATE(Budget!$B$28,A13-1)</f>
        <v>46631</v>
      </c>
      <c r="C13" s="57">
        <f>Budget!$B$7</f>
        <v>2900</v>
      </c>
      <c r="D13" s="57">
        <f>Budget!$B$18+Budget!$B$25</f>
        <v>1725</v>
      </c>
      <c r="E13" s="57">
        <f>Calcul!AX11</f>
        <v>531.45000000000005</v>
      </c>
      <c r="F13" s="58">
        <f t="shared" si="0"/>
        <v>643.54999999999995</v>
      </c>
      <c r="G13" s="59">
        <f>IF(B13&lt;=Budget!$B$30,MAX(0,MIN(F13,Budget!$B$29-H12)),0)</f>
        <v>0</v>
      </c>
      <c r="H13" s="60">
        <f t="shared" si="5"/>
        <v>3511.3</v>
      </c>
      <c r="I13" s="61">
        <f>MAX(0,MIN(F13-G13,Budget!$B$32-J12))</f>
        <v>643.54999999999995</v>
      </c>
      <c r="J13" s="62">
        <f t="shared" si="6"/>
        <v>2730.6499999999996</v>
      </c>
      <c r="K13" s="63">
        <f t="shared" si="1"/>
        <v>0</v>
      </c>
      <c r="L13" s="63">
        <f>K13*Budget!$B$36</f>
        <v>0</v>
      </c>
      <c r="M13" s="63">
        <f>MAX(0,L13-Calcul!AY11)</f>
        <v>0</v>
      </c>
      <c r="N13" s="63">
        <f t="shared" si="2"/>
        <v>0</v>
      </c>
      <c r="O13" s="64">
        <f t="shared" si="7"/>
        <v>0</v>
      </c>
      <c r="P13" s="65">
        <f>Calcul!AZ11</f>
        <v>11427.09</v>
      </c>
      <c r="Q13" s="66" t="str">
        <f t="shared" si="3"/>
        <v/>
      </c>
      <c r="R13" s="67">
        <f>IF(H13&gt;=Budget!$B$29,1,0)</f>
        <v>0</v>
      </c>
      <c r="S13" s="67">
        <f>IF(J13&gt;=Budget!$B$32,1,0)</f>
        <v>0</v>
      </c>
      <c r="T13" s="67">
        <f t="shared" si="4"/>
        <v>0</v>
      </c>
      <c r="U13" s="4"/>
      <c r="V13" s="85" t="s">
        <v>208</v>
      </c>
      <c r="AA13" s="68">
        <f>Budget!$B$29</f>
        <v>4000</v>
      </c>
      <c r="AB13" s="68">
        <f>Budget!$B$32</f>
        <v>4000</v>
      </c>
    </row>
    <row r="14" spans="1:28" ht="15" customHeight="1" x14ac:dyDescent="0.25">
      <c r="A14" s="55">
        <v>10</v>
      </c>
      <c r="B14" s="56">
        <f>EDATE(Budget!$B$28,A14-1)</f>
        <v>46661</v>
      </c>
      <c r="C14" s="57">
        <f>Budget!$B$7</f>
        <v>2900</v>
      </c>
      <c r="D14" s="57">
        <f>Budget!$B$18+Budget!$B$25</f>
        <v>1725</v>
      </c>
      <c r="E14" s="57">
        <f>Calcul!AX12</f>
        <v>531.45000000000005</v>
      </c>
      <c r="F14" s="58">
        <f t="shared" si="0"/>
        <v>643.54999999999995</v>
      </c>
      <c r="G14" s="59">
        <f>IF(B14&lt;=Budget!$B$30,MAX(0,MIN(F14,Budget!$B$29-H13)),0)</f>
        <v>0</v>
      </c>
      <c r="H14" s="60">
        <f t="shared" si="5"/>
        <v>3511.3</v>
      </c>
      <c r="I14" s="61">
        <f>MAX(0,MIN(F14-G14,Budget!$B$32-J13))</f>
        <v>643.54999999999995</v>
      </c>
      <c r="J14" s="62">
        <f t="shared" si="6"/>
        <v>3374.2</v>
      </c>
      <c r="K14" s="63">
        <f t="shared" si="1"/>
        <v>0</v>
      </c>
      <c r="L14" s="63">
        <f>K14*Budget!$B$36</f>
        <v>0</v>
      </c>
      <c r="M14" s="63">
        <f>MAX(0,L14-Calcul!AY12)</f>
        <v>0</v>
      </c>
      <c r="N14" s="63">
        <f t="shared" si="2"/>
        <v>0</v>
      </c>
      <c r="O14" s="64">
        <f t="shared" si="7"/>
        <v>0</v>
      </c>
      <c r="P14" s="65">
        <f>Calcul!AZ12</f>
        <v>10957.72</v>
      </c>
      <c r="Q14" s="66" t="str">
        <f t="shared" si="3"/>
        <v/>
      </c>
      <c r="R14" s="67">
        <f>IF(H14&gt;=Budget!$B$29,1,0)</f>
        <v>0</v>
      </c>
      <c r="S14" s="67">
        <f>IF(J14&gt;=Budget!$B$32,1,0)</f>
        <v>0</v>
      </c>
      <c r="T14" s="67">
        <f t="shared" si="4"/>
        <v>0</v>
      </c>
      <c r="U14" s="4"/>
      <c r="V14" s="54" t="s">
        <v>209</v>
      </c>
      <c r="AA14" s="68">
        <f>Budget!$B$29</f>
        <v>4000</v>
      </c>
      <c r="AB14" s="68">
        <f>Budget!$B$32</f>
        <v>4000</v>
      </c>
    </row>
    <row r="15" spans="1:28" ht="15" customHeight="1" x14ac:dyDescent="0.25">
      <c r="A15" s="55">
        <v>11</v>
      </c>
      <c r="B15" s="56">
        <f>EDATE(Budget!$B$28,A15-1)</f>
        <v>46692</v>
      </c>
      <c r="C15" s="57">
        <f>Budget!$B$7</f>
        <v>2900</v>
      </c>
      <c r="D15" s="57">
        <f>Budget!$B$18+Budget!$B$25</f>
        <v>1725</v>
      </c>
      <c r="E15" s="57">
        <f>Calcul!AX13</f>
        <v>531.45000000000005</v>
      </c>
      <c r="F15" s="58">
        <f t="shared" si="0"/>
        <v>643.54999999999995</v>
      </c>
      <c r="G15" s="59">
        <f>IF(B15&lt;=Budget!$B$30,MAX(0,MIN(F15,Budget!$B$29-H14)),0)</f>
        <v>0</v>
      </c>
      <c r="H15" s="60">
        <f t="shared" si="5"/>
        <v>3511.3</v>
      </c>
      <c r="I15" s="61">
        <f>MAX(0,MIN(F15-G15,Budget!$B$32-J14))</f>
        <v>625.80000000000018</v>
      </c>
      <c r="J15" s="62">
        <f t="shared" si="6"/>
        <v>4000</v>
      </c>
      <c r="K15" s="63">
        <f t="shared" si="1"/>
        <v>17.749999999999773</v>
      </c>
      <c r="L15" s="63">
        <f>K15*Budget!$B$36</f>
        <v>10.649999999999864</v>
      </c>
      <c r="M15" s="63">
        <f>MAX(0,L15-Calcul!AY13)</f>
        <v>0</v>
      </c>
      <c r="N15" s="63">
        <f t="shared" si="2"/>
        <v>7.0999999999999091</v>
      </c>
      <c r="O15" s="64">
        <f t="shared" si="7"/>
        <v>7.0999999999999091</v>
      </c>
      <c r="P15" s="65">
        <f>Calcul!AZ13</f>
        <v>10475.39</v>
      </c>
      <c r="Q15" s="66" t="str">
        <f t="shared" si="3"/>
        <v/>
      </c>
      <c r="R15" s="67">
        <f>IF(H15&gt;=Budget!$B$29,1,0)</f>
        <v>0</v>
      </c>
      <c r="S15" s="67">
        <f>IF(J15&gt;=Budget!$B$32,1,0)</f>
        <v>1</v>
      </c>
      <c r="T15" s="67">
        <f t="shared" si="4"/>
        <v>0</v>
      </c>
      <c r="U15" s="4"/>
      <c r="V15" s="54" t="s">
        <v>210</v>
      </c>
      <c r="AA15" s="68">
        <f>Budget!$B$29</f>
        <v>4000</v>
      </c>
      <c r="AB15" s="68">
        <f>Budget!$B$32</f>
        <v>4000</v>
      </c>
    </row>
    <row r="16" spans="1:28" ht="15" customHeight="1" x14ac:dyDescent="0.25">
      <c r="A16" s="55">
        <v>12</v>
      </c>
      <c r="B16" s="56">
        <f>EDATE(Budget!$B$28,A16-1)</f>
        <v>46722</v>
      </c>
      <c r="C16" s="57">
        <f>Budget!$B$7</f>
        <v>2900</v>
      </c>
      <c r="D16" s="57">
        <f>Budget!$B$18+Budget!$B$25</f>
        <v>1725</v>
      </c>
      <c r="E16" s="57">
        <f>Calcul!AX14</f>
        <v>531.45000000000005</v>
      </c>
      <c r="F16" s="58">
        <f t="shared" si="0"/>
        <v>643.54999999999995</v>
      </c>
      <c r="G16" s="59">
        <f>IF(B16&lt;=Budget!$B$30,MAX(0,MIN(F16,Budget!$B$29-H15)),0)</f>
        <v>0</v>
      </c>
      <c r="H16" s="60">
        <f t="shared" si="5"/>
        <v>3511.3</v>
      </c>
      <c r="I16" s="61">
        <f>MAX(0,MIN(F16-G16,Budget!$B$32-J15))</f>
        <v>0</v>
      </c>
      <c r="J16" s="62">
        <f t="shared" si="6"/>
        <v>4000</v>
      </c>
      <c r="K16" s="63">
        <f t="shared" si="1"/>
        <v>643.54999999999995</v>
      </c>
      <c r="L16" s="63">
        <f>K16*Budget!$B$36</f>
        <v>386.12999999999994</v>
      </c>
      <c r="M16" s="63">
        <f>MAX(0,L16-Calcul!AY14)</f>
        <v>0</v>
      </c>
      <c r="N16" s="63">
        <f t="shared" si="2"/>
        <v>257.42</v>
      </c>
      <c r="O16" s="64">
        <f t="shared" si="7"/>
        <v>264.51999999999992</v>
      </c>
      <c r="P16" s="65">
        <f>Calcul!AZ14</f>
        <v>9615.07</v>
      </c>
      <c r="Q16" s="66" t="str">
        <f t="shared" si="3"/>
        <v/>
      </c>
      <c r="R16" s="67">
        <f>IF(H16&gt;=Budget!$B$29,1,0)</f>
        <v>0</v>
      </c>
      <c r="S16" s="67">
        <f>IF(J16&gt;=Budget!$B$32,1,0)</f>
        <v>1</v>
      </c>
      <c r="T16" s="67">
        <f t="shared" si="4"/>
        <v>0</v>
      </c>
      <c r="U16" s="4"/>
      <c r="V16" s="54" t="s">
        <v>211</v>
      </c>
      <c r="AA16" s="68">
        <f>Budget!$B$29</f>
        <v>4000</v>
      </c>
      <c r="AB16" s="68">
        <f>Budget!$B$32</f>
        <v>4000</v>
      </c>
    </row>
    <row r="17" spans="1:28" ht="15" customHeight="1" x14ac:dyDescent="0.25">
      <c r="A17" s="55">
        <v>13</v>
      </c>
      <c r="B17" s="56">
        <f>EDATE(Budget!$B$28,A17-1)</f>
        <v>46753</v>
      </c>
      <c r="C17" s="57">
        <f>Budget!$B$7</f>
        <v>2900</v>
      </c>
      <c r="D17" s="57">
        <f>Budget!$B$18+Budget!$B$25</f>
        <v>1725</v>
      </c>
      <c r="E17" s="57">
        <f>Calcul!AX15</f>
        <v>531.45000000000005</v>
      </c>
      <c r="F17" s="58">
        <f t="shared" si="0"/>
        <v>643.54999999999995</v>
      </c>
      <c r="G17" s="59">
        <f>IF(B17&lt;=Budget!$B$30,MAX(0,MIN(F17,Budget!$B$29-H16)),0)</f>
        <v>0</v>
      </c>
      <c r="H17" s="60">
        <f t="shared" si="5"/>
        <v>3511.3</v>
      </c>
      <c r="I17" s="61">
        <f>MAX(0,MIN(F17-G17,Budget!$B$32-J16))</f>
        <v>0</v>
      </c>
      <c r="J17" s="62">
        <f t="shared" si="6"/>
        <v>4000</v>
      </c>
      <c r="K17" s="63">
        <f t="shared" si="1"/>
        <v>643.54999999999995</v>
      </c>
      <c r="L17" s="63">
        <f>K17*Budget!$B$36</f>
        <v>386.12999999999994</v>
      </c>
      <c r="M17" s="63">
        <f>MAX(0,L17-Calcul!AY15)</f>
        <v>0</v>
      </c>
      <c r="N17" s="63">
        <f t="shared" si="2"/>
        <v>257.42</v>
      </c>
      <c r="O17" s="64">
        <f t="shared" si="7"/>
        <v>521.93999999999994</v>
      </c>
      <c r="P17" s="65">
        <f>Calcul!AZ15</f>
        <v>8746.31</v>
      </c>
      <c r="Q17" s="66" t="str">
        <f t="shared" si="3"/>
        <v/>
      </c>
      <c r="R17" s="67">
        <f>IF(H17&gt;=Budget!$B$29,1,0)</f>
        <v>0</v>
      </c>
      <c r="S17" s="67">
        <f>IF(J17&gt;=Budget!$B$32,1,0)</f>
        <v>1</v>
      </c>
      <c r="T17" s="67">
        <f t="shared" si="4"/>
        <v>0</v>
      </c>
      <c r="U17" s="4"/>
      <c r="V17" s="4"/>
      <c r="AA17" s="68">
        <f>Budget!$B$29</f>
        <v>4000</v>
      </c>
      <c r="AB17" s="68">
        <f>Budget!$B$32</f>
        <v>4000</v>
      </c>
    </row>
    <row r="18" spans="1:28" ht="15" customHeight="1" x14ac:dyDescent="0.25">
      <c r="A18" s="55">
        <v>14</v>
      </c>
      <c r="B18" s="56">
        <f>EDATE(Budget!$B$28,A18-1)</f>
        <v>46784</v>
      </c>
      <c r="C18" s="57">
        <f>Budget!$B$7</f>
        <v>2900</v>
      </c>
      <c r="D18" s="57">
        <f>Budget!$B$18+Budget!$B$25</f>
        <v>1725</v>
      </c>
      <c r="E18" s="57">
        <f>Calcul!AX16</f>
        <v>531.45000000000005</v>
      </c>
      <c r="F18" s="58">
        <f t="shared" si="0"/>
        <v>643.54999999999995</v>
      </c>
      <c r="G18" s="59">
        <f>IF(B18&lt;=Budget!$B$30,MAX(0,MIN(F18,Budget!$B$29-H17)),0)</f>
        <v>0</v>
      </c>
      <c r="H18" s="60">
        <f t="shared" si="5"/>
        <v>3511.3</v>
      </c>
      <c r="I18" s="61">
        <f>MAX(0,MIN(F18-G18,Budget!$B$32-J17))</f>
        <v>0</v>
      </c>
      <c r="J18" s="62">
        <f t="shared" si="6"/>
        <v>4000</v>
      </c>
      <c r="K18" s="63">
        <f t="shared" si="1"/>
        <v>643.54999999999995</v>
      </c>
      <c r="L18" s="63">
        <f>K18*Budget!$B$36</f>
        <v>386.12999999999994</v>
      </c>
      <c r="M18" s="63">
        <f>MAX(0,L18-Calcul!AY16)</f>
        <v>0</v>
      </c>
      <c r="N18" s="63">
        <f t="shared" si="2"/>
        <v>257.42</v>
      </c>
      <c r="O18" s="64">
        <f t="shared" si="7"/>
        <v>779.3599999999999</v>
      </c>
      <c r="P18" s="65">
        <f>Calcul!AZ16</f>
        <v>7869</v>
      </c>
      <c r="Q18" s="66" t="str">
        <f t="shared" si="3"/>
        <v/>
      </c>
      <c r="R18" s="67">
        <f>IF(H18&gt;=Budget!$B$29,1,0)</f>
        <v>0</v>
      </c>
      <c r="S18" s="67">
        <f>IF(J18&gt;=Budget!$B$32,1,0)</f>
        <v>1</v>
      </c>
      <c r="T18" s="67">
        <f t="shared" si="4"/>
        <v>0</v>
      </c>
      <c r="U18" s="4"/>
      <c r="V18" s="4"/>
      <c r="AA18" s="68">
        <f>Budget!$B$29</f>
        <v>4000</v>
      </c>
      <c r="AB18" s="68">
        <f>Budget!$B$32</f>
        <v>4000</v>
      </c>
    </row>
    <row r="19" spans="1:28" ht="15" customHeight="1" x14ac:dyDescent="0.25">
      <c r="A19" s="55">
        <v>15</v>
      </c>
      <c r="B19" s="56">
        <f>EDATE(Budget!$B$28,A19-1)</f>
        <v>46813</v>
      </c>
      <c r="C19" s="57">
        <f>Budget!$B$7</f>
        <v>2900</v>
      </c>
      <c r="D19" s="57">
        <f>Budget!$B$18+Budget!$B$25</f>
        <v>1725</v>
      </c>
      <c r="E19" s="57">
        <f>Calcul!AX17</f>
        <v>459.05</v>
      </c>
      <c r="F19" s="58">
        <f t="shared" si="0"/>
        <v>715.95</v>
      </c>
      <c r="G19" s="59">
        <f>IF(B19&lt;=Budget!$B$30,MAX(0,MIN(F19,Budget!$B$29-H18)),0)</f>
        <v>0</v>
      </c>
      <c r="H19" s="60">
        <f t="shared" si="5"/>
        <v>3511.3</v>
      </c>
      <c r="I19" s="61">
        <f>MAX(0,MIN(F19-G19,Budget!$B$32-J18))</f>
        <v>0</v>
      </c>
      <c r="J19" s="62">
        <f t="shared" si="6"/>
        <v>4000</v>
      </c>
      <c r="K19" s="63">
        <f t="shared" si="1"/>
        <v>715.95</v>
      </c>
      <c r="L19" s="63">
        <f>K19*Budget!$B$36</f>
        <v>429.57</v>
      </c>
      <c r="M19" s="63">
        <f>MAX(0,L19-Calcul!AY17)</f>
        <v>0</v>
      </c>
      <c r="N19" s="63">
        <f t="shared" si="2"/>
        <v>286.38000000000005</v>
      </c>
      <c r="O19" s="64">
        <f t="shared" si="7"/>
        <v>1065.74</v>
      </c>
      <c r="P19" s="65">
        <f>Calcul!AZ17</f>
        <v>7012.08</v>
      </c>
      <c r="Q19" s="66" t="str">
        <f t="shared" si="3"/>
        <v/>
      </c>
      <c r="R19" s="67">
        <f>IF(H19&gt;=Budget!$B$29,1,0)</f>
        <v>0</v>
      </c>
      <c r="S19" s="67">
        <f>IF(J19&gt;=Budget!$B$32,1,0)</f>
        <v>1</v>
      </c>
      <c r="T19" s="67">
        <f t="shared" si="4"/>
        <v>0</v>
      </c>
      <c r="U19" s="4"/>
      <c r="V19" s="4"/>
      <c r="AA19" s="68">
        <f>Budget!$B$29</f>
        <v>4000</v>
      </c>
      <c r="AB19" s="68">
        <f>Budget!$B$32</f>
        <v>4000</v>
      </c>
    </row>
    <row r="20" spans="1:28" ht="15" customHeight="1" x14ac:dyDescent="0.25">
      <c r="A20" s="55">
        <v>16</v>
      </c>
      <c r="B20" s="56">
        <f>EDATE(Budget!$B$28,A20-1)</f>
        <v>46844</v>
      </c>
      <c r="C20" s="57">
        <f>Budget!$B$7</f>
        <v>2900</v>
      </c>
      <c r="D20" s="57">
        <f>Budget!$B$18+Budget!$B$25</f>
        <v>1725</v>
      </c>
      <c r="E20" s="57">
        <f>Calcul!AX18</f>
        <v>459.05</v>
      </c>
      <c r="F20" s="58">
        <f t="shared" si="0"/>
        <v>715.95</v>
      </c>
      <c r="G20" s="59">
        <f>IF(B20&lt;=Budget!$B$30,MAX(0,MIN(F20,Budget!$B$29-H19)),0)</f>
        <v>0</v>
      </c>
      <c r="H20" s="60">
        <f t="shared" si="5"/>
        <v>3511.3</v>
      </c>
      <c r="I20" s="61">
        <f>MAX(0,MIN(F20-G20,Budget!$B$32-J19))</f>
        <v>0</v>
      </c>
      <c r="J20" s="62">
        <f t="shared" si="6"/>
        <v>4000</v>
      </c>
      <c r="K20" s="63">
        <f t="shared" si="1"/>
        <v>715.95</v>
      </c>
      <c r="L20" s="63">
        <f>K20*Budget!$B$36</f>
        <v>429.57</v>
      </c>
      <c r="M20" s="63">
        <f>MAX(0,L20-Calcul!AY18)</f>
        <v>0</v>
      </c>
      <c r="N20" s="63">
        <f t="shared" si="2"/>
        <v>286.38000000000005</v>
      </c>
      <c r="O20" s="64">
        <f t="shared" si="7"/>
        <v>1352.1200000000001</v>
      </c>
      <c r="P20" s="65">
        <f>Calcul!AZ18</f>
        <v>6151.3899999999994</v>
      </c>
      <c r="Q20" s="66" t="str">
        <f t="shared" si="3"/>
        <v/>
      </c>
      <c r="R20" s="67">
        <f>IF(H20&gt;=Budget!$B$29,1,0)</f>
        <v>0</v>
      </c>
      <c r="S20" s="67">
        <f>IF(J20&gt;=Budget!$B$32,1,0)</f>
        <v>1</v>
      </c>
      <c r="T20" s="67">
        <f t="shared" si="4"/>
        <v>0</v>
      </c>
      <c r="U20" s="4"/>
      <c r="V20" s="4"/>
      <c r="AA20" s="68">
        <f>Budget!$B$29</f>
        <v>4000</v>
      </c>
      <c r="AB20" s="68">
        <f>Budget!$B$32</f>
        <v>4000</v>
      </c>
    </row>
    <row r="21" spans="1:28" ht="15" customHeight="1" x14ac:dyDescent="0.25">
      <c r="A21" s="55">
        <v>17</v>
      </c>
      <c r="B21" s="56">
        <f>EDATE(Budget!$B$28,A21-1)</f>
        <v>46874</v>
      </c>
      <c r="C21" s="57">
        <f>Budget!$B$7</f>
        <v>2900</v>
      </c>
      <c r="D21" s="57">
        <f>Budget!$B$18+Budget!$B$25</f>
        <v>1725</v>
      </c>
      <c r="E21" s="57">
        <f>Calcul!AX19</f>
        <v>459.05</v>
      </c>
      <c r="F21" s="58">
        <f t="shared" si="0"/>
        <v>715.95</v>
      </c>
      <c r="G21" s="59">
        <f>IF(B21&lt;=Budget!$B$30,MAX(0,MIN(F21,Budget!$B$29-H20)),0)</f>
        <v>0</v>
      </c>
      <c r="H21" s="60">
        <f t="shared" si="5"/>
        <v>3511.3</v>
      </c>
      <c r="I21" s="61">
        <f>MAX(0,MIN(F21-G21,Budget!$B$32-J20))</f>
        <v>0</v>
      </c>
      <c r="J21" s="62">
        <f t="shared" si="6"/>
        <v>4000</v>
      </c>
      <c r="K21" s="63">
        <f t="shared" si="1"/>
        <v>715.95</v>
      </c>
      <c r="L21" s="63">
        <f>K21*Budget!$B$36</f>
        <v>429.57</v>
      </c>
      <c r="M21" s="63">
        <f>MAX(0,L21-Calcul!AY19)</f>
        <v>0</v>
      </c>
      <c r="N21" s="63">
        <f t="shared" si="2"/>
        <v>286.38000000000005</v>
      </c>
      <c r="O21" s="64">
        <f t="shared" si="7"/>
        <v>1638.5000000000002</v>
      </c>
      <c r="P21" s="65">
        <f>Calcul!AZ19</f>
        <v>5286.9</v>
      </c>
      <c r="Q21" s="66" t="str">
        <f t="shared" si="3"/>
        <v/>
      </c>
      <c r="R21" s="67">
        <f>IF(H21&gt;=Budget!$B$29,1,0)</f>
        <v>0</v>
      </c>
      <c r="S21" s="67">
        <f>IF(J21&gt;=Budget!$B$32,1,0)</f>
        <v>1</v>
      </c>
      <c r="T21" s="67">
        <f t="shared" si="4"/>
        <v>0</v>
      </c>
      <c r="U21" s="4"/>
      <c r="V21" s="4"/>
      <c r="AA21" s="68">
        <f>Budget!$B$29</f>
        <v>4000</v>
      </c>
      <c r="AB21" s="68">
        <f>Budget!$B$32</f>
        <v>4000</v>
      </c>
    </row>
    <row r="22" spans="1:28" ht="15" customHeight="1" x14ac:dyDescent="0.25">
      <c r="A22" s="55">
        <v>18</v>
      </c>
      <c r="B22" s="56">
        <f>EDATE(Budget!$B$28,A22-1)</f>
        <v>46905</v>
      </c>
      <c r="C22" s="57">
        <f>Budget!$B$7</f>
        <v>2900</v>
      </c>
      <c r="D22" s="57">
        <f>Budget!$B$18+Budget!$B$25</f>
        <v>1725</v>
      </c>
      <c r="E22" s="57">
        <f>Calcul!AX20</f>
        <v>459.05</v>
      </c>
      <c r="F22" s="58">
        <f t="shared" si="0"/>
        <v>715.95</v>
      </c>
      <c r="G22" s="59">
        <f>IF(B22&lt;=Budget!$B$30,MAX(0,MIN(F22,Budget!$B$29-H21)),0)</f>
        <v>0</v>
      </c>
      <c r="H22" s="60">
        <f t="shared" si="5"/>
        <v>3511.3</v>
      </c>
      <c r="I22" s="61">
        <f>MAX(0,MIN(F22-G22,Budget!$B$32-J21))</f>
        <v>0</v>
      </c>
      <c r="J22" s="62">
        <f t="shared" si="6"/>
        <v>4000</v>
      </c>
      <c r="K22" s="63">
        <f t="shared" si="1"/>
        <v>715.95</v>
      </c>
      <c r="L22" s="63">
        <f>K22*Budget!$B$36</f>
        <v>429.57</v>
      </c>
      <c r="M22" s="63">
        <f>MAX(0,L22-Calcul!AY20)</f>
        <v>0</v>
      </c>
      <c r="N22" s="63">
        <f t="shared" si="2"/>
        <v>286.38000000000005</v>
      </c>
      <c r="O22" s="64">
        <f t="shared" si="7"/>
        <v>1924.8800000000003</v>
      </c>
      <c r="P22" s="65">
        <f>Calcul!AZ20</f>
        <v>4418.62</v>
      </c>
      <c r="Q22" s="66" t="str">
        <f t="shared" si="3"/>
        <v/>
      </c>
      <c r="R22" s="67">
        <f>IF(H22&gt;=Budget!$B$29,1,0)</f>
        <v>0</v>
      </c>
      <c r="S22" s="67">
        <f>IF(J22&gt;=Budget!$B$32,1,0)</f>
        <v>1</v>
      </c>
      <c r="T22" s="67">
        <f t="shared" si="4"/>
        <v>0</v>
      </c>
      <c r="U22" s="4"/>
      <c r="V22" s="4"/>
      <c r="AA22" s="68">
        <f>Budget!$B$29</f>
        <v>4000</v>
      </c>
      <c r="AB22" s="68">
        <f>Budget!$B$32</f>
        <v>4000</v>
      </c>
    </row>
    <row r="23" spans="1:28" ht="15" customHeight="1" x14ac:dyDescent="0.25">
      <c r="A23" s="55">
        <v>19</v>
      </c>
      <c r="B23" s="56">
        <f>EDATE(Budget!$B$28,A23-1)</f>
        <v>46935</v>
      </c>
      <c r="C23" s="57">
        <f>Budget!$B$7</f>
        <v>2900</v>
      </c>
      <c r="D23" s="57">
        <f>Budget!$B$18+Budget!$B$25</f>
        <v>1725</v>
      </c>
      <c r="E23" s="57">
        <f>Calcul!AX21</f>
        <v>340.3</v>
      </c>
      <c r="F23" s="58">
        <f t="shared" si="0"/>
        <v>834.7</v>
      </c>
      <c r="G23" s="59">
        <f>IF(B23&lt;=Budget!$B$30,MAX(0,MIN(F23,Budget!$B$29-H22)),0)</f>
        <v>0</v>
      </c>
      <c r="H23" s="60">
        <f t="shared" si="5"/>
        <v>3511.3</v>
      </c>
      <c r="I23" s="61">
        <f>MAX(0,MIN(F23-G23,Budget!$B$32-J22))</f>
        <v>0</v>
      </c>
      <c r="J23" s="62">
        <f t="shared" si="6"/>
        <v>4000</v>
      </c>
      <c r="K23" s="63">
        <f t="shared" si="1"/>
        <v>834.7</v>
      </c>
      <c r="L23" s="63">
        <f>K23*Budget!$B$36</f>
        <v>500.82</v>
      </c>
      <c r="M23" s="63">
        <f>MAX(0,L23-Calcul!AY21)</f>
        <v>0</v>
      </c>
      <c r="N23" s="63">
        <f t="shared" si="2"/>
        <v>333.88000000000005</v>
      </c>
      <c r="O23" s="64">
        <f t="shared" si="7"/>
        <v>2258.7600000000002</v>
      </c>
      <c r="P23" s="65">
        <f>Calcul!AZ21</f>
        <v>3594.26</v>
      </c>
      <c r="Q23" s="66" t="str">
        <f t="shared" si="3"/>
        <v/>
      </c>
      <c r="R23" s="67">
        <f>IF(H23&gt;=Budget!$B$29,1,0)</f>
        <v>0</v>
      </c>
      <c r="S23" s="67">
        <f>IF(J23&gt;=Budget!$B$32,1,0)</f>
        <v>1</v>
      </c>
      <c r="T23" s="67">
        <f t="shared" si="4"/>
        <v>0</v>
      </c>
      <c r="U23" s="4"/>
      <c r="V23" s="4"/>
      <c r="AA23" s="68">
        <f>Budget!$B$29</f>
        <v>4000</v>
      </c>
      <c r="AB23" s="68">
        <f>Budget!$B$32</f>
        <v>4000</v>
      </c>
    </row>
    <row r="24" spans="1:28" ht="15" customHeight="1" x14ac:dyDescent="0.25">
      <c r="A24" s="55">
        <v>20</v>
      </c>
      <c r="B24" s="56">
        <f>EDATE(Budget!$B$28,A24-1)</f>
        <v>46966</v>
      </c>
      <c r="C24" s="57">
        <f>Budget!$B$7</f>
        <v>2900</v>
      </c>
      <c r="D24" s="57">
        <f>Budget!$B$18+Budget!$B$25</f>
        <v>1725</v>
      </c>
      <c r="E24" s="57">
        <f>Calcul!AX22</f>
        <v>340.3</v>
      </c>
      <c r="F24" s="58">
        <f t="shared" si="0"/>
        <v>834.7</v>
      </c>
      <c r="G24" s="59">
        <f>IF(B24&lt;=Budget!$B$30,MAX(0,MIN(F24,Budget!$B$29-H23)),0)</f>
        <v>0</v>
      </c>
      <c r="H24" s="60">
        <f t="shared" si="5"/>
        <v>3511.3</v>
      </c>
      <c r="I24" s="61">
        <f>MAX(0,MIN(F24-G24,Budget!$B$32-J23))</f>
        <v>0</v>
      </c>
      <c r="J24" s="62">
        <f t="shared" si="6"/>
        <v>4000</v>
      </c>
      <c r="K24" s="63">
        <f t="shared" si="1"/>
        <v>834.7</v>
      </c>
      <c r="L24" s="63">
        <f>K24*Budget!$B$36</f>
        <v>500.82</v>
      </c>
      <c r="M24" s="63">
        <f>MAX(0,L24-Calcul!AY22)</f>
        <v>0</v>
      </c>
      <c r="N24" s="63">
        <f t="shared" si="2"/>
        <v>333.88000000000005</v>
      </c>
      <c r="O24" s="64">
        <f t="shared" si="7"/>
        <v>2592.6400000000003</v>
      </c>
      <c r="P24" s="65">
        <f>Calcul!AZ22</f>
        <v>2766.83</v>
      </c>
      <c r="Q24" s="66" t="str">
        <f t="shared" si="3"/>
        <v/>
      </c>
      <c r="R24" s="67">
        <f>IF(H24&gt;=Budget!$B$29,1,0)</f>
        <v>0</v>
      </c>
      <c r="S24" s="67">
        <f>IF(J24&gt;=Budget!$B$32,1,0)</f>
        <v>1</v>
      </c>
      <c r="T24" s="67">
        <f t="shared" si="4"/>
        <v>0</v>
      </c>
      <c r="U24" s="4"/>
      <c r="V24" s="4"/>
      <c r="AA24" s="68">
        <f>Budget!$B$29</f>
        <v>4000</v>
      </c>
      <c r="AB24" s="68">
        <f>Budget!$B$32</f>
        <v>4000</v>
      </c>
    </row>
    <row r="25" spans="1:28" ht="15" customHeight="1" x14ac:dyDescent="0.25">
      <c r="A25" s="55">
        <v>21</v>
      </c>
      <c r="B25" s="56">
        <f>EDATE(Budget!$B$28,A25-1)</f>
        <v>46997</v>
      </c>
      <c r="C25" s="57">
        <f>Budget!$B$7</f>
        <v>2900</v>
      </c>
      <c r="D25" s="57">
        <f>Budget!$B$18+Budget!$B$25</f>
        <v>1725</v>
      </c>
      <c r="E25" s="57">
        <f>Calcul!AX23</f>
        <v>340.3</v>
      </c>
      <c r="F25" s="58">
        <f t="shared" si="0"/>
        <v>834.7</v>
      </c>
      <c r="G25" s="59">
        <f>IF(B25&lt;=Budget!$B$30,MAX(0,MIN(F25,Budget!$B$29-H24)),0)</f>
        <v>0</v>
      </c>
      <c r="H25" s="60">
        <f t="shared" si="5"/>
        <v>3511.3</v>
      </c>
      <c r="I25" s="61">
        <f>MAX(0,MIN(F25-G25,Budget!$B$32-J24))</f>
        <v>0</v>
      </c>
      <c r="J25" s="62">
        <f t="shared" si="6"/>
        <v>4000</v>
      </c>
      <c r="K25" s="63">
        <f t="shared" si="1"/>
        <v>834.7</v>
      </c>
      <c r="L25" s="63">
        <f>K25*Budget!$B$36</f>
        <v>500.82</v>
      </c>
      <c r="M25" s="63">
        <f>MAX(0,L25-Calcul!AY23)</f>
        <v>0</v>
      </c>
      <c r="N25" s="63">
        <f t="shared" si="2"/>
        <v>333.88000000000005</v>
      </c>
      <c r="O25" s="64">
        <f t="shared" si="7"/>
        <v>2926.5200000000004</v>
      </c>
      <c r="P25" s="65">
        <f>Calcul!AZ23</f>
        <v>1936.31</v>
      </c>
      <c r="Q25" s="66" t="str">
        <f t="shared" si="3"/>
        <v/>
      </c>
      <c r="R25" s="67">
        <f>IF(H25&gt;=Budget!$B$29,1,0)</f>
        <v>0</v>
      </c>
      <c r="S25" s="67">
        <f>IF(J25&gt;=Budget!$B$32,1,0)</f>
        <v>1</v>
      </c>
      <c r="T25" s="67">
        <f t="shared" si="4"/>
        <v>0</v>
      </c>
      <c r="U25" s="4"/>
      <c r="V25" s="4"/>
      <c r="AA25" s="68">
        <f>Budget!$B$29</f>
        <v>4000</v>
      </c>
      <c r="AB25" s="68">
        <f>Budget!$B$32</f>
        <v>4000</v>
      </c>
    </row>
    <row r="26" spans="1:28" ht="15" customHeight="1" x14ac:dyDescent="0.25">
      <c r="A26" s="55">
        <v>22</v>
      </c>
      <c r="B26" s="56">
        <f>EDATE(Budget!$B$28,A26-1)</f>
        <v>47027</v>
      </c>
      <c r="C26" s="57">
        <f>Budget!$B$7</f>
        <v>2900</v>
      </c>
      <c r="D26" s="57">
        <f>Budget!$B$18+Budget!$B$25</f>
        <v>1725</v>
      </c>
      <c r="E26" s="57">
        <f>Calcul!AX24</f>
        <v>340.3</v>
      </c>
      <c r="F26" s="58">
        <f t="shared" si="0"/>
        <v>834.7</v>
      </c>
      <c r="G26" s="59">
        <f>IF(B26&lt;=Budget!$B$30,MAX(0,MIN(F26,Budget!$B$29-H25)),0)</f>
        <v>0</v>
      </c>
      <c r="H26" s="60">
        <f t="shared" si="5"/>
        <v>3511.3</v>
      </c>
      <c r="I26" s="61">
        <f>MAX(0,MIN(F26-G26,Budget!$B$32-J25))</f>
        <v>0</v>
      </c>
      <c r="J26" s="62">
        <f t="shared" si="6"/>
        <v>4000</v>
      </c>
      <c r="K26" s="63">
        <f t="shared" si="1"/>
        <v>834.7</v>
      </c>
      <c r="L26" s="63">
        <f>K26*Budget!$B$36</f>
        <v>500.82</v>
      </c>
      <c r="M26" s="63">
        <f>MAX(0,L26-Calcul!AY24)</f>
        <v>0</v>
      </c>
      <c r="N26" s="63">
        <f t="shared" si="2"/>
        <v>333.88000000000005</v>
      </c>
      <c r="O26" s="64">
        <f t="shared" si="7"/>
        <v>3260.4000000000005</v>
      </c>
      <c r="P26" s="65">
        <f>Calcul!AZ24</f>
        <v>1102.6999999999998</v>
      </c>
      <c r="Q26" s="66" t="str">
        <f t="shared" si="3"/>
        <v/>
      </c>
      <c r="R26" s="67">
        <f>IF(H26&gt;=Budget!$B$29,1,0)</f>
        <v>0</v>
      </c>
      <c r="S26" s="67">
        <f>IF(J26&gt;=Budget!$B$32,1,0)</f>
        <v>1</v>
      </c>
      <c r="T26" s="67">
        <f t="shared" si="4"/>
        <v>0</v>
      </c>
      <c r="U26" s="4"/>
      <c r="V26" s="4"/>
      <c r="AA26" s="68">
        <f>Budget!$B$29</f>
        <v>4000</v>
      </c>
      <c r="AB26" s="68">
        <f>Budget!$B$32</f>
        <v>4000</v>
      </c>
    </row>
    <row r="27" spans="1:28" ht="15" customHeight="1" x14ac:dyDescent="0.25">
      <c r="A27" s="55">
        <v>23</v>
      </c>
      <c r="B27" s="56">
        <f>EDATE(Budget!$B$28,A27-1)</f>
        <v>47058</v>
      </c>
      <c r="C27" s="57">
        <f>Budget!$B$7</f>
        <v>2900</v>
      </c>
      <c r="D27" s="57">
        <f>Budget!$B$18+Budget!$B$25</f>
        <v>1725</v>
      </c>
      <c r="E27" s="57">
        <f>Calcul!AX25</f>
        <v>279.92459000000002</v>
      </c>
      <c r="F27" s="58">
        <f t="shared" si="0"/>
        <v>895.07540999999992</v>
      </c>
      <c r="G27" s="59">
        <f>IF(B27&lt;=Budget!$B$30,MAX(0,MIN(F27,Budget!$B$29-H26)),0)</f>
        <v>0</v>
      </c>
      <c r="H27" s="60">
        <f t="shared" si="5"/>
        <v>3511.3</v>
      </c>
      <c r="I27" s="61">
        <f>MAX(0,MIN(F27-G27,Budget!$B$32-J26))</f>
        <v>0</v>
      </c>
      <c r="J27" s="62">
        <f t="shared" si="6"/>
        <v>4000</v>
      </c>
      <c r="K27" s="63">
        <f t="shared" si="1"/>
        <v>895.07540999999992</v>
      </c>
      <c r="L27" s="63">
        <f>K27*Budget!$B$36</f>
        <v>537.04524599999991</v>
      </c>
      <c r="M27" s="63">
        <f>MAX(0,L27-Calcul!AY25)</f>
        <v>0</v>
      </c>
      <c r="N27" s="63">
        <f t="shared" si="2"/>
        <v>358.03016400000001</v>
      </c>
      <c r="O27" s="64">
        <f t="shared" si="7"/>
        <v>3618.4301640000003</v>
      </c>
      <c r="P27" s="65">
        <f>Calcul!AZ25</f>
        <v>290.12</v>
      </c>
      <c r="Q27" s="66" t="str">
        <f t="shared" si="3"/>
        <v/>
      </c>
      <c r="R27" s="67">
        <f>IF(H27&gt;=Budget!$B$29,1,0)</f>
        <v>0</v>
      </c>
      <c r="S27" s="67">
        <f>IF(J27&gt;=Budget!$B$32,1,0)</f>
        <v>1</v>
      </c>
      <c r="T27" s="67">
        <f t="shared" si="4"/>
        <v>0</v>
      </c>
      <c r="U27" s="4"/>
      <c r="V27" s="4"/>
      <c r="AA27" s="68">
        <f>Budget!$B$29</f>
        <v>4000</v>
      </c>
      <c r="AB27" s="68">
        <f>Budget!$B$32</f>
        <v>4000</v>
      </c>
    </row>
    <row r="28" spans="1:28" ht="15" customHeight="1" x14ac:dyDescent="0.25">
      <c r="A28" s="55">
        <v>24</v>
      </c>
      <c r="B28" s="56">
        <f>EDATE(Budget!$B$28,A28-1)</f>
        <v>47088</v>
      </c>
      <c r="C28" s="57">
        <f>Budget!$B$7</f>
        <v>2900</v>
      </c>
      <c r="D28" s="57">
        <f>Budget!$B$18+Budget!$B$25</f>
        <v>1725</v>
      </c>
      <c r="E28" s="57">
        <f>Calcul!AX26</f>
        <v>245.3</v>
      </c>
      <c r="F28" s="58">
        <f t="shared" si="0"/>
        <v>929.7</v>
      </c>
      <c r="G28" s="59">
        <f>IF(B28&lt;=Budget!$B$30,MAX(0,MIN(F28,Budget!$B$29-H27)),0)</f>
        <v>0</v>
      </c>
      <c r="H28" s="60">
        <f t="shared" si="5"/>
        <v>3511.3</v>
      </c>
      <c r="I28" s="61">
        <f>MAX(0,MIN(F28-G28,Budget!$B$32-J27))</f>
        <v>0</v>
      </c>
      <c r="J28" s="62">
        <f t="shared" si="6"/>
        <v>4000</v>
      </c>
      <c r="K28" s="63">
        <f t="shared" si="1"/>
        <v>929.7</v>
      </c>
      <c r="L28" s="63">
        <f>K28*Budget!$B$36</f>
        <v>557.82000000000005</v>
      </c>
      <c r="M28" s="63">
        <f>MAX(0,L28-Calcul!AY26)</f>
        <v>511.82000000000005</v>
      </c>
      <c r="N28" s="63">
        <f t="shared" si="2"/>
        <v>883.7</v>
      </c>
      <c r="O28" s="64">
        <f t="shared" si="7"/>
        <v>4502.1301640000001</v>
      </c>
      <c r="P28" s="65">
        <f>Calcul!AZ26</f>
        <v>0</v>
      </c>
      <c r="Q28" s="66" t="str">
        <f t="shared" si="3"/>
        <v/>
      </c>
      <c r="R28" s="67">
        <f>IF(H28&gt;=Budget!$B$29,1,0)</f>
        <v>0</v>
      </c>
      <c r="S28" s="67">
        <f>IF(J28&gt;=Budget!$B$32,1,0)</f>
        <v>1</v>
      </c>
      <c r="T28" s="67">
        <f t="shared" si="4"/>
        <v>1</v>
      </c>
      <c r="U28" s="4"/>
      <c r="V28" s="4"/>
      <c r="AA28" s="68">
        <f>Budget!$B$29</f>
        <v>4000</v>
      </c>
      <c r="AB28" s="68">
        <f>Budget!$B$32</f>
        <v>4000</v>
      </c>
    </row>
    <row r="29" spans="1:28" ht="15" customHeight="1" x14ac:dyDescent="0.25">
      <c r="A29" s="55">
        <v>25</v>
      </c>
      <c r="B29" s="56">
        <f>EDATE(Budget!$B$28,A29-1)</f>
        <v>47119</v>
      </c>
      <c r="C29" s="57">
        <f>Budget!$B$7</f>
        <v>2900</v>
      </c>
      <c r="D29" s="57">
        <f>Budget!$B$18+Budget!$B$25</f>
        <v>1725</v>
      </c>
      <c r="E29" s="57">
        <f>Calcul!AX27</f>
        <v>0</v>
      </c>
      <c r="F29" s="58">
        <f t="shared" si="0"/>
        <v>1175</v>
      </c>
      <c r="G29" s="59">
        <f>IF(B29&lt;=Budget!$B$30,MAX(0,MIN(F29,Budget!$B$29-H28)),0)</f>
        <v>0</v>
      </c>
      <c r="H29" s="60">
        <f t="shared" si="5"/>
        <v>3511.3</v>
      </c>
      <c r="I29" s="61">
        <f>MAX(0,MIN(F29-G29,Budget!$B$32-J28))</f>
        <v>0</v>
      </c>
      <c r="J29" s="62">
        <f t="shared" si="6"/>
        <v>4000</v>
      </c>
      <c r="K29" s="63">
        <f t="shared" si="1"/>
        <v>1175</v>
      </c>
      <c r="L29" s="63">
        <f>K29*Budget!$B$36</f>
        <v>705</v>
      </c>
      <c r="M29" s="63">
        <f>MAX(0,L29-Calcul!AY27)</f>
        <v>705</v>
      </c>
      <c r="N29" s="63">
        <f t="shared" si="2"/>
        <v>1175</v>
      </c>
      <c r="O29" s="64">
        <f t="shared" si="7"/>
        <v>5677.1301640000001</v>
      </c>
      <c r="P29" s="65">
        <f>Calcul!AZ27</f>
        <v>0</v>
      </c>
      <c r="Q29" s="66" t="str">
        <f t="shared" si="3"/>
        <v/>
      </c>
      <c r="R29" s="67">
        <f>IF(H29&gt;=Budget!$B$29,1,0)</f>
        <v>0</v>
      </c>
      <c r="S29" s="67">
        <f>IF(J29&gt;=Budget!$B$32,1,0)</f>
        <v>1</v>
      </c>
      <c r="T29" s="67">
        <f t="shared" si="4"/>
        <v>1</v>
      </c>
      <c r="U29" s="4"/>
      <c r="V29" s="4"/>
      <c r="AA29" s="68">
        <f>Budget!$B$29</f>
        <v>4000</v>
      </c>
      <c r="AB29" s="68">
        <f>Budget!$B$32</f>
        <v>4000</v>
      </c>
    </row>
    <row r="30" spans="1:28" ht="15" customHeight="1" x14ac:dyDescent="0.25">
      <c r="A30" s="55">
        <v>26</v>
      </c>
      <c r="B30" s="56">
        <f>EDATE(Budget!$B$28,A30-1)</f>
        <v>47150</v>
      </c>
      <c r="C30" s="57">
        <f>Budget!$B$7</f>
        <v>2900</v>
      </c>
      <c r="D30" s="57">
        <f>Budget!$B$18+Budget!$B$25</f>
        <v>1725</v>
      </c>
      <c r="E30" s="57">
        <f>Calcul!AX28</f>
        <v>0</v>
      </c>
      <c r="F30" s="58">
        <f t="shared" si="0"/>
        <v>1175</v>
      </c>
      <c r="G30" s="59">
        <f>IF(B30&lt;=Budget!$B$30,MAX(0,MIN(F30,Budget!$B$29-H29)),0)</f>
        <v>0</v>
      </c>
      <c r="H30" s="60">
        <f t="shared" si="5"/>
        <v>3511.3</v>
      </c>
      <c r="I30" s="61">
        <f>MAX(0,MIN(F30-G30,Budget!$B$32-J29))</f>
        <v>0</v>
      </c>
      <c r="J30" s="62">
        <f t="shared" si="6"/>
        <v>4000</v>
      </c>
      <c r="K30" s="63">
        <f t="shared" si="1"/>
        <v>1175</v>
      </c>
      <c r="L30" s="63">
        <f>K30*Budget!$B$36</f>
        <v>705</v>
      </c>
      <c r="M30" s="63">
        <f>MAX(0,L30-Calcul!AY28)</f>
        <v>705</v>
      </c>
      <c r="N30" s="63">
        <f t="shared" si="2"/>
        <v>1175</v>
      </c>
      <c r="O30" s="64">
        <f t="shared" si="7"/>
        <v>6852.1301640000001</v>
      </c>
      <c r="P30" s="65">
        <f>Calcul!AZ28</f>
        <v>0</v>
      </c>
      <c r="Q30" s="66" t="str">
        <f t="shared" si="3"/>
        <v/>
      </c>
      <c r="R30" s="67">
        <f>IF(H30&gt;=Budget!$B$29,1,0)</f>
        <v>0</v>
      </c>
      <c r="S30" s="67">
        <f>IF(J30&gt;=Budget!$B$32,1,0)</f>
        <v>1</v>
      </c>
      <c r="T30" s="67">
        <f t="shared" si="4"/>
        <v>1</v>
      </c>
      <c r="U30" s="4"/>
      <c r="V30" s="4"/>
      <c r="AA30" s="68">
        <f>Budget!$B$29</f>
        <v>4000</v>
      </c>
      <c r="AB30" s="68">
        <f>Budget!$B$32</f>
        <v>4000</v>
      </c>
    </row>
    <row r="31" spans="1:28" ht="15" customHeight="1" x14ac:dyDescent="0.25">
      <c r="A31" s="55">
        <v>27</v>
      </c>
      <c r="B31" s="56">
        <f>EDATE(Budget!$B$28,A31-1)</f>
        <v>47178</v>
      </c>
      <c r="C31" s="57">
        <f>Budget!$B$7</f>
        <v>2900</v>
      </c>
      <c r="D31" s="57">
        <f>Budget!$B$18+Budget!$B$25</f>
        <v>1725</v>
      </c>
      <c r="E31" s="57">
        <f>Calcul!AX29</f>
        <v>0</v>
      </c>
      <c r="F31" s="58">
        <f t="shared" si="0"/>
        <v>1175</v>
      </c>
      <c r="G31" s="59">
        <f>IF(B31&lt;=Budget!$B$30,MAX(0,MIN(F31,Budget!$B$29-H30)),0)</f>
        <v>0</v>
      </c>
      <c r="H31" s="60">
        <f t="shared" si="5"/>
        <v>3511.3</v>
      </c>
      <c r="I31" s="61">
        <f>MAX(0,MIN(F31-G31,Budget!$B$32-J30))</f>
        <v>0</v>
      </c>
      <c r="J31" s="62">
        <f t="shared" si="6"/>
        <v>4000</v>
      </c>
      <c r="K31" s="63">
        <f t="shared" si="1"/>
        <v>1175</v>
      </c>
      <c r="L31" s="63">
        <f>K31*Budget!$B$36</f>
        <v>705</v>
      </c>
      <c r="M31" s="63">
        <f>MAX(0,L31-Calcul!AY29)</f>
        <v>705</v>
      </c>
      <c r="N31" s="63">
        <f t="shared" si="2"/>
        <v>1175</v>
      </c>
      <c r="O31" s="64">
        <f t="shared" si="7"/>
        <v>8027.1301640000001</v>
      </c>
      <c r="P31" s="65">
        <f>Calcul!AZ29</f>
        <v>0</v>
      </c>
      <c r="Q31" s="66" t="str">
        <f t="shared" si="3"/>
        <v/>
      </c>
      <c r="R31" s="67">
        <f>IF(H31&gt;=Budget!$B$29,1,0)</f>
        <v>0</v>
      </c>
      <c r="S31" s="67">
        <f>IF(J31&gt;=Budget!$B$32,1,0)</f>
        <v>1</v>
      </c>
      <c r="T31" s="67">
        <f t="shared" si="4"/>
        <v>1</v>
      </c>
      <c r="U31" s="4"/>
      <c r="V31" s="4"/>
      <c r="AA31" s="68">
        <f>Budget!$B$29</f>
        <v>4000</v>
      </c>
      <c r="AB31" s="68">
        <f>Budget!$B$32</f>
        <v>4000</v>
      </c>
    </row>
    <row r="32" spans="1:28" ht="15" customHeight="1" x14ac:dyDescent="0.25">
      <c r="A32" s="55">
        <v>28</v>
      </c>
      <c r="B32" s="56">
        <f>EDATE(Budget!$B$28,A32-1)</f>
        <v>47209</v>
      </c>
      <c r="C32" s="57">
        <f>Budget!$B$7</f>
        <v>2900</v>
      </c>
      <c r="D32" s="57">
        <f>Budget!$B$18+Budget!$B$25</f>
        <v>1725</v>
      </c>
      <c r="E32" s="57">
        <f>Calcul!AX30</f>
        <v>0</v>
      </c>
      <c r="F32" s="58">
        <f t="shared" si="0"/>
        <v>1175</v>
      </c>
      <c r="G32" s="59">
        <f>IF(B32&lt;=Budget!$B$30,MAX(0,MIN(F32,Budget!$B$29-H31)),0)</f>
        <v>0</v>
      </c>
      <c r="H32" s="60">
        <f t="shared" si="5"/>
        <v>3511.3</v>
      </c>
      <c r="I32" s="61">
        <f>MAX(0,MIN(F32-G32,Budget!$B$32-J31))</f>
        <v>0</v>
      </c>
      <c r="J32" s="62">
        <f t="shared" si="6"/>
        <v>4000</v>
      </c>
      <c r="K32" s="63">
        <f t="shared" si="1"/>
        <v>1175</v>
      </c>
      <c r="L32" s="63">
        <f>K32*Budget!$B$36</f>
        <v>705</v>
      </c>
      <c r="M32" s="63">
        <f>MAX(0,L32-Calcul!AY30)</f>
        <v>705</v>
      </c>
      <c r="N32" s="63">
        <f t="shared" si="2"/>
        <v>1175</v>
      </c>
      <c r="O32" s="64">
        <f t="shared" si="7"/>
        <v>9202.1301640000001</v>
      </c>
      <c r="P32" s="65">
        <f>Calcul!AZ30</f>
        <v>0</v>
      </c>
      <c r="Q32" s="66" t="str">
        <f t="shared" si="3"/>
        <v/>
      </c>
      <c r="R32" s="67">
        <f>IF(H32&gt;=Budget!$B$29,1,0)</f>
        <v>0</v>
      </c>
      <c r="S32" s="67">
        <f>IF(J32&gt;=Budget!$B$32,1,0)</f>
        <v>1</v>
      </c>
      <c r="T32" s="67">
        <f t="shared" si="4"/>
        <v>1</v>
      </c>
      <c r="U32" s="4"/>
      <c r="V32" s="4"/>
      <c r="AA32" s="68">
        <f>Budget!$B$29</f>
        <v>4000</v>
      </c>
      <c r="AB32" s="68">
        <f>Budget!$B$32</f>
        <v>4000</v>
      </c>
    </row>
    <row r="33" spans="1:28" ht="15" customHeight="1" x14ac:dyDescent="0.25">
      <c r="A33" s="55">
        <v>29</v>
      </c>
      <c r="B33" s="56">
        <f>EDATE(Budget!$B$28,A33-1)</f>
        <v>47239</v>
      </c>
      <c r="C33" s="57">
        <f>Budget!$B$7</f>
        <v>2900</v>
      </c>
      <c r="D33" s="57">
        <f>Budget!$B$18+Budget!$B$25</f>
        <v>1725</v>
      </c>
      <c r="E33" s="57">
        <f>Calcul!AX31</f>
        <v>0</v>
      </c>
      <c r="F33" s="58">
        <f t="shared" si="0"/>
        <v>1175</v>
      </c>
      <c r="G33" s="59">
        <f>IF(B33&lt;=Budget!$B$30,MAX(0,MIN(F33,Budget!$B$29-H32)),0)</f>
        <v>0</v>
      </c>
      <c r="H33" s="60">
        <f t="shared" si="5"/>
        <v>3511.3</v>
      </c>
      <c r="I33" s="61">
        <f>MAX(0,MIN(F33-G33,Budget!$B$32-J32))</f>
        <v>0</v>
      </c>
      <c r="J33" s="62">
        <f t="shared" si="6"/>
        <v>4000</v>
      </c>
      <c r="K33" s="63">
        <f t="shared" si="1"/>
        <v>1175</v>
      </c>
      <c r="L33" s="63">
        <f>K33*Budget!$B$36</f>
        <v>705</v>
      </c>
      <c r="M33" s="63">
        <f>MAX(0,L33-Calcul!AY31)</f>
        <v>705</v>
      </c>
      <c r="N33" s="63">
        <f t="shared" si="2"/>
        <v>1175</v>
      </c>
      <c r="O33" s="64">
        <f t="shared" si="7"/>
        <v>10377.130164</v>
      </c>
      <c r="P33" s="65">
        <f>Calcul!AZ31</f>
        <v>0</v>
      </c>
      <c r="Q33" s="66" t="str">
        <f t="shared" si="3"/>
        <v/>
      </c>
      <c r="R33" s="67">
        <f>IF(H33&gt;=Budget!$B$29,1,0)</f>
        <v>0</v>
      </c>
      <c r="S33" s="67">
        <f>IF(J33&gt;=Budget!$B$32,1,0)</f>
        <v>1</v>
      </c>
      <c r="T33" s="67">
        <f t="shared" si="4"/>
        <v>1</v>
      </c>
      <c r="U33" s="4"/>
      <c r="V33" s="4"/>
      <c r="AA33" s="68">
        <f>Budget!$B$29</f>
        <v>4000</v>
      </c>
      <c r="AB33" s="68">
        <f>Budget!$B$32</f>
        <v>4000</v>
      </c>
    </row>
    <row r="34" spans="1:28" ht="15" customHeight="1" x14ac:dyDescent="0.25">
      <c r="A34" s="55">
        <v>30</v>
      </c>
      <c r="B34" s="56">
        <f>EDATE(Budget!$B$28,A34-1)</f>
        <v>47270</v>
      </c>
      <c r="C34" s="57">
        <f>Budget!$B$7</f>
        <v>2900</v>
      </c>
      <c r="D34" s="57">
        <f>Budget!$B$18+Budget!$B$25</f>
        <v>1725</v>
      </c>
      <c r="E34" s="57">
        <f>Calcul!AX32</f>
        <v>0</v>
      </c>
      <c r="F34" s="58">
        <f t="shared" si="0"/>
        <v>1175</v>
      </c>
      <c r="G34" s="59">
        <f>IF(B34&lt;=Budget!$B$30,MAX(0,MIN(F34,Budget!$B$29-H33)),0)</f>
        <v>0</v>
      </c>
      <c r="H34" s="60">
        <f t="shared" si="5"/>
        <v>3511.3</v>
      </c>
      <c r="I34" s="61">
        <f>MAX(0,MIN(F34-G34,Budget!$B$32-J33))</f>
        <v>0</v>
      </c>
      <c r="J34" s="62">
        <f t="shared" si="6"/>
        <v>4000</v>
      </c>
      <c r="K34" s="63">
        <f t="shared" si="1"/>
        <v>1175</v>
      </c>
      <c r="L34" s="63">
        <f>K34*Budget!$B$36</f>
        <v>705</v>
      </c>
      <c r="M34" s="63">
        <f>MAX(0,L34-Calcul!AY32)</f>
        <v>705</v>
      </c>
      <c r="N34" s="63">
        <f t="shared" si="2"/>
        <v>1175</v>
      </c>
      <c r="O34" s="64">
        <f t="shared" si="7"/>
        <v>11552.130164</v>
      </c>
      <c r="P34" s="65">
        <f>Calcul!AZ32</f>
        <v>0</v>
      </c>
      <c r="Q34" s="66" t="str">
        <f t="shared" si="3"/>
        <v/>
      </c>
      <c r="R34" s="67">
        <f>IF(H34&gt;=Budget!$B$29,1,0)</f>
        <v>0</v>
      </c>
      <c r="S34" s="67">
        <f>IF(J34&gt;=Budget!$B$32,1,0)</f>
        <v>1</v>
      </c>
      <c r="T34" s="67">
        <f t="shared" si="4"/>
        <v>1</v>
      </c>
      <c r="U34" s="4"/>
      <c r="V34" s="4"/>
      <c r="AA34" s="68">
        <f>Budget!$B$29</f>
        <v>4000</v>
      </c>
      <c r="AB34" s="68">
        <f>Budget!$B$32</f>
        <v>4000</v>
      </c>
    </row>
    <row r="35" spans="1:28" ht="15" customHeight="1" x14ac:dyDescent="0.25">
      <c r="A35" s="55">
        <v>31</v>
      </c>
      <c r="B35" s="56">
        <f>EDATE(Budget!$B$28,A35-1)</f>
        <v>47300</v>
      </c>
      <c r="C35" s="57">
        <f>Budget!$B$7</f>
        <v>2900</v>
      </c>
      <c r="D35" s="57">
        <f>Budget!$B$18+Budget!$B$25</f>
        <v>1725</v>
      </c>
      <c r="E35" s="57">
        <f>Calcul!AX33</f>
        <v>0</v>
      </c>
      <c r="F35" s="58">
        <f t="shared" si="0"/>
        <v>1175</v>
      </c>
      <c r="G35" s="59">
        <f>IF(B35&lt;=Budget!$B$30,MAX(0,MIN(F35,Budget!$B$29-H34)),0)</f>
        <v>0</v>
      </c>
      <c r="H35" s="60">
        <f t="shared" si="5"/>
        <v>3511.3</v>
      </c>
      <c r="I35" s="61">
        <f>MAX(0,MIN(F35-G35,Budget!$B$32-J34))</f>
        <v>0</v>
      </c>
      <c r="J35" s="62">
        <f t="shared" si="6"/>
        <v>4000</v>
      </c>
      <c r="K35" s="63">
        <f t="shared" si="1"/>
        <v>1175</v>
      </c>
      <c r="L35" s="63">
        <f>K35*Budget!$B$36</f>
        <v>705</v>
      </c>
      <c r="M35" s="63">
        <f>MAX(0,L35-Calcul!AY33)</f>
        <v>705</v>
      </c>
      <c r="N35" s="63">
        <f t="shared" si="2"/>
        <v>1175</v>
      </c>
      <c r="O35" s="64">
        <f t="shared" si="7"/>
        <v>12727.130164</v>
      </c>
      <c r="P35" s="65">
        <f>Calcul!AZ33</f>
        <v>0</v>
      </c>
      <c r="Q35" s="66" t="str">
        <f t="shared" si="3"/>
        <v/>
      </c>
      <c r="R35" s="67">
        <f>IF(H35&gt;=Budget!$B$29,1,0)</f>
        <v>0</v>
      </c>
      <c r="S35" s="67">
        <f>IF(J35&gt;=Budget!$B$32,1,0)</f>
        <v>1</v>
      </c>
      <c r="T35" s="67">
        <f t="shared" si="4"/>
        <v>1</v>
      </c>
      <c r="U35" s="4"/>
      <c r="V35" s="4"/>
      <c r="AA35" s="68">
        <f>Budget!$B$29</f>
        <v>4000</v>
      </c>
      <c r="AB35" s="68">
        <f>Budget!$B$32</f>
        <v>4000</v>
      </c>
    </row>
    <row r="36" spans="1:28" ht="15" customHeight="1" x14ac:dyDescent="0.25">
      <c r="A36" s="55">
        <v>32</v>
      </c>
      <c r="B36" s="56">
        <f>EDATE(Budget!$B$28,A36-1)</f>
        <v>47331</v>
      </c>
      <c r="C36" s="57">
        <f>Budget!$B$7</f>
        <v>2900</v>
      </c>
      <c r="D36" s="57">
        <f>Budget!$B$18+Budget!$B$25</f>
        <v>1725</v>
      </c>
      <c r="E36" s="57">
        <f>Calcul!AX34</f>
        <v>0</v>
      </c>
      <c r="F36" s="58">
        <f t="shared" si="0"/>
        <v>1175</v>
      </c>
      <c r="G36" s="59">
        <f>IF(B36&lt;=Budget!$B$30,MAX(0,MIN(F36,Budget!$B$29-H35)),0)</f>
        <v>0</v>
      </c>
      <c r="H36" s="60">
        <f t="shared" si="5"/>
        <v>3511.3</v>
      </c>
      <c r="I36" s="61">
        <f>MAX(0,MIN(F36-G36,Budget!$B$32-J35))</f>
        <v>0</v>
      </c>
      <c r="J36" s="62">
        <f t="shared" si="6"/>
        <v>4000</v>
      </c>
      <c r="K36" s="63">
        <f t="shared" si="1"/>
        <v>1175</v>
      </c>
      <c r="L36" s="63">
        <f>K36*Budget!$B$36</f>
        <v>705</v>
      </c>
      <c r="M36" s="63">
        <f>MAX(0,L36-Calcul!AY34)</f>
        <v>705</v>
      </c>
      <c r="N36" s="63">
        <f t="shared" si="2"/>
        <v>1175</v>
      </c>
      <c r="O36" s="64">
        <f t="shared" si="7"/>
        <v>13902.130164</v>
      </c>
      <c r="P36" s="65">
        <f>Calcul!AZ34</f>
        <v>0</v>
      </c>
      <c r="Q36" s="66" t="str">
        <f t="shared" si="3"/>
        <v/>
      </c>
      <c r="R36" s="67">
        <f>IF(H36&gt;=Budget!$B$29,1,0)</f>
        <v>0</v>
      </c>
      <c r="S36" s="67">
        <f>IF(J36&gt;=Budget!$B$32,1,0)</f>
        <v>1</v>
      </c>
      <c r="T36" s="67">
        <f t="shared" si="4"/>
        <v>1</v>
      </c>
      <c r="U36" s="4"/>
      <c r="V36" s="4"/>
      <c r="AA36" s="68">
        <f>Budget!$B$29</f>
        <v>4000</v>
      </c>
      <c r="AB36" s="68">
        <f>Budget!$B$32</f>
        <v>4000</v>
      </c>
    </row>
    <row r="37" spans="1:28" ht="15" customHeight="1" x14ac:dyDescent="0.25">
      <c r="A37" s="55">
        <v>33</v>
      </c>
      <c r="B37" s="56">
        <f>EDATE(Budget!$B$28,A37-1)</f>
        <v>47362</v>
      </c>
      <c r="C37" s="57">
        <f>Budget!$B$7</f>
        <v>2900</v>
      </c>
      <c r="D37" s="57">
        <f>Budget!$B$18+Budget!$B$25</f>
        <v>1725</v>
      </c>
      <c r="E37" s="57">
        <f>Calcul!AX35</f>
        <v>0</v>
      </c>
      <c r="F37" s="58">
        <f t="shared" si="0"/>
        <v>1175</v>
      </c>
      <c r="G37" s="59">
        <f>IF(B37&lt;=Budget!$B$30,MAX(0,MIN(F37,Budget!$B$29-H36)),0)</f>
        <v>0</v>
      </c>
      <c r="H37" s="60">
        <f t="shared" si="5"/>
        <v>3511.3</v>
      </c>
      <c r="I37" s="61">
        <f>MAX(0,MIN(F37-G37,Budget!$B$32-J36))</f>
        <v>0</v>
      </c>
      <c r="J37" s="62">
        <f t="shared" si="6"/>
        <v>4000</v>
      </c>
      <c r="K37" s="63">
        <f t="shared" si="1"/>
        <v>1175</v>
      </c>
      <c r="L37" s="63">
        <f>K37*Budget!$B$36</f>
        <v>705</v>
      </c>
      <c r="M37" s="63">
        <f>MAX(0,L37-Calcul!AY35)</f>
        <v>705</v>
      </c>
      <c r="N37" s="63">
        <f t="shared" si="2"/>
        <v>1175</v>
      </c>
      <c r="O37" s="64">
        <f t="shared" si="7"/>
        <v>15077.130164</v>
      </c>
      <c r="P37" s="65">
        <f>Calcul!AZ35</f>
        <v>0</v>
      </c>
      <c r="Q37" s="66" t="str">
        <f t="shared" si="3"/>
        <v/>
      </c>
      <c r="R37" s="67">
        <f>IF(H37&gt;=Budget!$B$29,1,0)</f>
        <v>0</v>
      </c>
      <c r="S37" s="67">
        <f>IF(J37&gt;=Budget!$B$32,1,0)</f>
        <v>1</v>
      </c>
      <c r="T37" s="67">
        <f t="shared" si="4"/>
        <v>1</v>
      </c>
      <c r="U37" s="4"/>
      <c r="V37" s="4"/>
      <c r="AA37" s="68">
        <f>Budget!$B$29</f>
        <v>4000</v>
      </c>
      <c r="AB37" s="68">
        <f>Budget!$B$32</f>
        <v>4000</v>
      </c>
    </row>
    <row r="38" spans="1:28" ht="15" customHeight="1" x14ac:dyDescent="0.25">
      <c r="A38" s="55">
        <v>34</v>
      </c>
      <c r="B38" s="56">
        <f>EDATE(Budget!$B$28,A38-1)</f>
        <v>47392</v>
      </c>
      <c r="C38" s="57">
        <f>Budget!$B$7</f>
        <v>2900</v>
      </c>
      <c r="D38" s="57">
        <f>Budget!$B$18+Budget!$B$25</f>
        <v>1725</v>
      </c>
      <c r="E38" s="57">
        <f>Calcul!AX36</f>
        <v>0</v>
      </c>
      <c r="F38" s="58">
        <f t="shared" si="0"/>
        <v>1175</v>
      </c>
      <c r="G38" s="59">
        <f>IF(B38&lt;=Budget!$B$30,MAX(0,MIN(F38,Budget!$B$29-H37)),0)</f>
        <v>0</v>
      </c>
      <c r="H38" s="60">
        <f t="shared" si="5"/>
        <v>3511.3</v>
      </c>
      <c r="I38" s="61">
        <f>MAX(0,MIN(F38-G38,Budget!$B$32-J37))</f>
        <v>0</v>
      </c>
      <c r="J38" s="62">
        <f t="shared" si="6"/>
        <v>4000</v>
      </c>
      <c r="K38" s="63">
        <f t="shared" si="1"/>
        <v>1175</v>
      </c>
      <c r="L38" s="63">
        <f>K38*Budget!$B$36</f>
        <v>705</v>
      </c>
      <c r="M38" s="63">
        <f>MAX(0,L38-Calcul!AY36)</f>
        <v>705</v>
      </c>
      <c r="N38" s="63">
        <f t="shared" si="2"/>
        <v>1175</v>
      </c>
      <c r="O38" s="64">
        <f t="shared" si="7"/>
        <v>16252.130164</v>
      </c>
      <c r="P38" s="65">
        <f>Calcul!AZ36</f>
        <v>0</v>
      </c>
      <c r="Q38" s="66" t="str">
        <f t="shared" si="3"/>
        <v/>
      </c>
      <c r="R38" s="67">
        <f>IF(H38&gt;=Budget!$B$29,1,0)</f>
        <v>0</v>
      </c>
      <c r="S38" s="67">
        <f>IF(J38&gt;=Budget!$B$32,1,0)</f>
        <v>1</v>
      </c>
      <c r="T38" s="67">
        <f t="shared" si="4"/>
        <v>1</v>
      </c>
      <c r="U38" s="4"/>
      <c r="V38" s="4"/>
      <c r="AA38" s="68">
        <f>Budget!$B$29</f>
        <v>4000</v>
      </c>
      <c r="AB38" s="68">
        <f>Budget!$B$32</f>
        <v>4000</v>
      </c>
    </row>
    <row r="39" spans="1:28" ht="15" customHeight="1" x14ac:dyDescent="0.25">
      <c r="A39" s="55">
        <v>35</v>
      </c>
      <c r="B39" s="56">
        <f>EDATE(Budget!$B$28,A39-1)</f>
        <v>47423</v>
      </c>
      <c r="C39" s="57">
        <f>Budget!$B$7</f>
        <v>2900</v>
      </c>
      <c r="D39" s="57">
        <f>Budget!$B$18+Budget!$B$25</f>
        <v>1725</v>
      </c>
      <c r="E39" s="57">
        <f>Calcul!AX37</f>
        <v>0</v>
      </c>
      <c r="F39" s="58">
        <f t="shared" si="0"/>
        <v>1175</v>
      </c>
      <c r="G39" s="59">
        <f>IF(B39&lt;=Budget!$B$30,MAX(0,MIN(F39,Budget!$B$29-H38)),0)</f>
        <v>0</v>
      </c>
      <c r="H39" s="60">
        <f t="shared" si="5"/>
        <v>3511.3</v>
      </c>
      <c r="I39" s="61">
        <f>MAX(0,MIN(F39-G39,Budget!$B$32-J38))</f>
        <v>0</v>
      </c>
      <c r="J39" s="62">
        <f t="shared" si="6"/>
        <v>4000</v>
      </c>
      <c r="K39" s="63">
        <f t="shared" si="1"/>
        <v>1175</v>
      </c>
      <c r="L39" s="63">
        <f>K39*Budget!$B$36</f>
        <v>705</v>
      </c>
      <c r="M39" s="63">
        <f>MAX(0,L39-Calcul!AY37)</f>
        <v>705</v>
      </c>
      <c r="N39" s="63">
        <f t="shared" si="2"/>
        <v>1175</v>
      </c>
      <c r="O39" s="64">
        <f t="shared" si="7"/>
        <v>17427.130164000002</v>
      </c>
      <c r="P39" s="65">
        <f>Calcul!AZ37</f>
        <v>0</v>
      </c>
      <c r="Q39" s="66" t="str">
        <f t="shared" si="3"/>
        <v/>
      </c>
      <c r="R39" s="67">
        <f>IF(H39&gt;=Budget!$B$29,1,0)</f>
        <v>0</v>
      </c>
      <c r="S39" s="67">
        <f>IF(J39&gt;=Budget!$B$32,1,0)</f>
        <v>1</v>
      </c>
      <c r="T39" s="67">
        <f t="shared" si="4"/>
        <v>1</v>
      </c>
      <c r="U39" s="4"/>
      <c r="V39" s="4"/>
      <c r="AA39" s="68">
        <f>Budget!$B$29</f>
        <v>4000</v>
      </c>
      <c r="AB39" s="68">
        <f>Budget!$B$32</f>
        <v>4000</v>
      </c>
    </row>
    <row r="40" spans="1:28" ht="15" customHeight="1" x14ac:dyDescent="0.25">
      <c r="A40" s="55">
        <v>36</v>
      </c>
      <c r="B40" s="56">
        <f>EDATE(Budget!$B$28,A40-1)</f>
        <v>47453</v>
      </c>
      <c r="C40" s="57">
        <f>Budget!$B$7</f>
        <v>2900</v>
      </c>
      <c r="D40" s="57">
        <f>Budget!$B$18+Budget!$B$25</f>
        <v>1725</v>
      </c>
      <c r="E40" s="57">
        <f>Calcul!AX38</f>
        <v>0</v>
      </c>
      <c r="F40" s="58">
        <f t="shared" si="0"/>
        <v>1175</v>
      </c>
      <c r="G40" s="59">
        <f>IF(B40&lt;=Budget!$B$30,MAX(0,MIN(F40,Budget!$B$29-H39)),0)</f>
        <v>0</v>
      </c>
      <c r="H40" s="60">
        <f t="shared" si="5"/>
        <v>3511.3</v>
      </c>
      <c r="I40" s="61">
        <f>MAX(0,MIN(F40-G40,Budget!$B$32-J39))</f>
        <v>0</v>
      </c>
      <c r="J40" s="62">
        <f t="shared" si="6"/>
        <v>4000</v>
      </c>
      <c r="K40" s="63">
        <f t="shared" si="1"/>
        <v>1175</v>
      </c>
      <c r="L40" s="63">
        <f>K40*Budget!$B$36</f>
        <v>705</v>
      </c>
      <c r="M40" s="63">
        <f>MAX(0,L40-Calcul!AY38)</f>
        <v>705</v>
      </c>
      <c r="N40" s="63">
        <f t="shared" si="2"/>
        <v>1175</v>
      </c>
      <c r="O40" s="64">
        <f t="shared" si="7"/>
        <v>18602.130164000002</v>
      </c>
      <c r="P40" s="65">
        <f>Calcul!AZ38</f>
        <v>0</v>
      </c>
      <c r="Q40" s="66" t="str">
        <f t="shared" si="3"/>
        <v/>
      </c>
      <c r="R40" s="67">
        <f>IF(H40&gt;=Budget!$B$29,1,0)</f>
        <v>0</v>
      </c>
      <c r="S40" s="67">
        <f>IF(J40&gt;=Budget!$B$32,1,0)</f>
        <v>1</v>
      </c>
      <c r="T40" s="67">
        <f t="shared" si="4"/>
        <v>1</v>
      </c>
      <c r="U40" s="4"/>
      <c r="V40" s="4"/>
      <c r="AA40" s="68">
        <f>Budget!$B$29</f>
        <v>4000</v>
      </c>
      <c r="AB40" s="68">
        <f>Budget!$B$32</f>
        <v>4000</v>
      </c>
    </row>
    <row r="41" spans="1:28" ht="15" customHeight="1" x14ac:dyDescent="0.25">
      <c r="A41" s="55">
        <v>37</v>
      </c>
      <c r="B41" s="56">
        <f>EDATE(Budget!$B$28,A41-1)</f>
        <v>47484</v>
      </c>
      <c r="C41" s="57">
        <f>Budget!$B$7</f>
        <v>2900</v>
      </c>
      <c r="D41" s="57">
        <f>Budget!$B$18+Budget!$B$25</f>
        <v>1725</v>
      </c>
      <c r="E41" s="57">
        <f>Calcul!AX39</f>
        <v>0</v>
      </c>
      <c r="F41" s="58">
        <f t="shared" si="0"/>
        <v>1175</v>
      </c>
      <c r="G41" s="59">
        <f>IF(B41&lt;=Budget!$B$30,MAX(0,MIN(F41,Budget!$B$29-H40)),0)</f>
        <v>0</v>
      </c>
      <c r="H41" s="60">
        <f t="shared" si="5"/>
        <v>3511.3</v>
      </c>
      <c r="I41" s="61">
        <f>MAX(0,MIN(F41-G41,Budget!$B$32-J40))</f>
        <v>0</v>
      </c>
      <c r="J41" s="62">
        <f t="shared" si="6"/>
        <v>4000</v>
      </c>
      <c r="K41" s="63">
        <f t="shared" si="1"/>
        <v>1175</v>
      </c>
      <c r="L41" s="63">
        <f>K41*Budget!$B$36</f>
        <v>705</v>
      </c>
      <c r="M41" s="63">
        <f>MAX(0,L41-Calcul!AY39)</f>
        <v>705</v>
      </c>
      <c r="N41" s="63">
        <f t="shared" si="2"/>
        <v>1175</v>
      </c>
      <c r="O41" s="64">
        <f t="shared" si="7"/>
        <v>19777.130164000002</v>
      </c>
      <c r="P41" s="65">
        <f>Calcul!AZ39</f>
        <v>0</v>
      </c>
      <c r="Q41" s="66" t="str">
        <f t="shared" si="3"/>
        <v/>
      </c>
      <c r="R41" s="67">
        <f>IF(H41&gt;=Budget!$B$29,1,0)</f>
        <v>0</v>
      </c>
      <c r="S41" s="67">
        <f>IF(J41&gt;=Budget!$B$32,1,0)</f>
        <v>1</v>
      </c>
      <c r="T41" s="67">
        <f t="shared" si="4"/>
        <v>1</v>
      </c>
      <c r="U41" s="4"/>
      <c r="V41" s="4"/>
      <c r="AA41" s="68">
        <f>Budget!$B$29</f>
        <v>4000</v>
      </c>
      <c r="AB41" s="68">
        <f>Budget!$B$32</f>
        <v>4000</v>
      </c>
    </row>
    <row r="42" spans="1:28" ht="15" customHeight="1" x14ac:dyDescent="0.25">
      <c r="A42" s="55">
        <v>38</v>
      </c>
      <c r="B42" s="56">
        <f>EDATE(Budget!$B$28,A42-1)</f>
        <v>47515</v>
      </c>
      <c r="C42" s="57">
        <f>Budget!$B$7</f>
        <v>2900</v>
      </c>
      <c r="D42" s="57">
        <f>Budget!$B$18+Budget!$B$25</f>
        <v>1725</v>
      </c>
      <c r="E42" s="57">
        <f>Calcul!AX40</f>
        <v>0</v>
      </c>
      <c r="F42" s="58">
        <f t="shared" si="0"/>
        <v>1175</v>
      </c>
      <c r="G42" s="59">
        <f>IF(B42&lt;=Budget!$B$30,MAX(0,MIN(F42,Budget!$B$29-H41)),0)</f>
        <v>0</v>
      </c>
      <c r="H42" s="60">
        <f t="shared" si="5"/>
        <v>3511.3</v>
      </c>
      <c r="I42" s="61">
        <f>MAX(0,MIN(F42-G42,Budget!$B$32-J41))</f>
        <v>0</v>
      </c>
      <c r="J42" s="62">
        <f t="shared" si="6"/>
        <v>4000</v>
      </c>
      <c r="K42" s="63">
        <f t="shared" si="1"/>
        <v>1175</v>
      </c>
      <c r="L42" s="63">
        <f>K42*Budget!$B$36</f>
        <v>705</v>
      </c>
      <c r="M42" s="63">
        <f>MAX(0,L42-Calcul!AY40)</f>
        <v>705</v>
      </c>
      <c r="N42" s="63">
        <f t="shared" si="2"/>
        <v>1175</v>
      </c>
      <c r="O42" s="64">
        <f t="shared" si="7"/>
        <v>20952.130164000002</v>
      </c>
      <c r="P42" s="65">
        <f>Calcul!AZ40</f>
        <v>0</v>
      </c>
      <c r="Q42" s="66" t="str">
        <f t="shared" si="3"/>
        <v/>
      </c>
      <c r="R42" s="67">
        <f>IF(H42&gt;=Budget!$B$29,1,0)</f>
        <v>0</v>
      </c>
      <c r="S42" s="67">
        <f>IF(J42&gt;=Budget!$B$32,1,0)</f>
        <v>1</v>
      </c>
      <c r="T42" s="67">
        <f t="shared" si="4"/>
        <v>1</v>
      </c>
      <c r="U42" s="4"/>
      <c r="V42" s="4"/>
      <c r="AA42" s="68">
        <f>Budget!$B$29</f>
        <v>4000</v>
      </c>
      <c r="AB42" s="68">
        <f>Budget!$B$32</f>
        <v>4000</v>
      </c>
    </row>
    <row r="43" spans="1:28" ht="15" customHeight="1" x14ac:dyDescent="0.25">
      <c r="A43" s="55">
        <v>39</v>
      </c>
      <c r="B43" s="56">
        <f>EDATE(Budget!$B$28,A43-1)</f>
        <v>47543</v>
      </c>
      <c r="C43" s="57">
        <f>Budget!$B$7</f>
        <v>2900</v>
      </c>
      <c r="D43" s="57">
        <f>Budget!$B$18+Budget!$B$25</f>
        <v>1725</v>
      </c>
      <c r="E43" s="57">
        <f>Calcul!AX41</f>
        <v>0</v>
      </c>
      <c r="F43" s="58">
        <f t="shared" si="0"/>
        <v>1175</v>
      </c>
      <c r="G43" s="59">
        <f>IF(B43&lt;=Budget!$B$30,MAX(0,MIN(F43,Budget!$B$29-H42)),0)</f>
        <v>0</v>
      </c>
      <c r="H43" s="60">
        <f t="shared" si="5"/>
        <v>3511.3</v>
      </c>
      <c r="I43" s="61">
        <f>MAX(0,MIN(F43-G43,Budget!$B$32-J42))</f>
        <v>0</v>
      </c>
      <c r="J43" s="62">
        <f t="shared" si="6"/>
        <v>4000</v>
      </c>
      <c r="K43" s="63">
        <f t="shared" si="1"/>
        <v>1175</v>
      </c>
      <c r="L43" s="63">
        <f>K43*Budget!$B$36</f>
        <v>705</v>
      </c>
      <c r="M43" s="63">
        <f>MAX(0,L43-Calcul!AY41)</f>
        <v>705</v>
      </c>
      <c r="N43" s="63">
        <f t="shared" si="2"/>
        <v>1175</v>
      </c>
      <c r="O43" s="64">
        <f t="shared" si="7"/>
        <v>22127.130164000002</v>
      </c>
      <c r="P43" s="65">
        <f>Calcul!AZ41</f>
        <v>0</v>
      </c>
      <c r="Q43" s="66" t="str">
        <f t="shared" si="3"/>
        <v/>
      </c>
      <c r="R43" s="67">
        <f>IF(H43&gt;=Budget!$B$29,1,0)</f>
        <v>0</v>
      </c>
      <c r="S43" s="67">
        <f>IF(J43&gt;=Budget!$B$32,1,0)</f>
        <v>1</v>
      </c>
      <c r="T43" s="67">
        <f t="shared" si="4"/>
        <v>1</v>
      </c>
      <c r="U43" s="4"/>
      <c r="V43" s="4"/>
      <c r="AA43" s="68">
        <f>Budget!$B$29</f>
        <v>4000</v>
      </c>
      <c r="AB43" s="68">
        <f>Budget!$B$32</f>
        <v>4000</v>
      </c>
    </row>
    <row r="44" spans="1:28" ht="15" customHeight="1" x14ac:dyDescent="0.25">
      <c r="A44" s="55">
        <v>40</v>
      </c>
      <c r="B44" s="56">
        <f>EDATE(Budget!$B$28,A44-1)</f>
        <v>47574</v>
      </c>
      <c r="C44" s="57">
        <f>Budget!$B$7</f>
        <v>2900</v>
      </c>
      <c r="D44" s="57">
        <f>Budget!$B$18+Budget!$B$25</f>
        <v>1725</v>
      </c>
      <c r="E44" s="57">
        <f>Calcul!AX42</f>
        <v>0</v>
      </c>
      <c r="F44" s="58">
        <f t="shared" si="0"/>
        <v>1175</v>
      </c>
      <c r="G44" s="59">
        <f>IF(B44&lt;=Budget!$B$30,MAX(0,MIN(F44,Budget!$B$29-H43)),0)</f>
        <v>0</v>
      </c>
      <c r="H44" s="60">
        <f t="shared" si="5"/>
        <v>3511.3</v>
      </c>
      <c r="I44" s="61">
        <f>MAX(0,MIN(F44-G44,Budget!$B$32-J43))</f>
        <v>0</v>
      </c>
      <c r="J44" s="62">
        <f t="shared" si="6"/>
        <v>4000</v>
      </c>
      <c r="K44" s="63">
        <f t="shared" si="1"/>
        <v>1175</v>
      </c>
      <c r="L44" s="63">
        <f>K44*Budget!$B$36</f>
        <v>705</v>
      </c>
      <c r="M44" s="63">
        <f>MAX(0,L44-Calcul!AY42)</f>
        <v>705</v>
      </c>
      <c r="N44" s="63">
        <f t="shared" si="2"/>
        <v>1175</v>
      </c>
      <c r="O44" s="64">
        <f t="shared" si="7"/>
        <v>23302.130164000002</v>
      </c>
      <c r="P44" s="65">
        <f>Calcul!AZ42</f>
        <v>0</v>
      </c>
      <c r="Q44" s="66" t="str">
        <f t="shared" si="3"/>
        <v/>
      </c>
      <c r="R44" s="67">
        <f>IF(H44&gt;=Budget!$B$29,1,0)</f>
        <v>0</v>
      </c>
      <c r="S44" s="67">
        <f>IF(J44&gt;=Budget!$B$32,1,0)</f>
        <v>1</v>
      </c>
      <c r="T44" s="67">
        <f t="shared" si="4"/>
        <v>1</v>
      </c>
      <c r="U44" s="4"/>
      <c r="V44" s="4"/>
      <c r="AA44" s="68">
        <f>Budget!$B$29</f>
        <v>4000</v>
      </c>
      <c r="AB44" s="68">
        <f>Budget!$B$32</f>
        <v>4000</v>
      </c>
    </row>
    <row r="45" spans="1:28" ht="15" customHeight="1" x14ac:dyDescent="0.25">
      <c r="A45" s="55">
        <v>41</v>
      </c>
      <c r="B45" s="56">
        <f>EDATE(Budget!$B$28,A45-1)</f>
        <v>47604</v>
      </c>
      <c r="C45" s="57">
        <f>Budget!$B$7</f>
        <v>2900</v>
      </c>
      <c r="D45" s="57">
        <f>Budget!$B$18+Budget!$B$25</f>
        <v>1725</v>
      </c>
      <c r="E45" s="57">
        <f>Calcul!AX43</f>
        <v>0</v>
      </c>
      <c r="F45" s="58">
        <f t="shared" si="0"/>
        <v>1175</v>
      </c>
      <c r="G45" s="59">
        <f>IF(B45&lt;=Budget!$B$30,MAX(0,MIN(F45,Budget!$B$29-H44)),0)</f>
        <v>0</v>
      </c>
      <c r="H45" s="60">
        <f t="shared" si="5"/>
        <v>3511.3</v>
      </c>
      <c r="I45" s="61">
        <f>MAX(0,MIN(F45-G45,Budget!$B$32-J44))</f>
        <v>0</v>
      </c>
      <c r="J45" s="62">
        <f t="shared" si="6"/>
        <v>4000</v>
      </c>
      <c r="K45" s="63">
        <f t="shared" si="1"/>
        <v>1175</v>
      </c>
      <c r="L45" s="63">
        <f>K45*Budget!$B$36</f>
        <v>705</v>
      </c>
      <c r="M45" s="63">
        <f>MAX(0,L45-Calcul!AY43)</f>
        <v>705</v>
      </c>
      <c r="N45" s="63">
        <f t="shared" si="2"/>
        <v>1175</v>
      </c>
      <c r="O45" s="64">
        <f t="shared" si="7"/>
        <v>24477.130164000002</v>
      </c>
      <c r="P45" s="65">
        <f>Calcul!AZ43</f>
        <v>0</v>
      </c>
      <c r="Q45" s="66" t="str">
        <f t="shared" si="3"/>
        <v/>
      </c>
      <c r="R45" s="67">
        <f>IF(H45&gt;=Budget!$B$29,1,0)</f>
        <v>0</v>
      </c>
      <c r="S45" s="67">
        <f>IF(J45&gt;=Budget!$B$32,1,0)</f>
        <v>1</v>
      </c>
      <c r="T45" s="67">
        <f t="shared" si="4"/>
        <v>1</v>
      </c>
      <c r="U45" s="4"/>
      <c r="V45" s="4"/>
      <c r="AA45" s="68">
        <f>Budget!$B$29</f>
        <v>4000</v>
      </c>
      <c r="AB45" s="68">
        <f>Budget!$B$32</f>
        <v>4000</v>
      </c>
    </row>
    <row r="46" spans="1:28" ht="15" customHeight="1" x14ac:dyDescent="0.25">
      <c r="A46" s="55">
        <v>42</v>
      </c>
      <c r="B46" s="56">
        <f>EDATE(Budget!$B$28,A46-1)</f>
        <v>47635</v>
      </c>
      <c r="C46" s="57">
        <f>Budget!$B$7</f>
        <v>2900</v>
      </c>
      <c r="D46" s="57">
        <f>Budget!$B$18+Budget!$B$25</f>
        <v>1725</v>
      </c>
      <c r="E46" s="57">
        <f>Calcul!AX44</f>
        <v>0</v>
      </c>
      <c r="F46" s="58">
        <f t="shared" si="0"/>
        <v>1175</v>
      </c>
      <c r="G46" s="59">
        <f>IF(B46&lt;=Budget!$B$30,MAX(0,MIN(F46,Budget!$B$29-H45)),0)</f>
        <v>0</v>
      </c>
      <c r="H46" s="60">
        <f t="shared" si="5"/>
        <v>3511.3</v>
      </c>
      <c r="I46" s="61">
        <f>MAX(0,MIN(F46-G46,Budget!$B$32-J45))</f>
        <v>0</v>
      </c>
      <c r="J46" s="62">
        <f t="shared" si="6"/>
        <v>4000</v>
      </c>
      <c r="K46" s="63">
        <f t="shared" si="1"/>
        <v>1175</v>
      </c>
      <c r="L46" s="63">
        <f>K46*Budget!$B$36</f>
        <v>705</v>
      </c>
      <c r="M46" s="63">
        <f>MAX(0,L46-Calcul!AY44)</f>
        <v>705</v>
      </c>
      <c r="N46" s="63">
        <f t="shared" si="2"/>
        <v>1175</v>
      </c>
      <c r="O46" s="64">
        <f t="shared" si="7"/>
        <v>25652.130164000002</v>
      </c>
      <c r="P46" s="65">
        <f>Calcul!AZ44</f>
        <v>0</v>
      </c>
      <c r="Q46" s="66" t="str">
        <f t="shared" si="3"/>
        <v/>
      </c>
      <c r="R46" s="67">
        <f>IF(H46&gt;=Budget!$B$29,1,0)</f>
        <v>0</v>
      </c>
      <c r="S46" s="67">
        <f>IF(J46&gt;=Budget!$B$32,1,0)</f>
        <v>1</v>
      </c>
      <c r="T46" s="67">
        <f t="shared" si="4"/>
        <v>1</v>
      </c>
      <c r="U46" s="4"/>
      <c r="V46" s="4"/>
      <c r="AA46" s="68">
        <f>Budget!$B$29</f>
        <v>4000</v>
      </c>
      <c r="AB46" s="68">
        <f>Budget!$B$32</f>
        <v>4000</v>
      </c>
    </row>
    <row r="47" spans="1:28" ht="15" customHeight="1" x14ac:dyDescent="0.25">
      <c r="A47" s="55">
        <v>43</v>
      </c>
      <c r="B47" s="56">
        <f>EDATE(Budget!$B$28,A47-1)</f>
        <v>47665</v>
      </c>
      <c r="C47" s="57">
        <f>Budget!$B$7</f>
        <v>2900</v>
      </c>
      <c r="D47" s="57">
        <f>Budget!$B$18+Budget!$B$25</f>
        <v>1725</v>
      </c>
      <c r="E47" s="57">
        <f>Calcul!AX45</f>
        <v>0</v>
      </c>
      <c r="F47" s="58">
        <f t="shared" si="0"/>
        <v>1175</v>
      </c>
      <c r="G47" s="59">
        <f>IF(B47&lt;=Budget!$B$30,MAX(0,MIN(F47,Budget!$B$29-H46)),0)</f>
        <v>0</v>
      </c>
      <c r="H47" s="60">
        <f t="shared" si="5"/>
        <v>3511.3</v>
      </c>
      <c r="I47" s="61">
        <f>MAX(0,MIN(F47-G47,Budget!$B$32-J46))</f>
        <v>0</v>
      </c>
      <c r="J47" s="62">
        <f t="shared" si="6"/>
        <v>4000</v>
      </c>
      <c r="K47" s="63">
        <f t="shared" si="1"/>
        <v>1175</v>
      </c>
      <c r="L47" s="63">
        <f>K47*Budget!$B$36</f>
        <v>705</v>
      </c>
      <c r="M47" s="63">
        <f>MAX(0,L47-Calcul!AY45)</f>
        <v>705</v>
      </c>
      <c r="N47" s="63">
        <f t="shared" si="2"/>
        <v>1175</v>
      </c>
      <c r="O47" s="64">
        <f t="shared" si="7"/>
        <v>26827.130164000002</v>
      </c>
      <c r="P47" s="65">
        <f>Calcul!AZ45</f>
        <v>0</v>
      </c>
      <c r="Q47" s="66" t="str">
        <f t="shared" si="3"/>
        <v/>
      </c>
      <c r="R47" s="67">
        <f>IF(H47&gt;=Budget!$B$29,1,0)</f>
        <v>0</v>
      </c>
      <c r="S47" s="67">
        <f>IF(J47&gt;=Budget!$B$32,1,0)</f>
        <v>1</v>
      </c>
      <c r="T47" s="67">
        <f t="shared" si="4"/>
        <v>1</v>
      </c>
      <c r="U47" s="4"/>
      <c r="V47" s="4"/>
      <c r="AA47" s="68">
        <f>Budget!$B$29</f>
        <v>4000</v>
      </c>
      <c r="AB47" s="68">
        <f>Budget!$B$32</f>
        <v>4000</v>
      </c>
    </row>
    <row r="48" spans="1:28" ht="15" customHeight="1" x14ac:dyDescent="0.25">
      <c r="A48" s="55">
        <v>44</v>
      </c>
      <c r="B48" s="56">
        <f>EDATE(Budget!$B$28,A48-1)</f>
        <v>47696</v>
      </c>
      <c r="C48" s="57">
        <f>Budget!$B$7</f>
        <v>2900</v>
      </c>
      <c r="D48" s="57">
        <f>Budget!$B$18+Budget!$B$25</f>
        <v>1725</v>
      </c>
      <c r="E48" s="57">
        <f>Calcul!AX46</f>
        <v>0</v>
      </c>
      <c r="F48" s="58">
        <f t="shared" si="0"/>
        <v>1175</v>
      </c>
      <c r="G48" s="59">
        <f>IF(B48&lt;=Budget!$B$30,MAX(0,MIN(F48,Budget!$B$29-H47)),0)</f>
        <v>0</v>
      </c>
      <c r="H48" s="60">
        <f t="shared" si="5"/>
        <v>3511.3</v>
      </c>
      <c r="I48" s="61">
        <f>MAX(0,MIN(F48-G48,Budget!$B$32-J47))</f>
        <v>0</v>
      </c>
      <c r="J48" s="62">
        <f t="shared" si="6"/>
        <v>4000</v>
      </c>
      <c r="K48" s="63">
        <f t="shared" si="1"/>
        <v>1175</v>
      </c>
      <c r="L48" s="63">
        <f>K48*Budget!$B$36</f>
        <v>705</v>
      </c>
      <c r="M48" s="63">
        <f>MAX(0,L48-Calcul!AY46)</f>
        <v>705</v>
      </c>
      <c r="N48" s="63">
        <f t="shared" si="2"/>
        <v>1175</v>
      </c>
      <c r="O48" s="64">
        <f t="shared" si="7"/>
        <v>28002.130164000002</v>
      </c>
      <c r="P48" s="65">
        <f>Calcul!AZ46</f>
        <v>0</v>
      </c>
      <c r="Q48" s="66" t="str">
        <f t="shared" si="3"/>
        <v/>
      </c>
      <c r="R48" s="67">
        <f>IF(H48&gt;=Budget!$B$29,1,0)</f>
        <v>0</v>
      </c>
      <c r="S48" s="67">
        <f>IF(J48&gt;=Budget!$B$32,1,0)</f>
        <v>1</v>
      </c>
      <c r="T48" s="67">
        <f t="shared" si="4"/>
        <v>1</v>
      </c>
      <c r="U48" s="4"/>
      <c r="V48" s="4"/>
      <c r="AA48" s="68">
        <f>Budget!$B$29</f>
        <v>4000</v>
      </c>
      <c r="AB48" s="68">
        <f>Budget!$B$32</f>
        <v>4000</v>
      </c>
    </row>
    <row r="49" spans="1:28" ht="15" customHeight="1" x14ac:dyDescent="0.25">
      <c r="A49" s="55">
        <v>45</v>
      </c>
      <c r="B49" s="56">
        <f>EDATE(Budget!$B$28,A49-1)</f>
        <v>47727</v>
      </c>
      <c r="C49" s="57">
        <f>Budget!$B$7</f>
        <v>2900</v>
      </c>
      <c r="D49" s="57">
        <f>Budget!$B$18+Budget!$B$25</f>
        <v>1725</v>
      </c>
      <c r="E49" s="57">
        <f>Calcul!AX47</f>
        <v>0</v>
      </c>
      <c r="F49" s="58">
        <f t="shared" si="0"/>
        <v>1175</v>
      </c>
      <c r="G49" s="59">
        <f>IF(B49&lt;=Budget!$B$30,MAX(0,MIN(F49,Budget!$B$29-H48)),0)</f>
        <v>0</v>
      </c>
      <c r="H49" s="60">
        <f t="shared" si="5"/>
        <v>3511.3</v>
      </c>
      <c r="I49" s="61">
        <f>MAX(0,MIN(F49-G49,Budget!$B$32-J48))</f>
        <v>0</v>
      </c>
      <c r="J49" s="62">
        <f t="shared" si="6"/>
        <v>4000</v>
      </c>
      <c r="K49" s="63">
        <f t="shared" si="1"/>
        <v>1175</v>
      </c>
      <c r="L49" s="63">
        <f>K49*Budget!$B$36</f>
        <v>705</v>
      </c>
      <c r="M49" s="63">
        <f>MAX(0,L49-Calcul!AY47)</f>
        <v>705</v>
      </c>
      <c r="N49" s="63">
        <f t="shared" si="2"/>
        <v>1175</v>
      </c>
      <c r="O49" s="64">
        <f t="shared" si="7"/>
        <v>29177.130164000002</v>
      </c>
      <c r="P49" s="65">
        <f>Calcul!AZ47</f>
        <v>0</v>
      </c>
      <c r="Q49" s="66" t="str">
        <f t="shared" si="3"/>
        <v/>
      </c>
      <c r="R49" s="67">
        <f>IF(H49&gt;=Budget!$B$29,1,0)</f>
        <v>0</v>
      </c>
      <c r="S49" s="67">
        <f>IF(J49&gt;=Budget!$B$32,1,0)</f>
        <v>1</v>
      </c>
      <c r="T49" s="67">
        <f t="shared" si="4"/>
        <v>1</v>
      </c>
      <c r="U49" s="4"/>
      <c r="V49" s="4"/>
      <c r="AA49" s="68">
        <f>Budget!$B$29</f>
        <v>4000</v>
      </c>
      <c r="AB49" s="68">
        <f>Budget!$B$32</f>
        <v>4000</v>
      </c>
    </row>
    <row r="50" spans="1:28" ht="15" customHeight="1" x14ac:dyDescent="0.25">
      <c r="A50" s="55">
        <v>46</v>
      </c>
      <c r="B50" s="56">
        <f>EDATE(Budget!$B$28,A50-1)</f>
        <v>47757</v>
      </c>
      <c r="C50" s="57">
        <f>Budget!$B$7</f>
        <v>2900</v>
      </c>
      <c r="D50" s="57">
        <f>Budget!$B$18+Budget!$B$25</f>
        <v>1725</v>
      </c>
      <c r="E50" s="57">
        <f>Calcul!AX48</f>
        <v>0</v>
      </c>
      <c r="F50" s="58">
        <f t="shared" si="0"/>
        <v>1175</v>
      </c>
      <c r="G50" s="59">
        <f>IF(B50&lt;=Budget!$B$30,MAX(0,MIN(F50,Budget!$B$29-H49)),0)</f>
        <v>0</v>
      </c>
      <c r="H50" s="60">
        <f t="shared" si="5"/>
        <v>3511.3</v>
      </c>
      <c r="I50" s="61">
        <f>MAX(0,MIN(F50-G50,Budget!$B$32-J49))</f>
        <v>0</v>
      </c>
      <c r="J50" s="62">
        <f t="shared" si="6"/>
        <v>4000</v>
      </c>
      <c r="K50" s="63">
        <f t="shared" si="1"/>
        <v>1175</v>
      </c>
      <c r="L50" s="63">
        <f>K50*Budget!$B$36</f>
        <v>705</v>
      </c>
      <c r="M50" s="63">
        <f>MAX(0,L50-Calcul!AY48)</f>
        <v>705</v>
      </c>
      <c r="N50" s="63">
        <f t="shared" si="2"/>
        <v>1175</v>
      </c>
      <c r="O50" s="64">
        <f t="shared" si="7"/>
        <v>30352.130164000002</v>
      </c>
      <c r="P50" s="65">
        <f>Calcul!AZ48</f>
        <v>0</v>
      </c>
      <c r="Q50" s="66" t="str">
        <f t="shared" si="3"/>
        <v/>
      </c>
      <c r="R50" s="67">
        <f>IF(H50&gt;=Budget!$B$29,1,0)</f>
        <v>0</v>
      </c>
      <c r="S50" s="67">
        <f>IF(J50&gt;=Budget!$B$32,1,0)</f>
        <v>1</v>
      </c>
      <c r="T50" s="67">
        <f t="shared" si="4"/>
        <v>1</v>
      </c>
      <c r="U50" s="4"/>
      <c r="V50" s="4"/>
      <c r="AA50" s="68">
        <f>Budget!$B$29</f>
        <v>4000</v>
      </c>
      <c r="AB50" s="68">
        <f>Budget!$B$32</f>
        <v>4000</v>
      </c>
    </row>
    <row r="51" spans="1:28" ht="15" customHeight="1" x14ac:dyDescent="0.25">
      <c r="A51" s="55">
        <v>47</v>
      </c>
      <c r="B51" s="56">
        <f>EDATE(Budget!$B$28,A51-1)</f>
        <v>47788</v>
      </c>
      <c r="C51" s="57">
        <f>Budget!$B$7</f>
        <v>2900</v>
      </c>
      <c r="D51" s="57">
        <f>Budget!$B$18+Budget!$B$25</f>
        <v>1725</v>
      </c>
      <c r="E51" s="57">
        <f>Calcul!AX49</f>
        <v>0</v>
      </c>
      <c r="F51" s="58">
        <f t="shared" si="0"/>
        <v>1175</v>
      </c>
      <c r="G51" s="59">
        <f>IF(B51&lt;=Budget!$B$30,MAX(0,MIN(F51,Budget!$B$29-H50)),0)</f>
        <v>0</v>
      </c>
      <c r="H51" s="60">
        <f t="shared" si="5"/>
        <v>3511.3</v>
      </c>
      <c r="I51" s="61">
        <f>MAX(0,MIN(F51-G51,Budget!$B$32-J50))</f>
        <v>0</v>
      </c>
      <c r="J51" s="62">
        <f t="shared" si="6"/>
        <v>4000</v>
      </c>
      <c r="K51" s="63">
        <f t="shared" si="1"/>
        <v>1175</v>
      </c>
      <c r="L51" s="63">
        <f>K51*Budget!$B$36</f>
        <v>705</v>
      </c>
      <c r="M51" s="63">
        <f>MAX(0,L51-Calcul!AY49)</f>
        <v>705</v>
      </c>
      <c r="N51" s="63">
        <f t="shared" si="2"/>
        <v>1175</v>
      </c>
      <c r="O51" s="64">
        <f t="shared" si="7"/>
        <v>31527.130164000002</v>
      </c>
      <c r="P51" s="65">
        <f>Calcul!AZ49</f>
        <v>0</v>
      </c>
      <c r="Q51" s="66" t="str">
        <f t="shared" si="3"/>
        <v/>
      </c>
      <c r="R51" s="67">
        <f>IF(H51&gt;=Budget!$B$29,1,0)</f>
        <v>0</v>
      </c>
      <c r="S51" s="67">
        <f>IF(J51&gt;=Budget!$B$32,1,0)</f>
        <v>1</v>
      </c>
      <c r="T51" s="67">
        <f t="shared" si="4"/>
        <v>1</v>
      </c>
      <c r="U51" s="4"/>
      <c r="V51" s="4"/>
      <c r="AA51" s="68">
        <f>Budget!$B$29</f>
        <v>4000</v>
      </c>
      <c r="AB51" s="68">
        <f>Budget!$B$32</f>
        <v>4000</v>
      </c>
    </row>
    <row r="52" spans="1:28" ht="15" customHeight="1" x14ac:dyDescent="0.25">
      <c r="A52" s="55">
        <v>48</v>
      </c>
      <c r="B52" s="56">
        <f>EDATE(Budget!$B$28,A52-1)</f>
        <v>47818</v>
      </c>
      <c r="C52" s="57">
        <f>Budget!$B$7</f>
        <v>2900</v>
      </c>
      <c r="D52" s="57">
        <f>Budget!$B$18+Budget!$B$25</f>
        <v>1725</v>
      </c>
      <c r="E52" s="57">
        <f>Calcul!AX50</f>
        <v>0</v>
      </c>
      <c r="F52" s="58">
        <f t="shared" si="0"/>
        <v>1175</v>
      </c>
      <c r="G52" s="59">
        <f>IF(B52&lt;=Budget!$B$30,MAX(0,MIN(F52,Budget!$B$29-H51)),0)</f>
        <v>0</v>
      </c>
      <c r="H52" s="60">
        <f t="shared" si="5"/>
        <v>3511.3</v>
      </c>
      <c r="I52" s="61">
        <f>MAX(0,MIN(F52-G52,Budget!$B$32-J51))</f>
        <v>0</v>
      </c>
      <c r="J52" s="62">
        <f t="shared" si="6"/>
        <v>4000</v>
      </c>
      <c r="K52" s="63">
        <f t="shared" si="1"/>
        <v>1175</v>
      </c>
      <c r="L52" s="63">
        <f>K52*Budget!$B$36</f>
        <v>705</v>
      </c>
      <c r="M52" s="63">
        <f>MAX(0,L52-Calcul!AY50)</f>
        <v>705</v>
      </c>
      <c r="N52" s="63">
        <f t="shared" si="2"/>
        <v>1175</v>
      </c>
      <c r="O52" s="64">
        <f t="shared" si="7"/>
        <v>32702.130164000002</v>
      </c>
      <c r="P52" s="65">
        <f>Calcul!AZ50</f>
        <v>0</v>
      </c>
      <c r="Q52" s="66" t="str">
        <f t="shared" si="3"/>
        <v/>
      </c>
      <c r="R52" s="67">
        <f>IF(H52&gt;=Budget!$B$29,1,0)</f>
        <v>0</v>
      </c>
      <c r="S52" s="67">
        <f>IF(J52&gt;=Budget!$B$32,1,0)</f>
        <v>1</v>
      </c>
      <c r="T52" s="67">
        <f t="shared" si="4"/>
        <v>1</v>
      </c>
      <c r="U52" s="4"/>
      <c r="V52" s="4"/>
      <c r="AA52" s="68">
        <f>Budget!$B$29</f>
        <v>4000</v>
      </c>
      <c r="AB52" s="68">
        <f>Budget!$B$32</f>
        <v>4000</v>
      </c>
    </row>
    <row r="53" spans="1:28" ht="15" customHeight="1" x14ac:dyDescent="0.25">
      <c r="A53" s="55">
        <v>49</v>
      </c>
      <c r="B53" s="56">
        <f>EDATE(Budget!$B$28,A53-1)</f>
        <v>47849</v>
      </c>
      <c r="C53" s="57">
        <f>Budget!$B$7</f>
        <v>2900</v>
      </c>
      <c r="D53" s="57">
        <f>Budget!$B$18+Budget!$B$25</f>
        <v>1725</v>
      </c>
      <c r="E53" s="57">
        <f>Calcul!AX51</f>
        <v>0</v>
      </c>
      <c r="F53" s="58">
        <f t="shared" si="0"/>
        <v>1175</v>
      </c>
      <c r="G53" s="59">
        <f>IF(B53&lt;=Budget!$B$30,MAX(0,MIN(F53,Budget!$B$29-H52)),0)</f>
        <v>0</v>
      </c>
      <c r="H53" s="60">
        <f t="shared" si="5"/>
        <v>3511.3</v>
      </c>
      <c r="I53" s="61">
        <f>MAX(0,MIN(F53-G53,Budget!$B$32-J52))</f>
        <v>0</v>
      </c>
      <c r="J53" s="62">
        <f t="shared" si="6"/>
        <v>4000</v>
      </c>
      <c r="K53" s="63">
        <f t="shared" si="1"/>
        <v>1175</v>
      </c>
      <c r="L53" s="63">
        <f>K53*Budget!$B$36</f>
        <v>705</v>
      </c>
      <c r="M53" s="63">
        <f>MAX(0,L53-Calcul!AY51)</f>
        <v>705</v>
      </c>
      <c r="N53" s="63">
        <f t="shared" si="2"/>
        <v>1175</v>
      </c>
      <c r="O53" s="64">
        <f t="shared" si="7"/>
        <v>33877.130164000002</v>
      </c>
      <c r="P53" s="65">
        <f>Calcul!AZ51</f>
        <v>0</v>
      </c>
      <c r="Q53" s="66" t="str">
        <f t="shared" si="3"/>
        <v/>
      </c>
      <c r="R53" s="67">
        <f>IF(H53&gt;=Budget!$B$29,1,0)</f>
        <v>0</v>
      </c>
      <c r="S53" s="67">
        <f>IF(J53&gt;=Budget!$B$32,1,0)</f>
        <v>1</v>
      </c>
      <c r="T53" s="67">
        <f t="shared" si="4"/>
        <v>1</v>
      </c>
      <c r="U53" s="4"/>
      <c r="V53" s="4"/>
      <c r="AA53" s="68">
        <f>Budget!$B$29</f>
        <v>4000</v>
      </c>
      <c r="AB53" s="68">
        <f>Budget!$B$32</f>
        <v>4000</v>
      </c>
    </row>
    <row r="54" spans="1:28" ht="15" customHeight="1" x14ac:dyDescent="0.25">
      <c r="A54" s="55">
        <v>50</v>
      </c>
      <c r="B54" s="56">
        <f>EDATE(Budget!$B$28,A54-1)</f>
        <v>47880</v>
      </c>
      <c r="C54" s="57">
        <f>Budget!$B$7</f>
        <v>2900</v>
      </c>
      <c r="D54" s="57">
        <f>Budget!$B$18+Budget!$B$25</f>
        <v>1725</v>
      </c>
      <c r="E54" s="57">
        <f>Calcul!AX52</f>
        <v>0</v>
      </c>
      <c r="F54" s="58">
        <f t="shared" si="0"/>
        <v>1175</v>
      </c>
      <c r="G54" s="59">
        <f>IF(B54&lt;=Budget!$B$30,MAX(0,MIN(F54,Budget!$B$29-H53)),0)</f>
        <v>0</v>
      </c>
      <c r="H54" s="60">
        <f t="shared" si="5"/>
        <v>3511.3</v>
      </c>
      <c r="I54" s="61">
        <f>MAX(0,MIN(F54-G54,Budget!$B$32-J53))</f>
        <v>0</v>
      </c>
      <c r="J54" s="62">
        <f t="shared" si="6"/>
        <v>4000</v>
      </c>
      <c r="K54" s="63">
        <f t="shared" si="1"/>
        <v>1175</v>
      </c>
      <c r="L54" s="63">
        <f>K54*Budget!$B$36</f>
        <v>705</v>
      </c>
      <c r="M54" s="63">
        <f>MAX(0,L54-Calcul!AY52)</f>
        <v>705</v>
      </c>
      <c r="N54" s="63">
        <f t="shared" si="2"/>
        <v>1175</v>
      </c>
      <c r="O54" s="64">
        <f t="shared" si="7"/>
        <v>35052.130164000002</v>
      </c>
      <c r="P54" s="65">
        <f>Calcul!AZ52</f>
        <v>0</v>
      </c>
      <c r="Q54" s="66" t="str">
        <f t="shared" si="3"/>
        <v/>
      </c>
      <c r="R54" s="67">
        <f>IF(H54&gt;=Budget!$B$29,1,0)</f>
        <v>0</v>
      </c>
      <c r="S54" s="67">
        <f>IF(J54&gt;=Budget!$B$32,1,0)</f>
        <v>1</v>
      </c>
      <c r="T54" s="67">
        <f t="shared" si="4"/>
        <v>1</v>
      </c>
      <c r="U54" s="4"/>
      <c r="V54" s="4"/>
      <c r="AA54" s="68">
        <f>Budget!$B$29</f>
        <v>4000</v>
      </c>
      <c r="AB54" s="68">
        <f>Budget!$B$32</f>
        <v>4000</v>
      </c>
    </row>
    <row r="55" spans="1:28" ht="15" customHeight="1" x14ac:dyDescent="0.25">
      <c r="A55" s="55">
        <v>51</v>
      </c>
      <c r="B55" s="56">
        <f>EDATE(Budget!$B$28,A55-1)</f>
        <v>47908</v>
      </c>
      <c r="C55" s="57">
        <f>Budget!$B$7</f>
        <v>2900</v>
      </c>
      <c r="D55" s="57">
        <f>Budget!$B$18+Budget!$B$25</f>
        <v>1725</v>
      </c>
      <c r="E55" s="57">
        <f>Calcul!AX53</f>
        <v>0</v>
      </c>
      <c r="F55" s="58">
        <f t="shared" si="0"/>
        <v>1175</v>
      </c>
      <c r="G55" s="59">
        <f>IF(B55&lt;=Budget!$B$30,MAX(0,MIN(F55,Budget!$B$29-H54)),0)</f>
        <v>0</v>
      </c>
      <c r="H55" s="60">
        <f t="shared" si="5"/>
        <v>3511.3</v>
      </c>
      <c r="I55" s="61">
        <f>MAX(0,MIN(F55-G55,Budget!$B$32-J54))</f>
        <v>0</v>
      </c>
      <c r="J55" s="62">
        <f t="shared" si="6"/>
        <v>4000</v>
      </c>
      <c r="K55" s="63">
        <f t="shared" si="1"/>
        <v>1175</v>
      </c>
      <c r="L55" s="63">
        <f>K55*Budget!$B$36</f>
        <v>705</v>
      </c>
      <c r="M55" s="63">
        <f>MAX(0,L55-Calcul!AY53)</f>
        <v>705</v>
      </c>
      <c r="N55" s="63">
        <f t="shared" si="2"/>
        <v>1175</v>
      </c>
      <c r="O55" s="64">
        <f t="shared" si="7"/>
        <v>36227.130164000002</v>
      </c>
      <c r="P55" s="65">
        <f>Calcul!AZ53</f>
        <v>0</v>
      </c>
      <c r="Q55" s="66" t="str">
        <f t="shared" si="3"/>
        <v/>
      </c>
      <c r="R55" s="67">
        <f>IF(H55&gt;=Budget!$B$29,1,0)</f>
        <v>0</v>
      </c>
      <c r="S55" s="67">
        <f>IF(J55&gt;=Budget!$B$32,1,0)</f>
        <v>1</v>
      </c>
      <c r="T55" s="67">
        <f t="shared" si="4"/>
        <v>1</v>
      </c>
      <c r="U55" s="4"/>
      <c r="V55" s="4"/>
      <c r="AA55" s="68">
        <f>Budget!$B$29</f>
        <v>4000</v>
      </c>
      <c r="AB55" s="68">
        <f>Budget!$B$32</f>
        <v>4000</v>
      </c>
    </row>
    <row r="56" spans="1:28" ht="15" customHeight="1" x14ac:dyDescent="0.25">
      <c r="A56" s="55">
        <v>52</v>
      </c>
      <c r="B56" s="56">
        <f>EDATE(Budget!$B$28,A56-1)</f>
        <v>47939</v>
      </c>
      <c r="C56" s="57">
        <f>Budget!$B$7</f>
        <v>2900</v>
      </c>
      <c r="D56" s="57">
        <f>Budget!$B$18+Budget!$B$25</f>
        <v>1725</v>
      </c>
      <c r="E56" s="57">
        <f>Calcul!AX54</f>
        <v>0</v>
      </c>
      <c r="F56" s="58">
        <f t="shared" si="0"/>
        <v>1175</v>
      </c>
      <c r="G56" s="59">
        <f>IF(B56&lt;=Budget!$B$30,MAX(0,MIN(F56,Budget!$B$29-H55)),0)</f>
        <v>0</v>
      </c>
      <c r="H56" s="60">
        <f t="shared" si="5"/>
        <v>3511.3</v>
      </c>
      <c r="I56" s="61">
        <f>MAX(0,MIN(F56-G56,Budget!$B$32-J55))</f>
        <v>0</v>
      </c>
      <c r="J56" s="62">
        <f t="shared" si="6"/>
        <v>4000</v>
      </c>
      <c r="K56" s="63">
        <f t="shared" si="1"/>
        <v>1175</v>
      </c>
      <c r="L56" s="63">
        <f>K56*Budget!$B$36</f>
        <v>705</v>
      </c>
      <c r="M56" s="63">
        <f>MAX(0,L56-Calcul!AY54)</f>
        <v>705</v>
      </c>
      <c r="N56" s="63">
        <f t="shared" si="2"/>
        <v>1175</v>
      </c>
      <c r="O56" s="64">
        <f t="shared" si="7"/>
        <v>37402.130164000002</v>
      </c>
      <c r="P56" s="65">
        <f>Calcul!AZ54</f>
        <v>0</v>
      </c>
      <c r="Q56" s="66" t="str">
        <f t="shared" si="3"/>
        <v/>
      </c>
      <c r="R56" s="67">
        <f>IF(H56&gt;=Budget!$B$29,1,0)</f>
        <v>0</v>
      </c>
      <c r="S56" s="67">
        <f>IF(J56&gt;=Budget!$B$32,1,0)</f>
        <v>1</v>
      </c>
      <c r="T56" s="67">
        <f t="shared" si="4"/>
        <v>1</v>
      </c>
      <c r="U56" s="4"/>
      <c r="V56" s="4"/>
      <c r="AA56" s="68">
        <f>Budget!$B$29</f>
        <v>4000</v>
      </c>
      <c r="AB56" s="68">
        <f>Budget!$B$32</f>
        <v>4000</v>
      </c>
    </row>
    <row r="57" spans="1:28" ht="15" customHeight="1" x14ac:dyDescent="0.25">
      <c r="A57" s="55">
        <v>53</v>
      </c>
      <c r="B57" s="56">
        <f>EDATE(Budget!$B$28,A57-1)</f>
        <v>47969</v>
      </c>
      <c r="C57" s="57">
        <f>Budget!$B$7</f>
        <v>2900</v>
      </c>
      <c r="D57" s="57">
        <f>Budget!$B$18+Budget!$B$25</f>
        <v>1725</v>
      </c>
      <c r="E57" s="57">
        <f>Calcul!AX55</f>
        <v>0</v>
      </c>
      <c r="F57" s="58">
        <f t="shared" si="0"/>
        <v>1175</v>
      </c>
      <c r="G57" s="59">
        <f>IF(B57&lt;=Budget!$B$30,MAX(0,MIN(F57,Budget!$B$29-H56)),0)</f>
        <v>0</v>
      </c>
      <c r="H57" s="60">
        <f t="shared" si="5"/>
        <v>3511.3</v>
      </c>
      <c r="I57" s="61">
        <f>MAX(0,MIN(F57-G57,Budget!$B$32-J56))</f>
        <v>0</v>
      </c>
      <c r="J57" s="62">
        <f t="shared" si="6"/>
        <v>4000</v>
      </c>
      <c r="K57" s="63">
        <f t="shared" si="1"/>
        <v>1175</v>
      </c>
      <c r="L57" s="63">
        <f>K57*Budget!$B$36</f>
        <v>705</v>
      </c>
      <c r="M57" s="63">
        <f>MAX(0,L57-Calcul!AY55)</f>
        <v>705</v>
      </c>
      <c r="N57" s="63">
        <f t="shared" si="2"/>
        <v>1175</v>
      </c>
      <c r="O57" s="64">
        <f t="shared" si="7"/>
        <v>38577.130164000002</v>
      </c>
      <c r="P57" s="65">
        <f>Calcul!AZ55</f>
        <v>0</v>
      </c>
      <c r="Q57" s="66" t="str">
        <f t="shared" si="3"/>
        <v/>
      </c>
      <c r="R57" s="67">
        <f>IF(H57&gt;=Budget!$B$29,1,0)</f>
        <v>0</v>
      </c>
      <c r="S57" s="67">
        <f>IF(J57&gt;=Budget!$B$32,1,0)</f>
        <v>1</v>
      </c>
      <c r="T57" s="67">
        <f t="shared" si="4"/>
        <v>1</v>
      </c>
      <c r="U57" s="4"/>
      <c r="V57" s="4"/>
      <c r="AA57" s="68">
        <f>Budget!$B$29</f>
        <v>4000</v>
      </c>
      <c r="AB57" s="68">
        <f>Budget!$B$32</f>
        <v>4000</v>
      </c>
    </row>
    <row r="58" spans="1:28" ht="15" customHeight="1" x14ac:dyDescent="0.25">
      <c r="A58" s="55">
        <v>54</v>
      </c>
      <c r="B58" s="56">
        <f>EDATE(Budget!$B$28,A58-1)</f>
        <v>48000</v>
      </c>
      <c r="C58" s="57">
        <f>Budget!$B$7</f>
        <v>2900</v>
      </c>
      <c r="D58" s="57">
        <f>Budget!$B$18+Budget!$B$25</f>
        <v>1725</v>
      </c>
      <c r="E58" s="57">
        <f>Calcul!AX56</f>
        <v>0</v>
      </c>
      <c r="F58" s="58">
        <f t="shared" si="0"/>
        <v>1175</v>
      </c>
      <c r="G58" s="59">
        <f>IF(B58&lt;=Budget!$B$30,MAX(0,MIN(F58,Budget!$B$29-H57)),0)</f>
        <v>0</v>
      </c>
      <c r="H58" s="60">
        <f t="shared" si="5"/>
        <v>3511.3</v>
      </c>
      <c r="I58" s="61">
        <f>MAX(0,MIN(F58-G58,Budget!$B$32-J57))</f>
        <v>0</v>
      </c>
      <c r="J58" s="62">
        <f t="shared" si="6"/>
        <v>4000</v>
      </c>
      <c r="K58" s="63">
        <f t="shared" si="1"/>
        <v>1175</v>
      </c>
      <c r="L58" s="63">
        <f>K58*Budget!$B$36</f>
        <v>705</v>
      </c>
      <c r="M58" s="63">
        <f>MAX(0,L58-Calcul!AY56)</f>
        <v>705</v>
      </c>
      <c r="N58" s="63">
        <f t="shared" si="2"/>
        <v>1175</v>
      </c>
      <c r="O58" s="64">
        <f t="shared" si="7"/>
        <v>39752.130164000002</v>
      </c>
      <c r="P58" s="65">
        <f>Calcul!AZ56</f>
        <v>0</v>
      </c>
      <c r="Q58" s="66" t="str">
        <f t="shared" si="3"/>
        <v/>
      </c>
      <c r="R58" s="67">
        <f>IF(H58&gt;=Budget!$B$29,1,0)</f>
        <v>0</v>
      </c>
      <c r="S58" s="67">
        <f>IF(J58&gt;=Budget!$B$32,1,0)</f>
        <v>1</v>
      </c>
      <c r="T58" s="67">
        <f t="shared" si="4"/>
        <v>1</v>
      </c>
      <c r="U58" s="4"/>
      <c r="V58" s="4"/>
      <c r="AA58" s="68">
        <f>Budget!$B$29</f>
        <v>4000</v>
      </c>
      <c r="AB58" s="68">
        <f>Budget!$B$32</f>
        <v>4000</v>
      </c>
    </row>
    <row r="59" spans="1:28" ht="15" customHeight="1" x14ac:dyDescent="0.25">
      <c r="A59" s="55">
        <v>55</v>
      </c>
      <c r="B59" s="56">
        <f>EDATE(Budget!$B$28,A59-1)</f>
        <v>48030</v>
      </c>
      <c r="C59" s="57">
        <f>Budget!$B$7</f>
        <v>2900</v>
      </c>
      <c r="D59" s="57">
        <f>Budget!$B$18+Budget!$B$25</f>
        <v>1725</v>
      </c>
      <c r="E59" s="57">
        <f>Calcul!AX57</f>
        <v>0</v>
      </c>
      <c r="F59" s="58">
        <f t="shared" si="0"/>
        <v>1175</v>
      </c>
      <c r="G59" s="59">
        <f>IF(B59&lt;=Budget!$B$30,MAX(0,MIN(F59,Budget!$B$29-H58)),0)</f>
        <v>0</v>
      </c>
      <c r="H59" s="60">
        <f t="shared" si="5"/>
        <v>3511.3</v>
      </c>
      <c r="I59" s="61">
        <f>MAX(0,MIN(F59-G59,Budget!$B$32-J58))</f>
        <v>0</v>
      </c>
      <c r="J59" s="62">
        <f t="shared" si="6"/>
        <v>4000</v>
      </c>
      <c r="K59" s="63">
        <f t="shared" si="1"/>
        <v>1175</v>
      </c>
      <c r="L59" s="63">
        <f>K59*Budget!$B$36</f>
        <v>705</v>
      </c>
      <c r="M59" s="63">
        <f>MAX(0,L59-Calcul!AY57)</f>
        <v>705</v>
      </c>
      <c r="N59" s="63">
        <f t="shared" si="2"/>
        <v>1175</v>
      </c>
      <c r="O59" s="64">
        <f t="shared" si="7"/>
        <v>40927.130164000002</v>
      </c>
      <c r="P59" s="65">
        <f>Calcul!AZ57</f>
        <v>0</v>
      </c>
      <c r="Q59" s="66" t="str">
        <f t="shared" si="3"/>
        <v/>
      </c>
      <c r="R59" s="67">
        <f>IF(H59&gt;=Budget!$B$29,1,0)</f>
        <v>0</v>
      </c>
      <c r="S59" s="67">
        <f>IF(J59&gt;=Budget!$B$32,1,0)</f>
        <v>1</v>
      </c>
      <c r="T59" s="67">
        <f t="shared" si="4"/>
        <v>1</v>
      </c>
      <c r="U59" s="4"/>
      <c r="V59" s="4"/>
      <c r="AA59" s="68">
        <f>Budget!$B$29</f>
        <v>4000</v>
      </c>
      <c r="AB59" s="68">
        <f>Budget!$B$32</f>
        <v>4000</v>
      </c>
    </row>
    <row r="60" spans="1:28" ht="15" customHeight="1" x14ac:dyDescent="0.25">
      <c r="A60" s="55">
        <v>56</v>
      </c>
      <c r="B60" s="56">
        <f>EDATE(Budget!$B$28,A60-1)</f>
        <v>48061</v>
      </c>
      <c r="C60" s="57">
        <f>Budget!$B$7</f>
        <v>2900</v>
      </c>
      <c r="D60" s="57">
        <f>Budget!$B$18+Budget!$B$25</f>
        <v>1725</v>
      </c>
      <c r="E60" s="57">
        <f>Calcul!AX58</f>
        <v>0</v>
      </c>
      <c r="F60" s="58">
        <f t="shared" si="0"/>
        <v>1175</v>
      </c>
      <c r="G60" s="59">
        <f>IF(B60&lt;=Budget!$B$30,MAX(0,MIN(F60,Budget!$B$29-H59)),0)</f>
        <v>0</v>
      </c>
      <c r="H60" s="60">
        <f t="shared" si="5"/>
        <v>3511.3</v>
      </c>
      <c r="I60" s="61">
        <f>MAX(0,MIN(F60-G60,Budget!$B$32-J59))</f>
        <v>0</v>
      </c>
      <c r="J60" s="62">
        <f t="shared" si="6"/>
        <v>4000</v>
      </c>
      <c r="K60" s="63">
        <f t="shared" si="1"/>
        <v>1175</v>
      </c>
      <c r="L60" s="63">
        <f>K60*Budget!$B$36</f>
        <v>705</v>
      </c>
      <c r="M60" s="63">
        <f>MAX(0,L60-Calcul!AY58)</f>
        <v>705</v>
      </c>
      <c r="N60" s="63">
        <f t="shared" si="2"/>
        <v>1175</v>
      </c>
      <c r="O60" s="64">
        <f t="shared" si="7"/>
        <v>42102.130164000002</v>
      </c>
      <c r="P60" s="65">
        <f>Calcul!AZ58</f>
        <v>0</v>
      </c>
      <c r="Q60" s="66" t="str">
        <f t="shared" si="3"/>
        <v/>
      </c>
      <c r="R60" s="67">
        <f>IF(H60&gt;=Budget!$B$29,1,0)</f>
        <v>0</v>
      </c>
      <c r="S60" s="67">
        <f>IF(J60&gt;=Budget!$B$32,1,0)</f>
        <v>1</v>
      </c>
      <c r="T60" s="67">
        <f t="shared" si="4"/>
        <v>1</v>
      </c>
      <c r="U60" s="4"/>
      <c r="V60" s="4"/>
      <c r="AA60" s="68">
        <f>Budget!$B$29</f>
        <v>4000</v>
      </c>
      <c r="AB60" s="68">
        <f>Budget!$B$32</f>
        <v>4000</v>
      </c>
    </row>
    <row r="61" spans="1:28" ht="15" customHeight="1" x14ac:dyDescent="0.25">
      <c r="A61" s="55">
        <v>57</v>
      </c>
      <c r="B61" s="56">
        <f>EDATE(Budget!$B$28,A61-1)</f>
        <v>48092</v>
      </c>
      <c r="C61" s="57">
        <f>Budget!$B$7</f>
        <v>2900</v>
      </c>
      <c r="D61" s="57">
        <f>Budget!$B$18+Budget!$B$25</f>
        <v>1725</v>
      </c>
      <c r="E61" s="57">
        <f>Calcul!AX59</f>
        <v>0</v>
      </c>
      <c r="F61" s="58">
        <f t="shared" si="0"/>
        <v>1175</v>
      </c>
      <c r="G61" s="59">
        <f>IF(B61&lt;=Budget!$B$30,MAX(0,MIN(F61,Budget!$B$29-H60)),0)</f>
        <v>0</v>
      </c>
      <c r="H61" s="60">
        <f t="shared" si="5"/>
        <v>3511.3</v>
      </c>
      <c r="I61" s="61">
        <f>MAX(0,MIN(F61-G61,Budget!$B$32-J60))</f>
        <v>0</v>
      </c>
      <c r="J61" s="62">
        <f t="shared" si="6"/>
        <v>4000</v>
      </c>
      <c r="K61" s="63">
        <f t="shared" si="1"/>
        <v>1175</v>
      </c>
      <c r="L61" s="63">
        <f>K61*Budget!$B$36</f>
        <v>705</v>
      </c>
      <c r="M61" s="63">
        <f>MAX(0,L61-Calcul!AY59)</f>
        <v>705</v>
      </c>
      <c r="N61" s="63">
        <f t="shared" si="2"/>
        <v>1175</v>
      </c>
      <c r="O61" s="64">
        <f t="shared" si="7"/>
        <v>43277.130164000002</v>
      </c>
      <c r="P61" s="65">
        <f>Calcul!AZ59</f>
        <v>0</v>
      </c>
      <c r="Q61" s="66" t="str">
        <f t="shared" si="3"/>
        <v/>
      </c>
      <c r="R61" s="67">
        <f>IF(H61&gt;=Budget!$B$29,1,0)</f>
        <v>0</v>
      </c>
      <c r="S61" s="67">
        <f>IF(J61&gt;=Budget!$B$32,1,0)</f>
        <v>1</v>
      </c>
      <c r="T61" s="67">
        <f t="shared" si="4"/>
        <v>1</v>
      </c>
      <c r="U61" s="4"/>
      <c r="V61" s="4"/>
      <c r="AA61" s="68">
        <f>Budget!$B$29</f>
        <v>4000</v>
      </c>
      <c r="AB61" s="68">
        <f>Budget!$B$32</f>
        <v>4000</v>
      </c>
    </row>
    <row r="62" spans="1:28" ht="15" customHeight="1" x14ac:dyDescent="0.25">
      <c r="A62" s="55">
        <v>58</v>
      </c>
      <c r="B62" s="56">
        <f>EDATE(Budget!$B$28,A62-1)</f>
        <v>48122</v>
      </c>
      <c r="C62" s="57">
        <f>Budget!$B$7</f>
        <v>2900</v>
      </c>
      <c r="D62" s="57">
        <f>Budget!$B$18+Budget!$B$25</f>
        <v>1725</v>
      </c>
      <c r="E62" s="57">
        <f>Calcul!AX60</f>
        <v>0</v>
      </c>
      <c r="F62" s="58">
        <f t="shared" si="0"/>
        <v>1175</v>
      </c>
      <c r="G62" s="59">
        <f>IF(B62&lt;=Budget!$B$30,MAX(0,MIN(F62,Budget!$B$29-H61)),0)</f>
        <v>0</v>
      </c>
      <c r="H62" s="60">
        <f t="shared" si="5"/>
        <v>3511.3</v>
      </c>
      <c r="I62" s="61">
        <f>MAX(0,MIN(F62-G62,Budget!$B$32-J61))</f>
        <v>0</v>
      </c>
      <c r="J62" s="62">
        <f t="shared" si="6"/>
        <v>4000</v>
      </c>
      <c r="K62" s="63">
        <f t="shared" si="1"/>
        <v>1175</v>
      </c>
      <c r="L62" s="63">
        <f>K62*Budget!$B$36</f>
        <v>705</v>
      </c>
      <c r="M62" s="63">
        <f>MAX(0,L62-Calcul!AY60)</f>
        <v>705</v>
      </c>
      <c r="N62" s="63">
        <f t="shared" si="2"/>
        <v>1175</v>
      </c>
      <c r="O62" s="64">
        <f t="shared" si="7"/>
        <v>44452.130164000002</v>
      </c>
      <c r="P62" s="65">
        <f>Calcul!AZ60</f>
        <v>0</v>
      </c>
      <c r="Q62" s="66" t="str">
        <f t="shared" si="3"/>
        <v/>
      </c>
      <c r="R62" s="67">
        <f>IF(H62&gt;=Budget!$B$29,1,0)</f>
        <v>0</v>
      </c>
      <c r="S62" s="67">
        <f>IF(J62&gt;=Budget!$B$32,1,0)</f>
        <v>1</v>
      </c>
      <c r="T62" s="67">
        <f t="shared" si="4"/>
        <v>1</v>
      </c>
      <c r="U62" s="4"/>
      <c r="V62" s="4"/>
      <c r="AA62" s="68">
        <f>Budget!$B$29</f>
        <v>4000</v>
      </c>
      <c r="AB62" s="68">
        <f>Budget!$B$32</f>
        <v>4000</v>
      </c>
    </row>
    <row r="63" spans="1:28" ht="15" customHeight="1" x14ac:dyDescent="0.25">
      <c r="A63" s="55">
        <v>59</v>
      </c>
      <c r="B63" s="56">
        <f>EDATE(Budget!$B$28,A63-1)</f>
        <v>48153</v>
      </c>
      <c r="C63" s="57">
        <f>Budget!$B$7</f>
        <v>2900</v>
      </c>
      <c r="D63" s="57">
        <f>Budget!$B$18+Budget!$B$25</f>
        <v>1725</v>
      </c>
      <c r="E63" s="57">
        <f>Calcul!AX61</f>
        <v>0</v>
      </c>
      <c r="F63" s="58">
        <f t="shared" si="0"/>
        <v>1175</v>
      </c>
      <c r="G63" s="59">
        <f>IF(B63&lt;=Budget!$B$30,MAX(0,MIN(F63,Budget!$B$29-H62)),0)</f>
        <v>0</v>
      </c>
      <c r="H63" s="60">
        <f t="shared" si="5"/>
        <v>3511.3</v>
      </c>
      <c r="I63" s="61">
        <f>MAX(0,MIN(F63-G63,Budget!$B$32-J62))</f>
        <v>0</v>
      </c>
      <c r="J63" s="62">
        <f t="shared" si="6"/>
        <v>4000</v>
      </c>
      <c r="K63" s="63">
        <f t="shared" si="1"/>
        <v>1175</v>
      </c>
      <c r="L63" s="63">
        <f>K63*Budget!$B$36</f>
        <v>705</v>
      </c>
      <c r="M63" s="63">
        <f>MAX(0,L63-Calcul!AY61)</f>
        <v>705</v>
      </c>
      <c r="N63" s="63">
        <f t="shared" si="2"/>
        <v>1175</v>
      </c>
      <c r="O63" s="64">
        <f t="shared" si="7"/>
        <v>45627.130164000002</v>
      </c>
      <c r="P63" s="65">
        <f>Calcul!AZ61</f>
        <v>0</v>
      </c>
      <c r="Q63" s="66" t="str">
        <f t="shared" si="3"/>
        <v/>
      </c>
      <c r="R63" s="67">
        <f>IF(H63&gt;=Budget!$B$29,1,0)</f>
        <v>0</v>
      </c>
      <c r="S63" s="67">
        <f>IF(J63&gt;=Budget!$B$32,1,0)</f>
        <v>1</v>
      </c>
      <c r="T63" s="67">
        <f t="shared" si="4"/>
        <v>1</v>
      </c>
      <c r="U63" s="4"/>
      <c r="V63" s="4"/>
      <c r="AA63" s="68">
        <f>Budget!$B$29</f>
        <v>4000</v>
      </c>
      <c r="AB63" s="68">
        <f>Budget!$B$32</f>
        <v>4000</v>
      </c>
    </row>
    <row r="64" spans="1:28" ht="15" customHeight="1" x14ac:dyDescent="0.25">
      <c r="A64" s="55">
        <v>60</v>
      </c>
      <c r="B64" s="56">
        <f>EDATE(Budget!$B$28,A64-1)</f>
        <v>48183</v>
      </c>
      <c r="C64" s="57">
        <f>Budget!$B$7</f>
        <v>2900</v>
      </c>
      <c r="D64" s="57">
        <f>Budget!$B$18+Budget!$B$25</f>
        <v>1725</v>
      </c>
      <c r="E64" s="57">
        <f>Calcul!AX62</f>
        <v>0</v>
      </c>
      <c r="F64" s="58">
        <f t="shared" si="0"/>
        <v>1175</v>
      </c>
      <c r="G64" s="59">
        <f>IF(B64&lt;=Budget!$B$30,MAX(0,MIN(F64,Budget!$B$29-H63)),0)</f>
        <v>0</v>
      </c>
      <c r="H64" s="60">
        <f t="shared" si="5"/>
        <v>3511.3</v>
      </c>
      <c r="I64" s="61">
        <f>MAX(0,MIN(F64-G64,Budget!$B$32-J63))</f>
        <v>0</v>
      </c>
      <c r="J64" s="62">
        <f t="shared" si="6"/>
        <v>4000</v>
      </c>
      <c r="K64" s="63">
        <f t="shared" si="1"/>
        <v>1175</v>
      </c>
      <c r="L64" s="63">
        <f>K64*Budget!$B$36</f>
        <v>705</v>
      </c>
      <c r="M64" s="63">
        <f>MAX(0,L64-Calcul!AY62)</f>
        <v>705</v>
      </c>
      <c r="N64" s="63">
        <f t="shared" si="2"/>
        <v>1175</v>
      </c>
      <c r="O64" s="64">
        <f t="shared" si="7"/>
        <v>46802.130164000002</v>
      </c>
      <c r="P64" s="65">
        <f>Calcul!AZ62</f>
        <v>0</v>
      </c>
      <c r="Q64" s="66" t="str">
        <f t="shared" si="3"/>
        <v/>
      </c>
      <c r="R64" s="67">
        <f>IF(H64&gt;=Budget!$B$29,1,0)</f>
        <v>0</v>
      </c>
      <c r="S64" s="67">
        <f>IF(J64&gt;=Budget!$B$32,1,0)</f>
        <v>1</v>
      </c>
      <c r="T64" s="67">
        <f t="shared" si="4"/>
        <v>1</v>
      </c>
      <c r="U64" s="4"/>
      <c r="V64" s="4"/>
      <c r="AA64" s="68">
        <f>Budget!$B$29</f>
        <v>4000</v>
      </c>
      <c r="AB64" s="68">
        <f>Budget!$B$32</f>
        <v>4000</v>
      </c>
    </row>
    <row r="65" spans="1:28" ht="15" customHeight="1" x14ac:dyDescent="0.25">
      <c r="A65" s="55">
        <v>61</v>
      </c>
      <c r="B65" s="56">
        <f>EDATE(Budget!$B$28,A65-1)</f>
        <v>48214</v>
      </c>
      <c r="C65" s="57">
        <f>Budget!$B$7</f>
        <v>2900</v>
      </c>
      <c r="D65" s="57">
        <f>Budget!$B$18+Budget!$B$25</f>
        <v>1725</v>
      </c>
      <c r="E65" s="57">
        <f>Calcul!AX63</f>
        <v>0</v>
      </c>
      <c r="F65" s="58">
        <f t="shared" si="0"/>
        <v>1175</v>
      </c>
      <c r="G65" s="59">
        <f>IF(B65&lt;=Budget!$B$30,MAX(0,MIN(F65,Budget!$B$29-H64)),0)</f>
        <v>0</v>
      </c>
      <c r="H65" s="60">
        <f t="shared" si="5"/>
        <v>3511.3</v>
      </c>
      <c r="I65" s="61">
        <f>MAX(0,MIN(F65-G65,Budget!$B$32-J64))</f>
        <v>0</v>
      </c>
      <c r="J65" s="62">
        <f t="shared" si="6"/>
        <v>4000</v>
      </c>
      <c r="K65" s="63">
        <f t="shared" si="1"/>
        <v>1175</v>
      </c>
      <c r="L65" s="63">
        <f>K65*Budget!$B$36</f>
        <v>705</v>
      </c>
      <c r="M65" s="63">
        <f>MAX(0,L65-Calcul!AY63)</f>
        <v>705</v>
      </c>
      <c r="N65" s="63">
        <f t="shared" si="2"/>
        <v>1175</v>
      </c>
      <c r="O65" s="64">
        <f t="shared" si="7"/>
        <v>47977.130164000002</v>
      </c>
      <c r="P65" s="65">
        <f>Calcul!AZ63</f>
        <v>0</v>
      </c>
      <c r="Q65" s="66" t="str">
        <f t="shared" si="3"/>
        <v/>
      </c>
      <c r="R65" s="67">
        <f>IF(H65&gt;=Budget!$B$29,1,0)</f>
        <v>0</v>
      </c>
      <c r="S65" s="67">
        <f>IF(J65&gt;=Budget!$B$32,1,0)</f>
        <v>1</v>
      </c>
      <c r="T65" s="67">
        <f t="shared" si="4"/>
        <v>1</v>
      </c>
      <c r="U65" s="4"/>
      <c r="V65" s="4"/>
      <c r="AA65" s="68">
        <f>Budget!$B$29</f>
        <v>4000</v>
      </c>
      <c r="AB65" s="68">
        <f>Budget!$B$32</f>
        <v>4000</v>
      </c>
    </row>
    <row r="66" spans="1:28" ht="15" customHeight="1" x14ac:dyDescent="0.25">
      <c r="A66" s="55">
        <v>62</v>
      </c>
      <c r="B66" s="56">
        <f>EDATE(Budget!$B$28,A66-1)</f>
        <v>48245</v>
      </c>
      <c r="C66" s="57">
        <f>Budget!$B$7</f>
        <v>2900</v>
      </c>
      <c r="D66" s="57">
        <f>Budget!$B$18+Budget!$B$25</f>
        <v>1725</v>
      </c>
      <c r="E66" s="57">
        <f>Calcul!AX64</f>
        <v>0</v>
      </c>
      <c r="F66" s="58">
        <f t="shared" si="0"/>
        <v>1175</v>
      </c>
      <c r="G66" s="59">
        <f>IF(B66&lt;=Budget!$B$30,MAX(0,MIN(F66,Budget!$B$29-H65)),0)</f>
        <v>0</v>
      </c>
      <c r="H66" s="60">
        <f t="shared" si="5"/>
        <v>3511.3</v>
      </c>
      <c r="I66" s="61">
        <f>MAX(0,MIN(F66-G66,Budget!$B$32-J65))</f>
        <v>0</v>
      </c>
      <c r="J66" s="62">
        <f t="shared" si="6"/>
        <v>4000</v>
      </c>
      <c r="K66" s="63">
        <f t="shared" si="1"/>
        <v>1175</v>
      </c>
      <c r="L66" s="63">
        <f>K66*Budget!$B$36</f>
        <v>705</v>
      </c>
      <c r="M66" s="63">
        <f>MAX(0,L66-Calcul!AY64)</f>
        <v>705</v>
      </c>
      <c r="N66" s="63">
        <f t="shared" si="2"/>
        <v>1175</v>
      </c>
      <c r="O66" s="64">
        <f t="shared" si="7"/>
        <v>49152.130164000002</v>
      </c>
      <c r="P66" s="65">
        <f>Calcul!AZ64</f>
        <v>0</v>
      </c>
      <c r="Q66" s="66" t="str">
        <f t="shared" si="3"/>
        <v/>
      </c>
      <c r="R66" s="67">
        <f>IF(H66&gt;=Budget!$B$29,1,0)</f>
        <v>0</v>
      </c>
      <c r="S66" s="67">
        <f>IF(J66&gt;=Budget!$B$32,1,0)</f>
        <v>1</v>
      </c>
      <c r="T66" s="67">
        <f t="shared" si="4"/>
        <v>1</v>
      </c>
      <c r="U66" s="4"/>
      <c r="V66" s="4"/>
      <c r="AA66" s="68">
        <f>Budget!$B$29</f>
        <v>4000</v>
      </c>
      <c r="AB66" s="68">
        <f>Budget!$B$32</f>
        <v>4000</v>
      </c>
    </row>
    <row r="67" spans="1:28" ht="15" customHeight="1" x14ac:dyDescent="0.25">
      <c r="A67" s="55">
        <v>63</v>
      </c>
      <c r="B67" s="56">
        <f>EDATE(Budget!$B$28,A67-1)</f>
        <v>48274</v>
      </c>
      <c r="C67" s="57">
        <f>Budget!$B$7</f>
        <v>2900</v>
      </c>
      <c r="D67" s="57">
        <f>Budget!$B$18+Budget!$B$25</f>
        <v>1725</v>
      </c>
      <c r="E67" s="57">
        <f>Calcul!AX65</f>
        <v>0</v>
      </c>
      <c r="F67" s="58">
        <f t="shared" si="0"/>
        <v>1175</v>
      </c>
      <c r="G67" s="59">
        <f>IF(B67&lt;=Budget!$B$30,MAX(0,MIN(F67,Budget!$B$29-H66)),0)</f>
        <v>0</v>
      </c>
      <c r="H67" s="60">
        <f t="shared" si="5"/>
        <v>3511.3</v>
      </c>
      <c r="I67" s="61">
        <f>MAX(0,MIN(F67-G67,Budget!$B$32-J66))</f>
        <v>0</v>
      </c>
      <c r="J67" s="62">
        <f t="shared" si="6"/>
        <v>4000</v>
      </c>
      <c r="K67" s="63">
        <f t="shared" si="1"/>
        <v>1175</v>
      </c>
      <c r="L67" s="63">
        <f>K67*Budget!$B$36</f>
        <v>705</v>
      </c>
      <c r="M67" s="63">
        <f>MAX(0,L67-Calcul!AY65)</f>
        <v>705</v>
      </c>
      <c r="N67" s="63">
        <f t="shared" si="2"/>
        <v>1175</v>
      </c>
      <c r="O67" s="64">
        <f t="shared" si="7"/>
        <v>50327.130164000002</v>
      </c>
      <c r="P67" s="65">
        <f>Calcul!AZ65</f>
        <v>0</v>
      </c>
      <c r="Q67" s="66" t="str">
        <f t="shared" si="3"/>
        <v/>
      </c>
      <c r="R67" s="67">
        <f>IF(H67&gt;=Budget!$B$29,1,0)</f>
        <v>0</v>
      </c>
      <c r="S67" s="67">
        <f>IF(J67&gt;=Budget!$B$32,1,0)</f>
        <v>1</v>
      </c>
      <c r="T67" s="67">
        <f t="shared" si="4"/>
        <v>1</v>
      </c>
      <c r="U67" s="4"/>
      <c r="V67" s="4"/>
      <c r="AA67" s="68">
        <f>Budget!$B$29</f>
        <v>4000</v>
      </c>
      <c r="AB67" s="68">
        <f>Budget!$B$32</f>
        <v>4000</v>
      </c>
    </row>
    <row r="68" spans="1:28" ht="15" customHeight="1" x14ac:dyDescent="0.25">
      <c r="A68" s="55">
        <v>64</v>
      </c>
      <c r="B68" s="56">
        <f>EDATE(Budget!$B$28,A68-1)</f>
        <v>48305</v>
      </c>
      <c r="C68" s="57">
        <f>Budget!$B$7</f>
        <v>2900</v>
      </c>
      <c r="D68" s="57">
        <f>Budget!$B$18+Budget!$B$25</f>
        <v>1725</v>
      </c>
      <c r="E68" s="57">
        <f>Calcul!AX66</f>
        <v>0</v>
      </c>
      <c r="F68" s="58">
        <f t="shared" si="0"/>
        <v>1175</v>
      </c>
      <c r="G68" s="59">
        <f>IF(B68&lt;=Budget!$B$30,MAX(0,MIN(F68,Budget!$B$29-H67)),0)</f>
        <v>0</v>
      </c>
      <c r="H68" s="60">
        <f t="shared" si="5"/>
        <v>3511.3</v>
      </c>
      <c r="I68" s="61">
        <f>MAX(0,MIN(F68-G68,Budget!$B$32-J67))</f>
        <v>0</v>
      </c>
      <c r="J68" s="62">
        <f t="shared" si="6"/>
        <v>4000</v>
      </c>
      <c r="K68" s="63">
        <f t="shared" si="1"/>
        <v>1175</v>
      </c>
      <c r="L68" s="63">
        <f>K68*Budget!$B$36</f>
        <v>705</v>
      </c>
      <c r="M68" s="63">
        <f>MAX(0,L68-Calcul!AY66)</f>
        <v>705</v>
      </c>
      <c r="N68" s="63">
        <f t="shared" si="2"/>
        <v>1175</v>
      </c>
      <c r="O68" s="64">
        <f t="shared" si="7"/>
        <v>51502.130164000002</v>
      </c>
      <c r="P68" s="65">
        <f>Calcul!AZ66</f>
        <v>0</v>
      </c>
      <c r="Q68" s="66" t="str">
        <f t="shared" si="3"/>
        <v/>
      </c>
      <c r="R68" s="67">
        <f>IF(H68&gt;=Budget!$B$29,1,0)</f>
        <v>0</v>
      </c>
      <c r="S68" s="67">
        <f>IF(J68&gt;=Budget!$B$32,1,0)</f>
        <v>1</v>
      </c>
      <c r="T68" s="67">
        <f t="shared" si="4"/>
        <v>1</v>
      </c>
      <c r="U68" s="4"/>
      <c r="V68" s="4"/>
      <c r="AA68" s="68">
        <f>Budget!$B$29</f>
        <v>4000</v>
      </c>
      <c r="AB68" s="68">
        <f>Budget!$B$32</f>
        <v>4000</v>
      </c>
    </row>
    <row r="69" spans="1:28" ht="15" customHeight="1" x14ac:dyDescent="0.25">
      <c r="A69" s="55">
        <v>65</v>
      </c>
      <c r="B69" s="56">
        <f>EDATE(Budget!$B$28,A69-1)</f>
        <v>48335</v>
      </c>
      <c r="C69" s="57">
        <f>Budget!$B$7</f>
        <v>2900</v>
      </c>
      <c r="D69" s="57">
        <f>Budget!$B$18+Budget!$B$25</f>
        <v>1725</v>
      </c>
      <c r="E69" s="57">
        <f>Calcul!AX67</f>
        <v>0</v>
      </c>
      <c r="F69" s="58">
        <f t="shared" si="0"/>
        <v>1175</v>
      </c>
      <c r="G69" s="59">
        <f>IF(B69&lt;=Budget!$B$30,MAX(0,MIN(F69,Budget!$B$29-H68)),0)</f>
        <v>0</v>
      </c>
      <c r="H69" s="60">
        <f t="shared" si="5"/>
        <v>3511.3</v>
      </c>
      <c r="I69" s="61">
        <f>MAX(0,MIN(F69-G69,Budget!$B$32-J68))</f>
        <v>0</v>
      </c>
      <c r="J69" s="62">
        <f t="shared" si="6"/>
        <v>4000</v>
      </c>
      <c r="K69" s="63">
        <f t="shared" si="1"/>
        <v>1175</v>
      </c>
      <c r="L69" s="63">
        <f>K69*Budget!$B$36</f>
        <v>705</v>
      </c>
      <c r="M69" s="63">
        <f>MAX(0,L69-Calcul!AY67)</f>
        <v>705</v>
      </c>
      <c r="N69" s="63">
        <f t="shared" si="2"/>
        <v>1175</v>
      </c>
      <c r="O69" s="64">
        <f t="shared" si="7"/>
        <v>52677.130164000002</v>
      </c>
      <c r="P69" s="65">
        <f>Calcul!AZ67</f>
        <v>0</v>
      </c>
      <c r="Q69" s="66" t="str">
        <f t="shared" si="3"/>
        <v/>
      </c>
      <c r="R69" s="67">
        <f>IF(H69&gt;=Budget!$B$29,1,0)</f>
        <v>0</v>
      </c>
      <c r="S69" s="67">
        <f>IF(J69&gt;=Budget!$B$32,1,0)</f>
        <v>1</v>
      </c>
      <c r="T69" s="67">
        <f t="shared" si="4"/>
        <v>1</v>
      </c>
      <c r="U69" s="4"/>
      <c r="V69" s="4"/>
      <c r="AA69" s="68">
        <f>Budget!$B$29</f>
        <v>4000</v>
      </c>
      <c r="AB69" s="68">
        <f>Budget!$B$32</f>
        <v>4000</v>
      </c>
    </row>
    <row r="70" spans="1:28" ht="15" customHeight="1" x14ac:dyDescent="0.25">
      <c r="A70" s="55">
        <v>66</v>
      </c>
      <c r="B70" s="56">
        <f>EDATE(Budget!$B$28,A70-1)</f>
        <v>48366</v>
      </c>
      <c r="C70" s="57">
        <f>Budget!$B$7</f>
        <v>2900</v>
      </c>
      <c r="D70" s="57">
        <f>Budget!$B$18+Budget!$B$25</f>
        <v>1725</v>
      </c>
      <c r="E70" s="57">
        <f>Calcul!AX68</f>
        <v>0</v>
      </c>
      <c r="F70" s="58">
        <f t="shared" si="0"/>
        <v>1175</v>
      </c>
      <c r="G70" s="59">
        <f>IF(B70&lt;=Budget!$B$30,MAX(0,MIN(F70,Budget!$B$29-H69)),0)</f>
        <v>0</v>
      </c>
      <c r="H70" s="60">
        <f t="shared" si="5"/>
        <v>3511.3</v>
      </c>
      <c r="I70" s="61">
        <f>MAX(0,MIN(F70-G70,Budget!$B$32-J69))</f>
        <v>0</v>
      </c>
      <c r="J70" s="62">
        <f t="shared" si="6"/>
        <v>4000</v>
      </c>
      <c r="K70" s="63">
        <f t="shared" si="1"/>
        <v>1175</v>
      </c>
      <c r="L70" s="63">
        <f>K70*Budget!$B$36</f>
        <v>705</v>
      </c>
      <c r="M70" s="63">
        <f>MAX(0,L70-Calcul!AY68)</f>
        <v>705</v>
      </c>
      <c r="N70" s="63">
        <f t="shared" si="2"/>
        <v>1175</v>
      </c>
      <c r="O70" s="64">
        <f t="shared" si="7"/>
        <v>53852.130164000002</v>
      </c>
      <c r="P70" s="65">
        <f>Calcul!AZ68</f>
        <v>0</v>
      </c>
      <c r="Q70" s="66" t="str">
        <f t="shared" si="3"/>
        <v/>
      </c>
      <c r="R70" s="67">
        <f>IF(H70&gt;=Budget!$B$29,1,0)</f>
        <v>0</v>
      </c>
      <c r="S70" s="67">
        <f>IF(J70&gt;=Budget!$B$32,1,0)</f>
        <v>1</v>
      </c>
      <c r="T70" s="67">
        <f t="shared" si="4"/>
        <v>1</v>
      </c>
      <c r="U70" s="4"/>
      <c r="V70" s="4"/>
      <c r="AA70" s="68">
        <f>Budget!$B$29</f>
        <v>4000</v>
      </c>
      <c r="AB70" s="68">
        <f>Budget!$B$32</f>
        <v>4000</v>
      </c>
    </row>
    <row r="71" spans="1:28" ht="15" customHeight="1" x14ac:dyDescent="0.25">
      <c r="A71" s="55">
        <v>67</v>
      </c>
      <c r="B71" s="56">
        <f>EDATE(Budget!$B$28,A71-1)</f>
        <v>48396</v>
      </c>
      <c r="C71" s="57">
        <f>Budget!$B$7</f>
        <v>2900</v>
      </c>
      <c r="D71" s="57">
        <f>Budget!$B$18+Budget!$B$25</f>
        <v>1725</v>
      </c>
      <c r="E71" s="57">
        <f>Calcul!AX69</f>
        <v>0</v>
      </c>
      <c r="F71" s="58">
        <f t="shared" si="0"/>
        <v>1175</v>
      </c>
      <c r="G71" s="59">
        <f>IF(B71&lt;=Budget!$B$30,MAX(0,MIN(F71,Budget!$B$29-H70)),0)</f>
        <v>0</v>
      </c>
      <c r="H71" s="60">
        <f t="shared" si="5"/>
        <v>3511.3</v>
      </c>
      <c r="I71" s="61">
        <f>MAX(0,MIN(F71-G71,Budget!$B$32-J70))</f>
        <v>0</v>
      </c>
      <c r="J71" s="62">
        <f t="shared" si="6"/>
        <v>4000</v>
      </c>
      <c r="K71" s="63">
        <f t="shared" si="1"/>
        <v>1175</v>
      </c>
      <c r="L71" s="63">
        <f>K71*Budget!$B$36</f>
        <v>705</v>
      </c>
      <c r="M71" s="63">
        <f>MAX(0,L71-Calcul!AY69)</f>
        <v>705</v>
      </c>
      <c r="N71" s="63">
        <f t="shared" si="2"/>
        <v>1175</v>
      </c>
      <c r="O71" s="64">
        <f t="shared" si="7"/>
        <v>55027.130164000002</v>
      </c>
      <c r="P71" s="65">
        <f>Calcul!AZ69</f>
        <v>0</v>
      </c>
      <c r="Q71" s="66" t="str">
        <f t="shared" si="3"/>
        <v/>
      </c>
      <c r="R71" s="67">
        <f>IF(H71&gt;=Budget!$B$29,1,0)</f>
        <v>0</v>
      </c>
      <c r="S71" s="67">
        <f>IF(J71&gt;=Budget!$B$32,1,0)</f>
        <v>1</v>
      </c>
      <c r="T71" s="67">
        <f t="shared" si="4"/>
        <v>1</v>
      </c>
      <c r="U71" s="4"/>
      <c r="V71" s="4"/>
      <c r="AA71" s="68">
        <f>Budget!$B$29</f>
        <v>4000</v>
      </c>
      <c r="AB71" s="68">
        <f>Budget!$B$32</f>
        <v>4000</v>
      </c>
    </row>
    <row r="72" spans="1:28" ht="15" customHeight="1" x14ac:dyDescent="0.25">
      <c r="A72" s="55">
        <v>68</v>
      </c>
      <c r="B72" s="56">
        <f>EDATE(Budget!$B$28,A72-1)</f>
        <v>48427</v>
      </c>
      <c r="C72" s="57">
        <f>Budget!$B$7</f>
        <v>2900</v>
      </c>
      <c r="D72" s="57">
        <f>Budget!$B$18+Budget!$B$25</f>
        <v>1725</v>
      </c>
      <c r="E72" s="57">
        <f>Calcul!AX70</f>
        <v>0</v>
      </c>
      <c r="F72" s="58">
        <f t="shared" si="0"/>
        <v>1175</v>
      </c>
      <c r="G72" s="59">
        <f>IF(B72&lt;=Budget!$B$30,MAX(0,MIN(F72,Budget!$B$29-H71)),0)</f>
        <v>0</v>
      </c>
      <c r="H72" s="60">
        <f t="shared" si="5"/>
        <v>3511.3</v>
      </c>
      <c r="I72" s="61">
        <f>MAX(0,MIN(F72-G72,Budget!$B$32-J71))</f>
        <v>0</v>
      </c>
      <c r="J72" s="62">
        <f t="shared" si="6"/>
        <v>4000</v>
      </c>
      <c r="K72" s="63">
        <f t="shared" si="1"/>
        <v>1175</v>
      </c>
      <c r="L72" s="63">
        <f>K72*Budget!$B$36</f>
        <v>705</v>
      </c>
      <c r="M72" s="63">
        <f>MAX(0,L72-Calcul!AY70)</f>
        <v>705</v>
      </c>
      <c r="N72" s="63">
        <f t="shared" si="2"/>
        <v>1175</v>
      </c>
      <c r="O72" s="64">
        <f t="shared" si="7"/>
        <v>56202.130164000002</v>
      </c>
      <c r="P72" s="65">
        <f>Calcul!AZ70</f>
        <v>0</v>
      </c>
      <c r="Q72" s="66" t="str">
        <f t="shared" si="3"/>
        <v/>
      </c>
      <c r="R72" s="67">
        <f>IF(H72&gt;=Budget!$B$29,1,0)</f>
        <v>0</v>
      </c>
      <c r="S72" s="67">
        <f>IF(J72&gt;=Budget!$B$32,1,0)</f>
        <v>1</v>
      </c>
      <c r="T72" s="67">
        <f t="shared" si="4"/>
        <v>1</v>
      </c>
      <c r="U72" s="4"/>
      <c r="V72" s="4"/>
      <c r="AA72" s="68">
        <f>Budget!$B$29</f>
        <v>4000</v>
      </c>
      <c r="AB72" s="68">
        <f>Budget!$B$32</f>
        <v>4000</v>
      </c>
    </row>
    <row r="73" spans="1:28" ht="15" customHeight="1" x14ac:dyDescent="0.25">
      <c r="A73" s="55">
        <v>69</v>
      </c>
      <c r="B73" s="56">
        <f>EDATE(Budget!$B$28,A73-1)</f>
        <v>48458</v>
      </c>
      <c r="C73" s="57">
        <f>Budget!$B$7</f>
        <v>2900</v>
      </c>
      <c r="D73" s="57">
        <f>Budget!$B$18+Budget!$B$25</f>
        <v>1725</v>
      </c>
      <c r="E73" s="57">
        <f>Calcul!AX71</f>
        <v>0</v>
      </c>
      <c r="F73" s="58">
        <f t="shared" si="0"/>
        <v>1175</v>
      </c>
      <c r="G73" s="59">
        <f>IF(B73&lt;=Budget!$B$30,MAX(0,MIN(F73,Budget!$B$29-H72)),0)</f>
        <v>0</v>
      </c>
      <c r="H73" s="60">
        <f t="shared" si="5"/>
        <v>3511.3</v>
      </c>
      <c r="I73" s="61">
        <f>MAX(0,MIN(F73-G73,Budget!$B$32-J72))</f>
        <v>0</v>
      </c>
      <c r="J73" s="62">
        <f t="shared" si="6"/>
        <v>4000</v>
      </c>
      <c r="K73" s="63">
        <f t="shared" si="1"/>
        <v>1175</v>
      </c>
      <c r="L73" s="63">
        <f>K73*Budget!$B$36</f>
        <v>705</v>
      </c>
      <c r="M73" s="63">
        <f>MAX(0,L73-Calcul!AY71)</f>
        <v>705</v>
      </c>
      <c r="N73" s="63">
        <f t="shared" si="2"/>
        <v>1175</v>
      </c>
      <c r="O73" s="64">
        <f t="shared" si="7"/>
        <v>57377.130164000002</v>
      </c>
      <c r="P73" s="65">
        <f>Calcul!AZ71</f>
        <v>0</v>
      </c>
      <c r="Q73" s="66" t="str">
        <f t="shared" si="3"/>
        <v/>
      </c>
      <c r="R73" s="67">
        <f>IF(H73&gt;=Budget!$B$29,1,0)</f>
        <v>0</v>
      </c>
      <c r="S73" s="67">
        <f>IF(J73&gt;=Budget!$B$32,1,0)</f>
        <v>1</v>
      </c>
      <c r="T73" s="67">
        <f t="shared" si="4"/>
        <v>1</v>
      </c>
      <c r="U73" s="4"/>
      <c r="V73" s="4"/>
      <c r="AA73" s="68">
        <f>Budget!$B$29</f>
        <v>4000</v>
      </c>
      <c r="AB73" s="68">
        <f>Budget!$B$32</f>
        <v>4000</v>
      </c>
    </row>
    <row r="74" spans="1:28" ht="15" customHeight="1" x14ac:dyDescent="0.25">
      <c r="A74" s="55">
        <v>70</v>
      </c>
      <c r="B74" s="56">
        <f>EDATE(Budget!$B$28,A74-1)</f>
        <v>48488</v>
      </c>
      <c r="C74" s="57">
        <f>Budget!$B$7</f>
        <v>2900</v>
      </c>
      <c r="D74" s="57">
        <f>Budget!$B$18+Budget!$B$25</f>
        <v>1725</v>
      </c>
      <c r="E74" s="57">
        <f>Calcul!AX72</f>
        <v>0</v>
      </c>
      <c r="F74" s="58">
        <f t="shared" si="0"/>
        <v>1175</v>
      </c>
      <c r="G74" s="59">
        <f>IF(B74&lt;=Budget!$B$30,MAX(0,MIN(F74,Budget!$B$29-H73)),0)</f>
        <v>0</v>
      </c>
      <c r="H74" s="60">
        <f t="shared" si="5"/>
        <v>3511.3</v>
      </c>
      <c r="I74" s="61">
        <f>MAX(0,MIN(F74-G74,Budget!$B$32-J73))</f>
        <v>0</v>
      </c>
      <c r="J74" s="62">
        <f t="shared" si="6"/>
        <v>4000</v>
      </c>
      <c r="K74" s="63">
        <f t="shared" si="1"/>
        <v>1175</v>
      </c>
      <c r="L74" s="63">
        <f>K74*Budget!$B$36</f>
        <v>705</v>
      </c>
      <c r="M74" s="63">
        <f>MAX(0,L74-Calcul!AY72)</f>
        <v>705</v>
      </c>
      <c r="N74" s="63">
        <f t="shared" si="2"/>
        <v>1175</v>
      </c>
      <c r="O74" s="64">
        <f t="shared" si="7"/>
        <v>58552.130164000002</v>
      </c>
      <c r="P74" s="65">
        <f>Calcul!AZ72</f>
        <v>0</v>
      </c>
      <c r="Q74" s="66" t="str">
        <f t="shared" si="3"/>
        <v/>
      </c>
      <c r="R74" s="67">
        <f>IF(H74&gt;=Budget!$B$29,1,0)</f>
        <v>0</v>
      </c>
      <c r="S74" s="67">
        <f>IF(J74&gt;=Budget!$B$32,1,0)</f>
        <v>1</v>
      </c>
      <c r="T74" s="67">
        <f t="shared" si="4"/>
        <v>1</v>
      </c>
      <c r="U74" s="4"/>
      <c r="V74" s="4"/>
      <c r="AA74" s="68">
        <f>Budget!$B$29</f>
        <v>4000</v>
      </c>
      <c r="AB74" s="68">
        <f>Budget!$B$32</f>
        <v>4000</v>
      </c>
    </row>
    <row r="75" spans="1:28" ht="15" customHeight="1" x14ac:dyDescent="0.25">
      <c r="A75" s="55">
        <v>71</v>
      </c>
      <c r="B75" s="56">
        <f>EDATE(Budget!$B$28,A75-1)</f>
        <v>48519</v>
      </c>
      <c r="C75" s="57">
        <f>Budget!$B$7</f>
        <v>2900</v>
      </c>
      <c r="D75" s="57">
        <f>Budget!$B$18+Budget!$B$25</f>
        <v>1725</v>
      </c>
      <c r="E75" s="57">
        <f>Calcul!AX73</f>
        <v>0</v>
      </c>
      <c r="F75" s="58">
        <f t="shared" si="0"/>
        <v>1175</v>
      </c>
      <c r="G75" s="59">
        <f>IF(B75&lt;=Budget!$B$30,MAX(0,MIN(F75,Budget!$B$29-H74)),0)</f>
        <v>0</v>
      </c>
      <c r="H75" s="60">
        <f t="shared" si="5"/>
        <v>3511.3</v>
      </c>
      <c r="I75" s="61">
        <f>MAX(0,MIN(F75-G75,Budget!$B$32-J74))</f>
        <v>0</v>
      </c>
      <c r="J75" s="62">
        <f t="shared" si="6"/>
        <v>4000</v>
      </c>
      <c r="K75" s="63">
        <f t="shared" si="1"/>
        <v>1175</v>
      </c>
      <c r="L75" s="63">
        <f>K75*Budget!$B$36</f>
        <v>705</v>
      </c>
      <c r="M75" s="63">
        <f>MAX(0,L75-Calcul!AY73)</f>
        <v>705</v>
      </c>
      <c r="N75" s="63">
        <f t="shared" si="2"/>
        <v>1175</v>
      </c>
      <c r="O75" s="64">
        <f t="shared" si="7"/>
        <v>59727.130164000002</v>
      </c>
      <c r="P75" s="65">
        <f>Calcul!AZ73</f>
        <v>0</v>
      </c>
      <c r="Q75" s="66" t="str">
        <f t="shared" si="3"/>
        <v/>
      </c>
      <c r="R75" s="67">
        <f>IF(H75&gt;=Budget!$B$29,1,0)</f>
        <v>0</v>
      </c>
      <c r="S75" s="67">
        <f>IF(J75&gt;=Budget!$B$32,1,0)</f>
        <v>1</v>
      </c>
      <c r="T75" s="67">
        <f t="shared" si="4"/>
        <v>1</v>
      </c>
      <c r="U75" s="4"/>
      <c r="V75" s="4"/>
      <c r="AA75" s="68">
        <f>Budget!$B$29</f>
        <v>4000</v>
      </c>
      <c r="AB75" s="68">
        <f>Budget!$B$32</f>
        <v>4000</v>
      </c>
    </row>
    <row r="76" spans="1:28" ht="15" customHeight="1" x14ac:dyDescent="0.25">
      <c r="A76" s="55">
        <v>72</v>
      </c>
      <c r="B76" s="56">
        <f>EDATE(Budget!$B$28,A76-1)</f>
        <v>48549</v>
      </c>
      <c r="C76" s="57">
        <f>Budget!$B$7</f>
        <v>2900</v>
      </c>
      <c r="D76" s="57">
        <f>Budget!$B$18+Budget!$B$25</f>
        <v>1725</v>
      </c>
      <c r="E76" s="57">
        <f>Calcul!AX74</f>
        <v>0</v>
      </c>
      <c r="F76" s="58">
        <f t="shared" si="0"/>
        <v>1175</v>
      </c>
      <c r="G76" s="59">
        <f>IF(B76&lt;=Budget!$B$30,MAX(0,MIN(F76,Budget!$B$29-H75)),0)</f>
        <v>0</v>
      </c>
      <c r="H76" s="60">
        <f t="shared" si="5"/>
        <v>3511.3</v>
      </c>
      <c r="I76" s="61">
        <f>MAX(0,MIN(F76-G76,Budget!$B$32-J75))</f>
        <v>0</v>
      </c>
      <c r="J76" s="62">
        <f t="shared" si="6"/>
        <v>4000</v>
      </c>
      <c r="K76" s="63">
        <f t="shared" si="1"/>
        <v>1175</v>
      </c>
      <c r="L76" s="63">
        <f>K76*Budget!$B$36</f>
        <v>705</v>
      </c>
      <c r="M76" s="63">
        <f>MAX(0,L76-Calcul!AY74)</f>
        <v>705</v>
      </c>
      <c r="N76" s="63">
        <f t="shared" si="2"/>
        <v>1175</v>
      </c>
      <c r="O76" s="64">
        <f t="shared" si="7"/>
        <v>60902.130164000002</v>
      </c>
      <c r="P76" s="65">
        <f>Calcul!AZ74</f>
        <v>0</v>
      </c>
      <c r="Q76" s="66" t="str">
        <f t="shared" si="3"/>
        <v/>
      </c>
      <c r="R76" s="67">
        <f>IF(H76&gt;=Budget!$B$29,1,0)</f>
        <v>0</v>
      </c>
      <c r="S76" s="67">
        <f>IF(J76&gt;=Budget!$B$32,1,0)</f>
        <v>1</v>
      </c>
      <c r="T76" s="67">
        <f t="shared" si="4"/>
        <v>1</v>
      </c>
      <c r="U76" s="4"/>
      <c r="V76" s="4"/>
      <c r="AA76" s="68">
        <f>Budget!$B$29</f>
        <v>4000</v>
      </c>
      <c r="AB76" s="68">
        <f>Budget!$B$32</f>
        <v>4000</v>
      </c>
    </row>
    <row r="77" spans="1:28" ht="15" customHeight="1" x14ac:dyDescent="0.25">
      <c r="A77" s="55">
        <v>73</v>
      </c>
      <c r="B77" s="56">
        <f>EDATE(Budget!$B$28,A77-1)</f>
        <v>48580</v>
      </c>
      <c r="C77" s="57">
        <f>Budget!$B$7</f>
        <v>2900</v>
      </c>
      <c r="D77" s="57">
        <f>Budget!$B$18+Budget!$B$25</f>
        <v>1725</v>
      </c>
      <c r="E77" s="57">
        <f>Calcul!AX75</f>
        <v>0</v>
      </c>
      <c r="F77" s="58">
        <f t="shared" si="0"/>
        <v>1175</v>
      </c>
      <c r="G77" s="59">
        <f>IF(B77&lt;=Budget!$B$30,MAX(0,MIN(F77,Budget!$B$29-H76)),0)</f>
        <v>0</v>
      </c>
      <c r="H77" s="60">
        <f t="shared" si="5"/>
        <v>3511.3</v>
      </c>
      <c r="I77" s="61">
        <f>MAX(0,MIN(F77-G77,Budget!$B$32-J76))</f>
        <v>0</v>
      </c>
      <c r="J77" s="62">
        <f t="shared" si="6"/>
        <v>4000</v>
      </c>
      <c r="K77" s="63">
        <f t="shared" si="1"/>
        <v>1175</v>
      </c>
      <c r="L77" s="63">
        <f>K77*Budget!$B$36</f>
        <v>705</v>
      </c>
      <c r="M77" s="63">
        <f>MAX(0,L77-Calcul!AY75)</f>
        <v>705</v>
      </c>
      <c r="N77" s="63">
        <f t="shared" si="2"/>
        <v>1175</v>
      </c>
      <c r="O77" s="64">
        <f t="shared" si="7"/>
        <v>62077.130164000002</v>
      </c>
      <c r="P77" s="65">
        <f>Calcul!AZ75</f>
        <v>0</v>
      </c>
      <c r="Q77" s="66" t="str">
        <f t="shared" si="3"/>
        <v/>
      </c>
      <c r="R77" s="67">
        <f>IF(H77&gt;=Budget!$B$29,1,0)</f>
        <v>0</v>
      </c>
      <c r="S77" s="67">
        <f>IF(J77&gt;=Budget!$B$32,1,0)</f>
        <v>1</v>
      </c>
      <c r="T77" s="67">
        <f t="shared" si="4"/>
        <v>1</v>
      </c>
      <c r="U77" s="4"/>
      <c r="V77" s="4"/>
      <c r="AA77" s="68">
        <f>Budget!$B$29</f>
        <v>4000</v>
      </c>
      <c r="AB77" s="68">
        <f>Budget!$B$32</f>
        <v>4000</v>
      </c>
    </row>
    <row r="78" spans="1:28" ht="15" customHeight="1" x14ac:dyDescent="0.25">
      <c r="A78" s="55">
        <v>74</v>
      </c>
      <c r="B78" s="56">
        <f>EDATE(Budget!$B$28,A78-1)</f>
        <v>48611</v>
      </c>
      <c r="C78" s="57">
        <f>Budget!$B$7</f>
        <v>2900</v>
      </c>
      <c r="D78" s="57">
        <f>Budget!$B$18+Budget!$B$25</f>
        <v>1725</v>
      </c>
      <c r="E78" s="57">
        <f>Calcul!AX76</f>
        <v>0</v>
      </c>
      <c r="F78" s="58">
        <f t="shared" si="0"/>
        <v>1175</v>
      </c>
      <c r="G78" s="59">
        <f>IF(B78&lt;=Budget!$B$30,MAX(0,MIN(F78,Budget!$B$29-H77)),0)</f>
        <v>0</v>
      </c>
      <c r="H78" s="60">
        <f t="shared" si="5"/>
        <v>3511.3</v>
      </c>
      <c r="I78" s="61">
        <f>MAX(0,MIN(F78-G78,Budget!$B$32-J77))</f>
        <v>0</v>
      </c>
      <c r="J78" s="62">
        <f t="shared" si="6"/>
        <v>4000</v>
      </c>
      <c r="K78" s="63">
        <f t="shared" si="1"/>
        <v>1175</v>
      </c>
      <c r="L78" s="63">
        <f>K78*Budget!$B$36</f>
        <v>705</v>
      </c>
      <c r="M78" s="63">
        <f>MAX(0,L78-Calcul!AY76)</f>
        <v>705</v>
      </c>
      <c r="N78" s="63">
        <f t="shared" si="2"/>
        <v>1175</v>
      </c>
      <c r="O78" s="64">
        <f t="shared" si="7"/>
        <v>63252.130164000002</v>
      </c>
      <c r="P78" s="65">
        <f>Calcul!AZ76</f>
        <v>0</v>
      </c>
      <c r="Q78" s="66" t="str">
        <f t="shared" si="3"/>
        <v/>
      </c>
      <c r="R78" s="67">
        <f>IF(H78&gt;=Budget!$B$29,1,0)</f>
        <v>0</v>
      </c>
      <c r="S78" s="67">
        <f>IF(J78&gt;=Budget!$B$32,1,0)</f>
        <v>1</v>
      </c>
      <c r="T78" s="67">
        <f t="shared" si="4"/>
        <v>1</v>
      </c>
      <c r="U78" s="4"/>
      <c r="V78" s="4"/>
      <c r="AA78" s="68">
        <f>Budget!$B$29</f>
        <v>4000</v>
      </c>
      <c r="AB78" s="68">
        <f>Budget!$B$32</f>
        <v>4000</v>
      </c>
    </row>
    <row r="79" spans="1:28" ht="15" customHeight="1" x14ac:dyDescent="0.25">
      <c r="A79" s="55">
        <v>75</v>
      </c>
      <c r="B79" s="56">
        <f>EDATE(Budget!$B$28,A79-1)</f>
        <v>48639</v>
      </c>
      <c r="C79" s="57">
        <f>Budget!$B$7</f>
        <v>2900</v>
      </c>
      <c r="D79" s="57">
        <f>Budget!$B$18+Budget!$B$25</f>
        <v>1725</v>
      </c>
      <c r="E79" s="57">
        <f>Calcul!AX77</f>
        <v>0</v>
      </c>
      <c r="F79" s="58">
        <f t="shared" si="0"/>
        <v>1175</v>
      </c>
      <c r="G79" s="59">
        <f>IF(B79&lt;=Budget!$B$30,MAX(0,MIN(F79,Budget!$B$29-H78)),0)</f>
        <v>0</v>
      </c>
      <c r="H79" s="60">
        <f t="shared" si="5"/>
        <v>3511.3</v>
      </c>
      <c r="I79" s="61">
        <f>MAX(0,MIN(F79-G79,Budget!$B$32-J78))</f>
        <v>0</v>
      </c>
      <c r="J79" s="62">
        <f t="shared" si="6"/>
        <v>4000</v>
      </c>
      <c r="K79" s="63">
        <f t="shared" si="1"/>
        <v>1175</v>
      </c>
      <c r="L79" s="63">
        <f>K79*Budget!$B$36</f>
        <v>705</v>
      </c>
      <c r="M79" s="63">
        <f>MAX(0,L79-Calcul!AY77)</f>
        <v>705</v>
      </c>
      <c r="N79" s="63">
        <f t="shared" si="2"/>
        <v>1175</v>
      </c>
      <c r="O79" s="64">
        <f t="shared" si="7"/>
        <v>64427.130164000002</v>
      </c>
      <c r="P79" s="65">
        <f>Calcul!AZ77</f>
        <v>0</v>
      </c>
      <c r="Q79" s="66" t="str">
        <f t="shared" si="3"/>
        <v/>
      </c>
      <c r="R79" s="67">
        <f>IF(H79&gt;=Budget!$B$29,1,0)</f>
        <v>0</v>
      </c>
      <c r="S79" s="67">
        <f>IF(J79&gt;=Budget!$B$32,1,0)</f>
        <v>1</v>
      </c>
      <c r="T79" s="67">
        <f t="shared" si="4"/>
        <v>1</v>
      </c>
      <c r="U79" s="4"/>
      <c r="V79" s="4"/>
      <c r="AA79" s="68">
        <f>Budget!$B$29</f>
        <v>4000</v>
      </c>
      <c r="AB79" s="68">
        <f>Budget!$B$32</f>
        <v>4000</v>
      </c>
    </row>
    <row r="80" spans="1:28" ht="15" customHeight="1" x14ac:dyDescent="0.25">
      <c r="A80" s="55">
        <v>76</v>
      </c>
      <c r="B80" s="56">
        <f>EDATE(Budget!$B$28,A80-1)</f>
        <v>48670</v>
      </c>
      <c r="C80" s="57">
        <f>Budget!$B$7</f>
        <v>2900</v>
      </c>
      <c r="D80" s="57">
        <f>Budget!$B$18+Budget!$B$25</f>
        <v>1725</v>
      </c>
      <c r="E80" s="57">
        <f>Calcul!AX78</f>
        <v>0</v>
      </c>
      <c r="F80" s="58">
        <f t="shared" si="0"/>
        <v>1175</v>
      </c>
      <c r="G80" s="59">
        <f>IF(B80&lt;=Budget!$B$30,MAX(0,MIN(F80,Budget!$B$29-H79)),0)</f>
        <v>0</v>
      </c>
      <c r="H80" s="60">
        <f t="shared" si="5"/>
        <v>3511.3</v>
      </c>
      <c r="I80" s="61">
        <f>MAX(0,MIN(F80-G80,Budget!$B$32-J79))</f>
        <v>0</v>
      </c>
      <c r="J80" s="62">
        <f t="shared" si="6"/>
        <v>4000</v>
      </c>
      <c r="K80" s="63">
        <f t="shared" si="1"/>
        <v>1175</v>
      </c>
      <c r="L80" s="63">
        <f>K80*Budget!$B$36</f>
        <v>705</v>
      </c>
      <c r="M80" s="63">
        <f>MAX(0,L80-Calcul!AY78)</f>
        <v>705</v>
      </c>
      <c r="N80" s="63">
        <f t="shared" si="2"/>
        <v>1175</v>
      </c>
      <c r="O80" s="64">
        <f t="shared" si="7"/>
        <v>65602.130164000002</v>
      </c>
      <c r="P80" s="65">
        <f>Calcul!AZ78</f>
        <v>0</v>
      </c>
      <c r="Q80" s="66" t="str">
        <f t="shared" si="3"/>
        <v/>
      </c>
      <c r="R80" s="67">
        <f>IF(H80&gt;=Budget!$B$29,1,0)</f>
        <v>0</v>
      </c>
      <c r="S80" s="67">
        <f>IF(J80&gt;=Budget!$B$32,1,0)</f>
        <v>1</v>
      </c>
      <c r="T80" s="67">
        <f t="shared" si="4"/>
        <v>1</v>
      </c>
      <c r="U80" s="4"/>
      <c r="V80" s="4"/>
      <c r="AA80" s="68">
        <f>Budget!$B$29</f>
        <v>4000</v>
      </c>
      <c r="AB80" s="68">
        <f>Budget!$B$32</f>
        <v>4000</v>
      </c>
    </row>
    <row r="81" spans="1:28" ht="15" customHeight="1" x14ac:dyDescent="0.25">
      <c r="A81" s="55">
        <v>77</v>
      </c>
      <c r="B81" s="56">
        <f>EDATE(Budget!$B$28,A81-1)</f>
        <v>48700</v>
      </c>
      <c r="C81" s="57">
        <f>Budget!$B$7</f>
        <v>2900</v>
      </c>
      <c r="D81" s="57">
        <f>Budget!$B$18+Budget!$B$25</f>
        <v>1725</v>
      </c>
      <c r="E81" s="57">
        <f>Calcul!AX79</f>
        <v>0</v>
      </c>
      <c r="F81" s="58">
        <f t="shared" si="0"/>
        <v>1175</v>
      </c>
      <c r="G81" s="59">
        <f>IF(B81&lt;=Budget!$B$30,MAX(0,MIN(F81,Budget!$B$29-H80)),0)</f>
        <v>0</v>
      </c>
      <c r="H81" s="60">
        <f t="shared" si="5"/>
        <v>3511.3</v>
      </c>
      <c r="I81" s="61">
        <f>MAX(0,MIN(F81-G81,Budget!$B$32-J80))</f>
        <v>0</v>
      </c>
      <c r="J81" s="62">
        <f t="shared" si="6"/>
        <v>4000</v>
      </c>
      <c r="K81" s="63">
        <f t="shared" si="1"/>
        <v>1175</v>
      </c>
      <c r="L81" s="63">
        <f>K81*Budget!$B$36</f>
        <v>705</v>
      </c>
      <c r="M81" s="63">
        <f>MAX(0,L81-Calcul!AY79)</f>
        <v>705</v>
      </c>
      <c r="N81" s="63">
        <f t="shared" si="2"/>
        <v>1175</v>
      </c>
      <c r="O81" s="64">
        <f t="shared" si="7"/>
        <v>66777.130164000002</v>
      </c>
      <c r="P81" s="65">
        <f>Calcul!AZ79</f>
        <v>0</v>
      </c>
      <c r="Q81" s="66" t="str">
        <f t="shared" si="3"/>
        <v/>
      </c>
      <c r="R81" s="67">
        <f>IF(H81&gt;=Budget!$B$29,1,0)</f>
        <v>0</v>
      </c>
      <c r="S81" s="67">
        <f>IF(J81&gt;=Budget!$B$32,1,0)</f>
        <v>1</v>
      </c>
      <c r="T81" s="67">
        <f t="shared" si="4"/>
        <v>1</v>
      </c>
      <c r="U81" s="4"/>
      <c r="V81" s="4"/>
      <c r="AA81" s="68">
        <f>Budget!$B$29</f>
        <v>4000</v>
      </c>
      <c r="AB81" s="68">
        <f>Budget!$B$32</f>
        <v>4000</v>
      </c>
    </row>
    <row r="82" spans="1:28" ht="15" customHeight="1" x14ac:dyDescent="0.25">
      <c r="A82" s="55">
        <v>78</v>
      </c>
      <c r="B82" s="56">
        <f>EDATE(Budget!$B$28,A82-1)</f>
        <v>48731</v>
      </c>
      <c r="C82" s="57">
        <f>Budget!$B$7</f>
        <v>2900</v>
      </c>
      <c r="D82" s="57">
        <f>Budget!$B$18+Budget!$B$25</f>
        <v>1725</v>
      </c>
      <c r="E82" s="57">
        <f>Calcul!AX80</f>
        <v>0</v>
      </c>
      <c r="F82" s="58">
        <f t="shared" si="0"/>
        <v>1175</v>
      </c>
      <c r="G82" s="59">
        <f>IF(B82&lt;=Budget!$B$30,MAX(0,MIN(F82,Budget!$B$29-H81)),0)</f>
        <v>0</v>
      </c>
      <c r="H82" s="60">
        <f t="shared" si="5"/>
        <v>3511.3</v>
      </c>
      <c r="I82" s="61">
        <f>MAX(0,MIN(F82-G82,Budget!$B$32-J81))</f>
        <v>0</v>
      </c>
      <c r="J82" s="62">
        <f t="shared" si="6"/>
        <v>4000</v>
      </c>
      <c r="K82" s="63">
        <f t="shared" si="1"/>
        <v>1175</v>
      </c>
      <c r="L82" s="63">
        <f>K82*Budget!$B$36</f>
        <v>705</v>
      </c>
      <c r="M82" s="63">
        <f>MAX(0,L82-Calcul!AY80)</f>
        <v>705</v>
      </c>
      <c r="N82" s="63">
        <f t="shared" si="2"/>
        <v>1175</v>
      </c>
      <c r="O82" s="64">
        <f t="shared" si="7"/>
        <v>67952.130164000002</v>
      </c>
      <c r="P82" s="65">
        <f>Calcul!AZ80</f>
        <v>0</v>
      </c>
      <c r="Q82" s="66" t="str">
        <f t="shared" si="3"/>
        <v/>
      </c>
      <c r="R82" s="67">
        <f>IF(H82&gt;=Budget!$B$29,1,0)</f>
        <v>0</v>
      </c>
      <c r="S82" s="67">
        <f>IF(J82&gt;=Budget!$B$32,1,0)</f>
        <v>1</v>
      </c>
      <c r="T82" s="67">
        <f t="shared" si="4"/>
        <v>1</v>
      </c>
      <c r="U82" s="4"/>
      <c r="V82" s="4"/>
      <c r="AA82" s="68">
        <f>Budget!$B$29</f>
        <v>4000</v>
      </c>
      <c r="AB82" s="68">
        <f>Budget!$B$32</f>
        <v>4000</v>
      </c>
    </row>
    <row r="83" spans="1:28" ht="15" customHeight="1" x14ac:dyDescent="0.25">
      <c r="A83" s="55">
        <v>79</v>
      </c>
      <c r="B83" s="56">
        <f>EDATE(Budget!$B$28,A83-1)</f>
        <v>48761</v>
      </c>
      <c r="C83" s="57">
        <f>Budget!$B$7</f>
        <v>2900</v>
      </c>
      <c r="D83" s="57">
        <f>Budget!$B$18+Budget!$B$25</f>
        <v>1725</v>
      </c>
      <c r="E83" s="57">
        <f>Calcul!AX81</f>
        <v>0</v>
      </c>
      <c r="F83" s="58">
        <f t="shared" si="0"/>
        <v>1175</v>
      </c>
      <c r="G83" s="59">
        <f>IF(B83&lt;=Budget!$B$30,MAX(0,MIN(F83,Budget!$B$29-H82)),0)</f>
        <v>0</v>
      </c>
      <c r="H83" s="60">
        <f t="shared" si="5"/>
        <v>3511.3</v>
      </c>
      <c r="I83" s="61">
        <f>MAX(0,MIN(F83-G83,Budget!$B$32-J82))</f>
        <v>0</v>
      </c>
      <c r="J83" s="62">
        <f t="shared" si="6"/>
        <v>4000</v>
      </c>
      <c r="K83" s="63">
        <f t="shared" si="1"/>
        <v>1175</v>
      </c>
      <c r="L83" s="63">
        <f>K83*Budget!$B$36</f>
        <v>705</v>
      </c>
      <c r="M83" s="63">
        <f>MAX(0,L83-Calcul!AY81)</f>
        <v>705</v>
      </c>
      <c r="N83" s="63">
        <f t="shared" si="2"/>
        <v>1175</v>
      </c>
      <c r="O83" s="64">
        <f t="shared" si="7"/>
        <v>69127.130164000002</v>
      </c>
      <c r="P83" s="65">
        <f>Calcul!AZ81</f>
        <v>0</v>
      </c>
      <c r="Q83" s="66" t="str">
        <f t="shared" si="3"/>
        <v/>
      </c>
      <c r="R83" s="67">
        <f>IF(H83&gt;=Budget!$B$29,1,0)</f>
        <v>0</v>
      </c>
      <c r="S83" s="67">
        <f>IF(J83&gt;=Budget!$B$32,1,0)</f>
        <v>1</v>
      </c>
      <c r="T83" s="67">
        <f t="shared" si="4"/>
        <v>1</v>
      </c>
      <c r="U83" s="4"/>
      <c r="V83" s="4"/>
      <c r="AA83" s="68">
        <f>Budget!$B$29</f>
        <v>4000</v>
      </c>
      <c r="AB83" s="68">
        <f>Budget!$B$32</f>
        <v>4000</v>
      </c>
    </row>
    <row r="84" spans="1:28" ht="15" customHeight="1" x14ac:dyDescent="0.25">
      <c r="A84" s="55">
        <v>80</v>
      </c>
      <c r="B84" s="56">
        <f>EDATE(Budget!$B$28,A84-1)</f>
        <v>48792</v>
      </c>
      <c r="C84" s="57">
        <f>Budget!$B$7</f>
        <v>2900</v>
      </c>
      <c r="D84" s="57">
        <f>Budget!$B$18+Budget!$B$25</f>
        <v>1725</v>
      </c>
      <c r="E84" s="57">
        <f>Calcul!AX82</f>
        <v>0</v>
      </c>
      <c r="F84" s="58">
        <f t="shared" si="0"/>
        <v>1175</v>
      </c>
      <c r="G84" s="59">
        <f>IF(B84&lt;=Budget!$B$30,MAX(0,MIN(F84,Budget!$B$29-H83)),0)</f>
        <v>0</v>
      </c>
      <c r="H84" s="60">
        <f t="shared" si="5"/>
        <v>3511.3</v>
      </c>
      <c r="I84" s="61">
        <f>MAX(0,MIN(F84-G84,Budget!$B$32-J83))</f>
        <v>0</v>
      </c>
      <c r="J84" s="62">
        <f t="shared" si="6"/>
        <v>4000</v>
      </c>
      <c r="K84" s="63">
        <f t="shared" si="1"/>
        <v>1175</v>
      </c>
      <c r="L84" s="63">
        <f>K84*Budget!$B$36</f>
        <v>705</v>
      </c>
      <c r="M84" s="63">
        <f>MAX(0,L84-Calcul!AY82)</f>
        <v>705</v>
      </c>
      <c r="N84" s="63">
        <f t="shared" si="2"/>
        <v>1175</v>
      </c>
      <c r="O84" s="64">
        <f t="shared" si="7"/>
        <v>70302.130164000002</v>
      </c>
      <c r="P84" s="65">
        <f>Calcul!AZ82</f>
        <v>0</v>
      </c>
      <c r="Q84" s="66" t="str">
        <f t="shared" si="3"/>
        <v/>
      </c>
      <c r="R84" s="67">
        <f>IF(H84&gt;=Budget!$B$29,1,0)</f>
        <v>0</v>
      </c>
      <c r="S84" s="67">
        <f>IF(J84&gt;=Budget!$B$32,1,0)</f>
        <v>1</v>
      </c>
      <c r="T84" s="67">
        <f t="shared" si="4"/>
        <v>1</v>
      </c>
      <c r="U84" s="4"/>
      <c r="V84" s="4"/>
      <c r="AA84" s="68">
        <f>Budget!$B$29</f>
        <v>4000</v>
      </c>
      <c r="AB84" s="68">
        <f>Budget!$B$32</f>
        <v>4000</v>
      </c>
    </row>
    <row r="85" spans="1:28" ht="15" customHeight="1" x14ac:dyDescent="0.25">
      <c r="A85" s="55">
        <v>81</v>
      </c>
      <c r="B85" s="56">
        <f>EDATE(Budget!$B$28,A85-1)</f>
        <v>48823</v>
      </c>
      <c r="C85" s="57">
        <f>Budget!$B$7</f>
        <v>2900</v>
      </c>
      <c r="D85" s="57">
        <f>Budget!$B$18+Budget!$B$25</f>
        <v>1725</v>
      </c>
      <c r="E85" s="57">
        <f>Calcul!AX83</f>
        <v>0</v>
      </c>
      <c r="F85" s="58">
        <f t="shared" si="0"/>
        <v>1175</v>
      </c>
      <c r="G85" s="59">
        <f>IF(B85&lt;=Budget!$B$30,MAX(0,MIN(F85,Budget!$B$29-H84)),0)</f>
        <v>0</v>
      </c>
      <c r="H85" s="60">
        <f t="shared" si="5"/>
        <v>3511.3</v>
      </c>
      <c r="I85" s="61">
        <f>MAX(0,MIN(F85-G85,Budget!$B$32-J84))</f>
        <v>0</v>
      </c>
      <c r="J85" s="62">
        <f t="shared" si="6"/>
        <v>4000</v>
      </c>
      <c r="K85" s="63">
        <f t="shared" si="1"/>
        <v>1175</v>
      </c>
      <c r="L85" s="63">
        <f>K85*Budget!$B$36</f>
        <v>705</v>
      </c>
      <c r="M85" s="63">
        <f>MAX(0,L85-Calcul!AY83)</f>
        <v>705</v>
      </c>
      <c r="N85" s="63">
        <f t="shared" si="2"/>
        <v>1175</v>
      </c>
      <c r="O85" s="64">
        <f t="shared" si="7"/>
        <v>71477.130164000002</v>
      </c>
      <c r="P85" s="65">
        <f>Calcul!AZ83</f>
        <v>0</v>
      </c>
      <c r="Q85" s="66" t="str">
        <f t="shared" si="3"/>
        <v/>
      </c>
      <c r="R85" s="67">
        <f>IF(H85&gt;=Budget!$B$29,1,0)</f>
        <v>0</v>
      </c>
      <c r="S85" s="67">
        <f>IF(J85&gt;=Budget!$B$32,1,0)</f>
        <v>1</v>
      </c>
      <c r="T85" s="67">
        <f t="shared" si="4"/>
        <v>1</v>
      </c>
      <c r="U85" s="4"/>
      <c r="V85" s="4"/>
      <c r="AA85" s="68">
        <f>Budget!$B$29</f>
        <v>4000</v>
      </c>
      <c r="AB85" s="68">
        <f>Budget!$B$32</f>
        <v>4000</v>
      </c>
    </row>
    <row r="86" spans="1:28" ht="15" customHeight="1" x14ac:dyDescent="0.25">
      <c r="A86" s="55">
        <v>82</v>
      </c>
      <c r="B86" s="56">
        <f>EDATE(Budget!$B$28,A86-1)</f>
        <v>48853</v>
      </c>
      <c r="C86" s="57">
        <f>Budget!$B$7</f>
        <v>2900</v>
      </c>
      <c r="D86" s="57">
        <f>Budget!$B$18+Budget!$B$25</f>
        <v>1725</v>
      </c>
      <c r="E86" s="57">
        <f>Calcul!AX84</f>
        <v>0</v>
      </c>
      <c r="F86" s="58">
        <f t="shared" si="0"/>
        <v>1175</v>
      </c>
      <c r="G86" s="59">
        <f>IF(B86&lt;=Budget!$B$30,MAX(0,MIN(F86,Budget!$B$29-H85)),0)</f>
        <v>0</v>
      </c>
      <c r="H86" s="60">
        <f t="shared" si="5"/>
        <v>3511.3</v>
      </c>
      <c r="I86" s="61">
        <f>MAX(0,MIN(F86-G86,Budget!$B$32-J85))</f>
        <v>0</v>
      </c>
      <c r="J86" s="62">
        <f t="shared" si="6"/>
        <v>4000</v>
      </c>
      <c r="K86" s="63">
        <f t="shared" si="1"/>
        <v>1175</v>
      </c>
      <c r="L86" s="63">
        <f>K86*Budget!$B$36</f>
        <v>705</v>
      </c>
      <c r="M86" s="63">
        <f>MAX(0,L86-Calcul!AY84)</f>
        <v>705</v>
      </c>
      <c r="N86" s="63">
        <f t="shared" si="2"/>
        <v>1175</v>
      </c>
      <c r="O86" s="64">
        <f t="shared" si="7"/>
        <v>72652.130164000002</v>
      </c>
      <c r="P86" s="65">
        <f>Calcul!AZ84</f>
        <v>0</v>
      </c>
      <c r="Q86" s="66" t="str">
        <f t="shared" si="3"/>
        <v/>
      </c>
      <c r="R86" s="67">
        <f>IF(H86&gt;=Budget!$B$29,1,0)</f>
        <v>0</v>
      </c>
      <c r="S86" s="67">
        <f>IF(J86&gt;=Budget!$B$32,1,0)</f>
        <v>1</v>
      </c>
      <c r="T86" s="67">
        <f t="shared" si="4"/>
        <v>1</v>
      </c>
      <c r="U86" s="4"/>
      <c r="V86" s="4"/>
      <c r="AA86" s="68">
        <f>Budget!$B$29</f>
        <v>4000</v>
      </c>
      <c r="AB86" s="68">
        <f>Budget!$B$32</f>
        <v>4000</v>
      </c>
    </row>
    <row r="87" spans="1:28" ht="15" customHeight="1" x14ac:dyDescent="0.25">
      <c r="A87" s="55">
        <v>83</v>
      </c>
      <c r="B87" s="56">
        <f>EDATE(Budget!$B$28,A87-1)</f>
        <v>48884</v>
      </c>
      <c r="C87" s="57">
        <f>Budget!$B$7</f>
        <v>2900</v>
      </c>
      <c r="D87" s="57">
        <f>Budget!$B$18+Budget!$B$25</f>
        <v>1725</v>
      </c>
      <c r="E87" s="57">
        <f>Calcul!AX85</f>
        <v>0</v>
      </c>
      <c r="F87" s="58">
        <f t="shared" si="0"/>
        <v>1175</v>
      </c>
      <c r="G87" s="59">
        <f>IF(B87&lt;=Budget!$B$30,MAX(0,MIN(F87,Budget!$B$29-H86)),0)</f>
        <v>0</v>
      </c>
      <c r="H87" s="60">
        <f t="shared" si="5"/>
        <v>3511.3</v>
      </c>
      <c r="I87" s="61">
        <f>MAX(0,MIN(F87-G87,Budget!$B$32-J86))</f>
        <v>0</v>
      </c>
      <c r="J87" s="62">
        <f t="shared" si="6"/>
        <v>4000</v>
      </c>
      <c r="K87" s="63">
        <f t="shared" si="1"/>
        <v>1175</v>
      </c>
      <c r="L87" s="63">
        <f>K87*Budget!$B$36</f>
        <v>705</v>
      </c>
      <c r="M87" s="63">
        <f>MAX(0,L87-Calcul!AY85)</f>
        <v>705</v>
      </c>
      <c r="N87" s="63">
        <f t="shared" si="2"/>
        <v>1175</v>
      </c>
      <c r="O87" s="64">
        <f t="shared" si="7"/>
        <v>73827.130164000002</v>
      </c>
      <c r="P87" s="65">
        <f>Calcul!AZ85</f>
        <v>0</v>
      </c>
      <c r="Q87" s="66" t="str">
        <f t="shared" si="3"/>
        <v/>
      </c>
      <c r="R87" s="67">
        <f>IF(H87&gt;=Budget!$B$29,1,0)</f>
        <v>0</v>
      </c>
      <c r="S87" s="67">
        <f>IF(J87&gt;=Budget!$B$32,1,0)</f>
        <v>1</v>
      </c>
      <c r="T87" s="67">
        <f t="shared" si="4"/>
        <v>1</v>
      </c>
      <c r="U87" s="4"/>
      <c r="V87" s="4"/>
      <c r="AA87" s="68">
        <f>Budget!$B$29</f>
        <v>4000</v>
      </c>
      <c r="AB87" s="68">
        <f>Budget!$B$32</f>
        <v>4000</v>
      </c>
    </row>
    <row r="88" spans="1:28" ht="15" customHeight="1" x14ac:dyDescent="0.25">
      <c r="A88" s="55">
        <v>84</v>
      </c>
      <c r="B88" s="56">
        <f>EDATE(Budget!$B$28,A88-1)</f>
        <v>48914</v>
      </c>
      <c r="C88" s="57">
        <f>Budget!$B$7</f>
        <v>2900</v>
      </c>
      <c r="D88" s="57">
        <f>Budget!$B$18+Budget!$B$25</f>
        <v>1725</v>
      </c>
      <c r="E88" s="57">
        <f>Calcul!AX86</f>
        <v>0</v>
      </c>
      <c r="F88" s="58">
        <f t="shared" si="0"/>
        <v>1175</v>
      </c>
      <c r="G88" s="59">
        <f>IF(B88&lt;=Budget!$B$30,MAX(0,MIN(F88,Budget!$B$29-H87)),0)</f>
        <v>0</v>
      </c>
      <c r="H88" s="60">
        <f t="shared" si="5"/>
        <v>3511.3</v>
      </c>
      <c r="I88" s="61">
        <f>MAX(0,MIN(F88-G88,Budget!$B$32-J87))</f>
        <v>0</v>
      </c>
      <c r="J88" s="62">
        <f t="shared" si="6"/>
        <v>4000</v>
      </c>
      <c r="K88" s="63">
        <f t="shared" si="1"/>
        <v>1175</v>
      </c>
      <c r="L88" s="63">
        <f>K88*Budget!$B$36</f>
        <v>705</v>
      </c>
      <c r="M88" s="63">
        <f>MAX(0,L88-Calcul!AY86)</f>
        <v>705</v>
      </c>
      <c r="N88" s="63">
        <f t="shared" si="2"/>
        <v>1175</v>
      </c>
      <c r="O88" s="64">
        <f t="shared" si="7"/>
        <v>75002.130164000002</v>
      </c>
      <c r="P88" s="65">
        <f>Calcul!AZ86</f>
        <v>0</v>
      </c>
      <c r="Q88" s="66" t="str">
        <f t="shared" si="3"/>
        <v/>
      </c>
      <c r="R88" s="67">
        <f>IF(H88&gt;=Budget!$B$29,1,0)</f>
        <v>0</v>
      </c>
      <c r="S88" s="67">
        <f>IF(J88&gt;=Budget!$B$32,1,0)</f>
        <v>1</v>
      </c>
      <c r="T88" s="67">
        <f t="shared" si="4"/>
        <v>1</v>
      </c>
      <c r="U88" s="4"/>
      <c r="V88" s="4"/>
      <c r="AA88" s="68">
        <f>Budget!$B$29</f>
        <v>4000</v>
      </c>
      <c r="AB88" s="68">
        <f>Budget!$B$32</f>
        <v>4000</v>
      </c>
    </row>
    <row r="89" spans="1:28" ht="15" customHeight="1" x14ac:dyDescent="0.25">
      <c r="A89" s="55">
        <v>85</v>
      </c>
      <c r="B89" s="56">
        <f>EDATE(Budget!$B$28,A89-1)</f>
        <v>48945</v>
      </c>
      <c r="C89" s="57">
        <f>Budget!$B$7</f>
        <v>2900</v>
      </c>
      <c r="D89" s="57">
        <f>Budget!$B$18+Budget!$B$25</f>
        <v>1725</v>
      </c>
      <c r="E89" s="57">
        <f>Calcul!AX87</f>
        <v>0</v>
      </c>
      <c r="F89" s="58">
        <f t="shared" si="0"/>
        <v>1175</v>
      </c>
      <c r="G89" s="59">
        <f>IF(B89&lt;=Budget!$B$30,MAX(0,MIN(F89,Budget!$B$29-H88)),0)</f>
        <v>0</v>
      </c>
      <c r="H89" s="60">
        <f t="shared" si="5"/>
        <v>3511.3</v>
      </c>
      <c r="I89" s="61">
        <f>MAX(0,MIN(F89-G89,Budget!$B$32-J88))</f>
        <v>0</v>
      </c>
      <c r="J89" s="62">
        <f t="shared" si="6"/>
        <v>4000</v>
      </c>
      <c r="K89" s="63">
        <f t="shared" si="1"/>
        <v>1175</v>
      </c>
      <c r="L89" s="63">
        <f>K89*Budget!$B$36</f>
        <v>705</v>
      </c>
      <c r="M89" s="63">
        <f>MAX(0,L89-Calcul!AY87)</f>
        <v>705</v>
      </c>
      <c r="N89" s="63">
        <f t="shared" si="2"/>
        <v>1175</v>
      </c>
      <c r="O89" s="64">
        <f t="shared" si="7"/>
        <v>76177.130164000002</v>
      </c>
      <c r="P89" s="65">
        <f>Calcul!AZ87</f>
        <v>0</v>
      </c>
      <c r="Q89" s="66" t="str">
        <f t="shared" si="3"/>
        <v/>
      </c>
      <c r="R89" s="67">
        <f>IF(H89&gt;=Budget!$B$29,1,0)</f>
        <v>0</v>
      </c>
      <c r="S89" s="67">
        <f>IF(J89&gt;=Budget!$B$32,1,0)</f>
        <v>1</v>
      </c>
      <c r="T89" s="67">
        <f t="shared" si="4"/>
        <v>1</v>
      </c>
      <c r="U89" s="4"/>
      <c r="V89" s="4"/>
      <c r="AA89" s="68">
        <f>Budget!$B$29</f>
        <v>4000</v>
      </c>
      <c r="AB89" s="68">
        <f>Budget!$B$32</f>
        <v>4000</v>
      </c>
    </row>
    <row r="90" spans="1:28" ht="15" customHeight="1" x14ac:dyDescent="0.25">
      <c r="A90" s="55">
        <v>86</v>
      </c>
      <c r="B90" s="56">
        <f>EDATE(Budget!$B$28,A90-1)</f>
        <v>48976</v>
      </c>
      <c r="C90" s="57">
        <f>Budget!$B$7</f>
        <v>2900</v>
      </c>
      <c r="D90" s="57">
        <f>Budget!$B$18+Budget!$B$25</f>
        <v>1725</v>
      </c>
      <c r="E90" s="57">
        <f>Calcul!AX88</f>
        <v>0</v>
      </c>
      <c r="F90" s="58">
        <f t="shared" si="0"/>
        <v>1175</v>
      </c>
      <c r="G90" s="59">
        <f>IF(B90&lt;=Budget!$B$30,MAX(0,MIN(F90,Budget!$B$29-H89)),0)</f>
        <v>0</v>
      </c>
      <c r="H90" s="60">
        <f t="shared" si="5"/>
        <v>3511.3</v>
      </c>
      <c r="I90" s="61">
        <f>MAX(0,MIN(F90-G90,Budget!$B$32-J89))</f>
        <v>0</v>
      </c>
      <c r="J90" s="62">
        <f t="shared" si="6"/>
        <v>4000</v>
      </c>
      <c r="K90" s="63">
        <f t="shared" si="1"/>
        <v>1175</v>
      </c>
      <c r="L90" s="63">
        <f>K90*Budget!$B$36</f>
        <v>705</v>
      </c>
      <c r="M90" s="63">
        <f>MAX(0,L90-Calcul!AY88)</f>
        <v>705</v>
      </c>
      <c r="N90" s="63">
        <f t="shared" si="2"/>
        <v>1175</v>
      </c>
      <c r="O90" s="64">
        <f t="shared" si="7"/>
        <v>77352.130164000002</v>
      </c>
      <c r="P90" s="65">
        <f>Calcul!AZ88</f>
        <v>0</v>
      </c>
      <c r="Q90" s="66" t="str">
        <f t="shared" si="3"/>
        <v/>
      </c>
      <c r="R90" s="67">
        <f>IF(H90&gt;=Budget!$B$29,1,0)</f>
        <v>0</v>
      </c>
      <c r="S90" s="67">
        <f>IF(J90&gt;=Budget!$B$32,1,0)</f>
        <v>1</v>
      </c>
      <c r="T90" s="67">
        <f t="shared" si="4"/>
        <v>1</v>
      </c>
      <c r="U90" s="4"/>
      <c r="V90" s="4"/>
      <c r="AA90" s="68">
        <f>Budget!$B$29</f>
        <v>4000</v>
      </c>
      <c r="AB90" s="68">
        <f>Budget!$B$32</f>
        <v>4000</v>
      </c>
    </row>
    <row r="91" spans="1:28" ht="15" customHeight="1" x14ac:dyDescent="0.25">
      <c r="A91" s="55">
        <v>87</v>
      </c>
      <c r="B91" s="56">
        <f>EDATE(Budget!$B$28,A91-1)</f>
        <v>49004</v>
      </c>
      <c r="C91" s="57">
        <f>Budget!$B$7</f>
        <v>2900</v>
      </c>
      <c r="D91" s="57">
        <f>Budget!$B$18+Budget!$B$25</f>
        <v>1725</v>
      </c>
      <c r="E91" s="57">
        <f>Calcul!AX89</f>
        <v>0</v>
      </c>
      <c r="F91" s="58">
        <f t="shared" si="0"/>
        <v>1175</v>
      </c>
      <c r="G91" s="59">
        <f>IF(B91&lt;=Budget!$B$30,MAX(0,MIN(F91,Budget!$B$29-H90)),0)</f>
        <v>0</v>
      </c>
      <c r="H91" s="60">
        <f t="shared" si="5"/>
        <v>3511.3</v>
      </c>
      <c r="I91" s="61">
        <f>MAX(0,MIN(F91-G91,Budget!$B$32-J90))</f>
        <v>0</v>
      </c>
      <c r="J91" s="62">
        <f t="shared" si="6"/>
        <v>4000</v>
      </c>
      <c r="K91" s="63">
        <f t="shared" si="1"/>
        <v>1175</v>
      </c>
      <c r="L91" s="63">
        <f>K91*Budget!$B$36</f>
        <v>705</v>
      </c>
      <c r="M91" s="63">
        <f>MAX(0,L91-Calcul!AY89)</f>
        <v>705</v>
      </c>
      <c r="N91" s="63">
        <f t="shared" si="2"/>
        <v>1175</v>
      </c>
      <c r="O91" s="64">
        <f t="shared" si="7"/>
        <v>78527.130164000002</v>
      </c>
      <c r="P91" s="65">
        <f>Calcul!AZ89</f>
        <v>0</v>
      </c>
      <c r="Q91" s="66" t="str">
        <f t="shared" si="3"/>
        <v/>
      </c>
      <c r="R91" s="67">
        <f>IF(H91&gt;=Budget!$B$29,1,0)</f>
        <v>0</v>
      </c>
      <c r="S91" s="67">
        <f>IF(J91&gt;=Budget!$B$32,1,0)</f>
        <v>1</v>
      </c>
      <c r="T91" s="67">
        <f t="shared" si="4"/>
        <v>1</v>
      </c>
      <c r="U91" s="4"/>
      <c r="V91" s="4"/>
      <c r="AA91" s="68">
        <f>Budget!$B$29</f>
        <v>4000</v>
      </c>
      <c r="AB91" s="68">
        <f>Budget!$B$32</f>
        <v>4000</v>
      </c>
    </row>
    <row r="92" spans="1:28" ht="15" customHeight="1" x14ac:dyDescent="0.25">
      <c r="A92" s="55">
        <v>88</v>
      </c>
      <c r="B92" s="56">
        <f>EDATE(Budget!$B$28,A92-1)</f>
        <v>49035</v>
      </c>
      <c r="C92" s="57">
        <f>Budget!$B$7</f>
        <v>2900</v>
      </c>
      <c r="D92" s="57">
        <f>Budget!$B$18+Budget!$B$25</f>
        <v>1725</v>
      </c>
      <c r="E92" s="57">
        <f>Calcul!AX90</f>
        <v>0</v>
      </c>
      <c r="F92" s="58">
        <f t="shared" si="0"/>
        <v>1175</v>
      </c>
      <c r="G92" s="59">
        <f>IF(B92&lt;=Budget!$B$30,MAX(0,MIN(F92,Budget!$B$29-H91)),0)</f>
        <v>0</v>
      </c>
      <c r="H92" s="60">
        <f t="shared" si="5"/>
        <v>3511.3</v>
      </c>
      <c r="I92" s="61">
        <f>MAX(0,MIN(F92-G92,Budget!$B$32-J91))</f>
        <v>0</v>
      </c>
      <c r="J92" s="62">
        <f t="shared" si="6"/>
        <v>4000</v>
      </c>
      <c r="K92" s="63">
        <f t="shared" si="1"/>
        <v>1175</v>
      </c>
      <c r="L92" s="63">
        <f>K92*Budget!$B$36</f>
        <v>705</v>
      </c>
      <c r="M92" s="63">
        <f>MAX(0,L92-Calcul!AY90)</f>
        <v>705</v>
      </c>
      <c r="N92" s="63">
        <f t="shared" si="2"/>
        <v>1175</v>
      </c>
      <c r="O92" s="64">
        <f t="shared" si="7"/>
        <v>79702.130164000002</v>
      </c>
      <c r="P92" s="65">
        <f>Calcul!AZ90</f>
        <v>0</v>
      </c>
      <c r="Q92" s="66" t="str">
        <f t="shared" si="3"/>
        <v/>
      </c>
      <c r="R92" s="67">
        <f>IF(H92&gt;=Budget!$B$29,1,0)</f>
        <v>0</v>
      </c>
      <c r="S92" s="67">
        <f>IF(J92&gt;=Budget!$B$32,1,0)</f>
        <v>1</v>
      </c>
      <c r="T92" s="67">
        <f t="shared" si="4"/>
        <v>1</v>
      </c>
      <c r="U92" s="4"/>
      <c r="V92" s="4"/>
      <c r="AA92" s="68">
        <f>Budget!$B$29</f>
        <v>4000</v>
      </c>
      <c r="AB92" s="68">
        <f>Budget!$B$32</f>
        <v>4000</v>
      </c>
    </row>
    <row r="93" spans="1:28" ht="15" customHeight="1" x14ac:dyDescent="0.25">
      <c r="A93" s="55">
        <v>89</v>
      </c>
      <c r="B93" s="56">
        <f>EDATE(Budget!$B$28,A93-1)</f>
        <v>49065</v>
      </c>
      <c r="C93" s="57">
        <f>Budget!$B$7</f>
        <v>2900</v>
      </c>
      <c r="D93" s="57">
        <f>Budget!$B$18+Budget!$B$25</f>
        <v>1725</v>
      </c>
      <c r="E93" s="57">
        <f>Calcul!AX91</f>
        <v>0</v>
      </c>
      <c r="F93" s="58">
        <f t="shared" si="0"/>
        <v>1175</v>
      </c>
      <c r="G93" s="59">
        <f>IF(B93&lt;=Budget!$B$30,MAX(0,MIN(F93,Budget!$B$29-H92)),0)</f>
        <v>0</v>
      </c>
      <c r="H93" s="60">
        <f t="shared" si="5"/>
        <v>3511.3</v>
      </c>
      <c r="I93" s="61">
        <f>MAX(0,MIN(F93-G93,Budget!$B$32-J92))</f>
        <v>0</v>
      </c>
      <c r="J93" s="62">
        <f t="shared" si="6"/>
        <v>4000</v>
      </c>
      <c r="K93" s="63">
        <f t="shared" si="1"/>
        <v>1175</v>
      </c>
      <c r="L93" s="63">
        <f>K93*Budget!$B$36</f>
        <v>705</v>
      </c>
      <c r="M93" s="63">
        <f>MAX(0,L93-Calcul!AY91)</f>
        <v>705</v>
      </c>
      <c r="N93" s="63">
        <f t="shared" si="2"/>
        <v>1175</v>
      </c>
      <c r="O93" s="64">
        <f t="shared" si="7"/>
        <v>80877.130164000002</v>
      </c>
      <c r="P93" s="65">
        <f>Calcul!AZ91</f>
        <v>0</v>
      </c>
      <c r="Q93" s="66" t="str">
        <f t="shared" si="3"/>
        <v/>
      </c>
      <c r="R93" s="67">
        <f>IF(H93&gt;=Budget!$B$29,1,0)</f>
        <v>0</v>
      </c>
      <c r="S93" s="67">
        <f>IF(J93&gt;=Budget!$B$32,1,0)</f>
        <v>1</v>
      </c>
      <c r="T93" s="67">
        <f t="shared" si="4"/>
        <v>1</v>
      </c>
      <c r="U93" s="4"/>
      <c r="V93" s="4"/>
      <c r="AA93" s="68">
        <f>Budget!$B$29</f>
        <v>4000</v>
      </c>
      <c r="AB93" s="68">
        <f>Budget!$B$32</f>
        <v>4000</v>
      </c>
    </row>
    <row r="94" spans="1:28" ht="15" customHeight="1" x14ac:dyDescent="0.25">
      <c r="A94" s="55">
        <v>90</v>
      </c>
      <c r="B94" s="56">
        <f>EDATE(Budget!$B$28,A94-1)</f>
        <v>49096</v>
      </c>
      <c r="C94" s="57">
        <f>Budget!$B$7</f>
        <v>2900</v>
      </c>
      <c r="D94" s="57">
        <f>Budget!$B$18+Budget!$B$25</f>
        <v>1725</v>
      </c>
      <c r="E94" s="57">
        <f>Calcul!AX92</f>
        <v>0</v>
      </c>
      <c r="F94" s="58">
        <f t="shared" si="0"/>
        <v>1175</v>
      </c>
      <c r="G94" s="59">
        <f>IF(B94&lt;=Budget!$B$30,MAX(0,MIN(F94,Budget!$B$29-H93)),0)</f>
        <v>0</v>
      </c>
      <c r="H94" s="60">
        <f t="shared" si="5"/>
        <v>3511.3</v>
      </c>
      <c r="I94" s="61">
        <f>MAX(0,MIN(F94-G94,Budget!$B$32-J93))</f>
        <v>0</v>
      </c>
      <c r="J94" s="62">
        <f t="shared" si="6"/>
        <v>4000</v>
      </c>
      <c r="K94" s="63">
        <f t="shared" si="1"/>
        <v>1175</v>
      </c>
      <c r="L94" s="63">
        <f>K94*Budget!$B$36</f>
        <v>705</v>
      </c>
      <c r="M94" s="63">
        <f>MAX(0,L94-Calcul!AY92)</f>
        <v>705</v>
      </c>
      <c r="N94" s="63">
        <f t="shared" si="2"/>
        <v>1175</v>
      </c>
      <c r="O94" s="64">
        <f t="shared" si="7"/>
        <v>82052.130164000002</v>
      </c>
      <c r="P94" s="65">
        <f>Calcul!AZ92</f>
        <v>0</v>
      </c>
      <c r="Q94" s="66" t="str">
        <f t="shared" si="3"/>
        <v/>
      </c>
      <c r="R94" s="67">
        <f>IF(H94&gt;=Budget!$B$29,1,0)</f>
        <v>0</v>
      </c>
      <c r="S94" s="67">
        <f>IF(J94&gt;=Budget!$B$32,1,0)</f>
        <v>1</v>
      </c>
      <c r="T94" s="67">
        <f t="shared" si="4"/>
        <v>1</v>
      </c>
      <c r="U94" s="4"/>
      <c r="V94" s="4"/>
      <c r="AA94" s="68">
        <f>Budget!$B$29</f>
        <v>4000</v>
      </c>
      <c r="AB94" s="68">
        <f>Budget!$B$32</f>
        <v>4000</v>
      </c>
    </row>
    <row r="95" spans="1:28" ht="15" customHeight="1" x14ac:dyDescent="0.25">
      <c r="A95" s="55">
        <v>91</v>
      </c>
      <c r="B95" s="56">
        <f>EDATE(Budget!$B$28,A95-1)</f>
        <v>49126</v>
      </c>
      <c r="C95" s="57">
        <f>Budget!$B$7</f>
        <v>2900</v>
      </c>
      <c r="D95" s="57">
        <f>Budget!$B$18+Budget!$B$25</f>
        <v>1725</v>
      </c>
      <c r="E95" s="57">
        <f>Calcul!AX93</f>
        <v>0</v>
      </c>
      <c r="F95" s="58">
        <f t="shared" si="0"/>
        <v>1175</v>
      </c>
      <c r="G95" s="59">
        <f>IF(B95&lt;=Budget!$B$30,MAX(0,MIN(F95,Budget!$B$29-H94)),0)</f>
        <v>0</v>
      </c>
      <c r="H95" s="60">
        <f t="shared" si="5"/>
        <v>3511.3</v>
      </c>
      <c r="I95" s="61">
        <f>MAX(0,MIN(F95-G95,Budget!$B$32-J94))</f>
        <v>0</v>
      </c>
      <c r="J95" s="62">
        <f t="shared" si="6"/>
        <v>4000</v>
      </c>
      <c r="K95" s="63">
        <f t="shared" si="1"/>
        <v>1175</v>
      </c>
      <c r="L95" s="63">
        <f>K95*Budget!$B$36</f>
        <v>705</v>
      </c>
      <c r="M95" s="63">
        <f>MAX(0,L95-Calcul!AY93)</f>
        <v>705</v>
      </c>
      <c r="N95" s="63">
        <f t="shared" si="2"/>
        <v>1175</v>
      </c>
      <c r="O95" s="64">
        <f t="shared" si="7"/>
        <v>83227.130164000002</v>
      </c>
      <c r="P95" s="65">
        <f>Calcul!AZ93</f>
        <v>0</v>
      </c>
      <c r="Q95" s="66" t="str">
        <f t="shared" si="3"/>
        <v/>
      </c>
      <c r="R95" s="67">
        <f>IF(H95&gt;=Budget!$B$29,1,0)</f>
        <v>0</v>
      </c>
      <c r="S95" s="67">
        <f>IF(J95&gt;=Budget!$B$32,1,0)</f>
        <v>1</v>
      </c>
      <c r="T95" s="67">
        <f t="shared" si="4"/>
        <v>1</v>
      </c>
      <c r="U95" s="4"/>
      <c r="V95" s="4"/>
      <c r="AA95" s="68">
        <f>Budget!$B$29</f>
        <v>4000</v>
      </c>
      <c r="AB95" s="68">
        <f>Budget!$B$32</f>
        <v>4000</v>
      </c>
    </row>
    <row r="96" spans="1:28" ht="15" customHeight="1" x14ac:dyDescent="0.25">
      <c r="A96" s="55">
        <v>92</v>
      </c>
      <c r="B96" s="56">
        <f>EDATE(Budget!$B$28,A96-1)</f>
        <v>49157</v>
      </c>
      <c r="C96" s="57">
        <f>Budget!$B$7</f>
        <v>2900</v>
      </c>
      <c r="D96" s="57">
        <f>Budget!$B$18+Budget!$B$25</f>
        <v>1725</v>
      </c>
      <c r="E96" s="57">
        <f>Calcul!AX94</f>
        <v>0</v>
      </c>
      <c r="F96" s="58">
        <f t="shared" si="0"/>
        <v>1175</v>
      </c>
      <c r="G96" s="59">
        <f>IF(B96&lt;=Budget!$B$30,MAX(0,MIN(F96,Budget!$B$29-H95)),0)</f>
        <v>0</v>
      </c>
      <c r="H96" s="60">
        <f t="shared" si="5"/>
        <v>3511.3</v>
      </c>
      <c r="I96" s="61">
        <f>MAX(0,MIN(F96-G96,Budget!$B$32-J95))</f>
        <v>0</v>
      </c>
      <c r="J96" s="62">
        <f t="shared" si="6"/>
        <v>4000</v>
      </c>
      <c r="K96" s="63">
        <f t="shared" si="1"/>
        <v>1175</v>
      </c>
      <c r="L96" s="63">
        <f>K96*Budget!$B$36</f>
        <v>705</v>
      </c>
      <c r="M96" s="63">
        <f>MAX(0,L96-Calcul!AY94)</f>
        <v>705</v>
      </c>
      <c r="N96" s="63">
        <f t="shared" si="2"/>
        <v>1175</v>
      </c>
      <c r="O96" s="64">
        <f t="shared" si="7"/>
        <v>84402.130164000002</v>
      </c>
      <c r="P96" s="65">
        <f>Calcul!AZ94</f>
        <v>0</v>
      </c>
      <c r="Q96" s="66" t="str">
        <f t="shared" si="3"/>
        <v/>
      </c>
      <c r="R96" s="67">
        <f>IF(H96&gt;=Budget!$B$29,1,0)</f>
        <v>0</v>
      </c>
      <c r="S96" s="67">
        <f>IF(J96&gt;=Budget!$B$32,1,0)</f>
        <v>1</v>
      </c>
      <c r="T96" s="67">
        <f t="shared" si="4"/>
        <v>1</v>
      </c>
      <c r="U96" s="4"/>
      <c r="V96" s="4"/>
      <c r="AA96" s="68">
        <f>Budget!$B$29</f>
        <v>4000</v>
      </c>
      <c r="AB96" s="68">
        <f>Budget!$B$32</f>
        <v>4000</v>
      </c>
    </row>
    <row r="97" spans="1:28" ht="15" customHeight="1" x14ac:dyDescent="0.25">
      <c r="A97" s="55">
        <v>93</v>
      </c>
      <c r="B97" s="56">
        <f>EDATE(Budget!$B$28,A97-1)</f>
        <v>49188</v>
      </c>
      <c r="C97" s="57">
        <f>Budget!$B$7</f>
        <v>2900</v>
      </c>
      <c r="D97" s="57">
        <f>Budget!$B$18+Budget!$B$25</f>
        <v>1725</v>
      </c>
      <c r="E97" s="57">
        <f>Calcul!AX95</f>
        <v>0</v>
      </c>
      <c r="F97" s="58">
        <f t="shared" si="0"/>
        <v>1175</v>
      </c>
      <c r="G97" s="59">
        <f>IF(B97&lt;=Budget!$B$30,MAX(0,MIN(F97,Budget!$B$29-H96)),0)</f>
        <v>0</v>
      </c>
      <c r="H97" s="60">
        <f t="shared" si="5"/>
        <v>3511.3</v>
      </c>
      <c r="I97" s="61">
        <f>MAX(0,MIN(F97-G97,Budget!$B$32-J96))</f>
        <v>0</v>
      </c>
      <c r="J97" s="62">
        <f t="shared" si="6"/>
        <v>4000</v>
      </c>
      <c r="K97" s="63">
        <f t="shared" si="1"/>
        <v>1175</v>
      </c>
      <c r="L97" s="63">
        <f>K97*Budget!$B$36</f>
        <v>705</v>
      </c>
      <c r="M97" s="63">
        <f>MAX(0,L97-Calcul!AY95)</f>
        <v>705</v>
      </c>
      <c r="N97" s="63">
        <f t="shared" si="2"/>
        <v>1175</v>
      </c>
      <c r="O97" s="64">
        <f t="shared" si="7"/>
        <v>85577.130164000002</v>
      </c>
      <c r="P97" s="65">
        <f>Calcul!AZ95</f>
        <v>0</v>
      </c>
      <c r="Q97" s="66" t="str">
        <f t="shared" si="3"/>
        <v/>
      </c>
      <c r="R97" s="67">
        <f>IF(H97&gt;=Budget!$B$29,1,0)</f>
        <v>0</v>
      </c>
      <c r="S97" s="67">
        <f>IF(J97&gt;=Budget!$B$32,1,0)</f>
        <v>1</v>
      </c>
      <c r="T97" s="67">
        <f t="shared" si="4"/>
        <v>1</v>
      </c>
      <c r="U97" s="4"/>
      <c r="V97" s="4"/>
      <c r="AA97" s="68">
        <f>Budget!$B$29</f>
        <v>4000</v>
      </c>
      <c r="AB97" s="68">
        <f>Budget!$B$32</f>
        <v>4000</v>
      </c>
    </row>
    <row r="98" spans="1:28" ht="15" customHeight="1" x14ac:dyDescent="0.25">
      <c r="A98" s="55">
        <v>94</v>
      </c>
      <c r="B98" s="56">
        <f>EDATE(Budget!$B$28,A98-1)</f>
        <v>49218</v>
      </c>
      <c r="C98" s="57">
        <f>Budget!$B$7</f>
        <v>2900</v>
      </c>
      <c r="D98" s="57">
        <f>Budget!$B$18+Budget!$B$25</f>
        <v>1725</v>
      </c>
      <c r="E98" s="57">
        <f>Calcul!AX96</f>
        <v>0</v>
      </c>
      <c r="F98" s="58">
        <f t="shared" si="0"/>
        <v>1175</v>
      </c>
      <c r="G98" s="59">
        <f>IF(B98&lt;=Budget!$B$30,MAX(0,MIN(F98,Budget!$B$29-H97)),0)</f>
        <v>0</v>
      </c>
      <c r="H98" s="60">
        <f t="shared" si="5"/>
        <v>3511.3</v>
      </c>
      <c r="I98" s="61">
        <f>MAX(0,MIN(F98-G98,Budget!$B$32-J97))</f>
        <v>0</v>
      </c>
      <c r="J98" s="62">
        <f t="shared" si="6"/>
        <v>4000</v>
      </c>
      <c r="K98" s="63">
        <f t="shared" si="1"/>
        <v>1175</v>
      </c>
      <c r="L98" s="63">
        <f>K98*Budget!$B$36</f>
        <v>705</v>
      </c>
      <c r="M98" s="63">
        <f>MAX(0,L98-Calcul!AY96)</f>
        <v>705</v>
      </c>
      <c r="N98" s="63">
        <f t="shared" si="2"/>
        <v>1175</v>
      </c>
      <c r="O98" s="64">
        <f t="shared" si="7"/>
        <v>86752.130164000002</v>
      </c>
      <c r="P98" s="65">
        <f>Calcul!AZ96</f>
        <v>0</v>
      </c>
      <c r="Q98" s="66" t="str">
        <f t="shared" si="3"/>
        <v/>
      </c>
      <c r="R98" s="67">
        <f>IF(H98&gt;=Budget!$B$29,1,0)</f>
        <v>0</v>
      </c>
      <c r="S98" s="67">
        <f>IF(J98&gt;=Budget!$B$32,1,0)</f>
        <v>1</v>
      </c>
      <c r="T98" s="67">
        <f t="shared" si="4"/>
        <v>1</v>
      </c>
      <c r="U98" s="4"/>
      <c r="V98" s="4"/>
      <c r="AA98" s="68">
        <f>Budget!$B$29</f>
        <v>4000</v>
      </c>
      <c r="AB98" s="68">
        <f>Budget!$B$32</f>
        <v>4000</v>
      </c>
    </row>
    <row r="99" spans="1:28" ht="15" customHeight="1" x14ac:dyDescent="0.25">
      <c r="A99" s="55">
        <v>95</v>
      </c>
      <c r="B99" s="56">
        <f>EDATE(Budget!$B$28,A99-1)</f>
        <v>49249</v>
      </c>
      <c r="C99" s="57">
        <f>Budget!$B$7</f>
        <v>2900</v>
      </c>
      <c r="D99" s="57">
        <f>Budget!$B$18+Budget!$B$25</f>
        <v>1725</v>
      </c>
      <c r="E99" s="57">
        <f>Calcul!AX97</f>
        <v>0</v>
      </c>
      <c r="F99" s="58">
        <f t="shared" si="0"/>
        <v>1175</v>
      </c>
      <c r="G99" s="59">
        <f>IF(B99&lt;=Budget!$B$30,MAX(0,MIN(F99,Budget!$B$29-H98)),0)</f>
        <v>0</v>
      </c>
      <c r="H99" s="60">
        <f t="shared" si="5"/>
        <v>3511.3</v>
      </c>
      <c r="I99" s="61">
        <f>MAX(0,MIN(F99-G99,Budget!$B$32-J98))</f>
        <v>0</v>
      </c>
      <c r="J99" s="62">
        <f t="shared" si="6"/>
        <v>4000</v>
      </c>
      <c r="K99" s="63">
        <f t="shared" si="1"/>
        <v>1175</v>
      </c>
      <c r="L99" s="63">
        <f>K99*Budget!$B$36</f>
        <v>705</v>
      </c>
      <c r="M99" s="63">
        <f>MAX(0,L99-Calcul!AY97)</f>
        <v>705</v>
      </c>
      <c r="N99" s="63">
        <f t="shared" si="2"/>
        <v>1175</v>
      </c>
      <c r="O99" s="64">
        <f t="shared" si="7"/>
        <v>87927.130164000002</v>
      </c>
      <c r="P99" s="65">
        <f>Calcul!AZ97</f>
        <v>0</v>
      </c>
      <c r="Q99" s="66" t="str">
        <f t="shared" si="3"/>
        <v/>
      </c>
      <c r="R99" s="67">
        <f>IF(H99&gt;=Budget!$B$29,1,0)</f>
        <v>0</v>
      </c>
      <c r="S99" s="67">
        <f>IF(J99&gt;=Budget!$B$32,1,0)</f>
        <v>1</v>
      </c>
      <c r="T99" s="67">
        <f t="shared" si="4"/>
        <v>1</v>
      </c>
      <c r="U99" s="4"/>
      <c r="V99" s="4"/>
      <c r="AA99" s="68">
        <f>Budget!$B$29</f>
        <v>4000</v>
      </c>
      <c r="AB99" s="68">
        <f>Budget!$B$32</f>
        <v>4000</v>
      </c>
    </row>
    <row r="100" spans="1:28" ht="15" customHeight="1" x14ac:dyDescent="0.25">
      <c r="A100" s="55">
        <v>96</v>
      </c>
      <c r="B100" s="56">
        <f>EDATE(Budget!$B$28,A100-1)</f>
        <v>49279</v>
      </c>
      <c r="C100" s="57">
        <f>Budget!$B$7</f>
        <v>2900</v>
      </c>
      <c r="D100" s="57">
        <f>Budget!$B$18+Budget!$B$25</f>
        <v>1725</v>
      </c>
      <c r="E100" s="57">
        <f>Calcul!AX98</f>
        <v>0</v>
      </c>
      <c r="F100" s="58">
        <f t="shared" si="0"/>
        <v>1175</v>
      </c>
      <c r="G100" s="59">
        <f>IF(B100&lt;=Budget!$B$30,MAX(0,MIN(F100,Budget!$B$29-H99)),0)</f>
        <v>0</v>
      </c>
      <c r="H100" s="60">
        <f t="shared" si="5"/>
        <v>3511.3</v>
      </c>
      <c r="I100" s="61">
        <f>MAX(0,MIN(F100-G100,Budget!$B$32-J99))</f>
        <v>0</v>
      </c>
      <c r="J100" s="62">
        <f t="shared" si="6"/>
        <v>4000</v>
      </c>
      <c r="K100" s="63">
        <f t="shared" si="1"/>
        <v>1175</v>
      </c>
      <c r="L100" s="63">
        <f>K100*Budget!$B$36</f>
        <v>705</v>
      </c>
      <c r="M100" s="63">
        <f>MAX(0,L100-Calcul!AY98)</f>
        <v>705</v>
      </c>
      <c r="N100" s="63">
        <f t="shared" si="2"/>
        <v>1175</v>
      </c>
      <c r="O100" s="64">
        <f t="shared" si="7"/>
        <v>89102.130164000002</v>
      </c>
      <c r="P100" s="65">
        <f>Calcul!AZ98</f>
        <v>0</v>
      </c>
      <c r="Q100" s="66" t="str">
        <f t="shared" si="3"/>
        <v/>
      </c>
      <c r="R100" s="67">
        <f>IF(H100&gt;=Budget!$B$29,1,0)</f>
        <v>0</v>
      </c>
      <c r="S100" s="67">
        <f>IF(J100&gt;=Budget!$B$32,1,0)</f>
        <v>1</v>
      </c>
      <c r="T100" s="67">
        <f t="shared" si="4"/>
        <v>1</v>
      </c>
      <c r="U100" s="4"/>
      <c r="V100" s="4"/>
      <c r="AA100" s="68">
        <f>Budget!$B$29</f>
        <v>4000</v>
      </c>
      <c r="AB100" s="68">
        <f>Budget!$B$32</f>
        <v>4000</v>
      </c>
    </row>
    <row r="101" spans="1:28" ht="15" customHeight="1" x14ac:dyDescent="0.25">
      <c r="A101" s="55">
        <v>97</v>
      </c>
      <c r="B101" s="56">
        <f>EDATE(Budget!$B$28,A101-1)</f>
        <v>49310</v>
      </c>
      <c r="C101" s="57">
        <f>Budget!$B$7</f>
        <v>2900</v>
      </c>
      <c r="D101" s="57">
        <f>Budget!$B$18+Budget!$B$25</f>
        <v>1725</v>
      </c>
      <c r="E101" s="57">
        <f>Calcul!AX99</f>
        <v>0</v>
      </c>
      <c r="F101" s="58">
        <f t="shared" si="0"/>
        <v>1175</v>
      </c>
      <c r="G101" s="59">
        <f>IF(B101&lt;=Budget!$B$30,MAX(0,MIN(F101,Budget!$B$29-H100)),0)</f>
        <v>0</v>
      </c>
      <c r="H101" s="60">
        <f t="shared" si="5"/>
        <v>3511.3</v>
      </c>
      <c r="I101" s="61">
        <f>MAX(0,MIN(F101-G101,Budget!$B$32-J100))</f>
        <v>0</v>
      </c>
      <c r="J101" s="62">
        <f t="shared" si="6"/>
        <v>4000</v>
      </c>
      <c r="K101" s="63">
        <f t="shared" si="1"/>
        <v>1175</v>
      </c>
      <c r="L101" s="63">
        <f>K101*Budget!$B$36</f>
        <v>705</v>
      </c>
      <c r="M101" s="63">
        <f>MAX(0,L101-Calcul!AY99)</f>
        <v>705</v>
      </c>
      <c r="N101" s="63">
        <f t="shared" si="2"/>
        <v>1175</v>
      </c>
      <c r="O101" s="64">
        <f t="shared" si="7"/>
        <v>90277.130164000002</v>
      </c>
      <c r="P101" s="65">
        <f>Calcul!AZ99</f>
        <v>0</v>
      </c>
      <c r="Q101" s="66" t="str">
        <f t="shared" si="3"/>
        <v/>
      </c>
      <c r="R101" s="67">
        <f>IF(H101&gt;=Budget!$B$29,1,0)</f>
        <v>0</v>
      </c>
      <c r="S101" s="67">
        <f>IF(J101&gt;=Budget!$B$32,1,0)</f>
        <v>1</v>
      </c>
      <c r="T101" s="67">
        <f t="shared" si="4"/>
        <v>1</v>
      </c>
      <c r="U101" s="4"/>
      <c r="V101" s="4"/>
      <c r="AA101" s="68">
        <f>Budget!$B$29</f>
        <v>4000</v>
      </c>
      <c r="AB101" s="68">
        <f>Budget!$B$32</f>
        <v>4000</v>
      </c>
    </row>
    <row r="102" spans="1:28" ht="15" customHeight="1" x14ac:dyDescent="0.25">
      <c r="A102" s="55">
        <v>98</v>
      </c>
      <c r="B102" s="56">
        <f>EDATE(Budget!$B$28,A102-1)</f>
        <v>49341</v>
      </c>
      <c r="C102" s="57">
        <f>Budget!$B$7</f>
        <v>2900</v>
      </c>
      <c r="D102" s="57">
        <f>Budget!$B$18+Budget!$B$25</f>
        <v>1725</v>
      </c>
      <c r="E102" s="57">
        <f>Calcul!AX100</f>
        <v>0</v>
      </c>
      <c r="F102" s="58">
        <f t="shared" si="0"/>
        <v>1175</v>
      </c>
      <c r="G102" s="59">
        <f>IF(B102&lt;=Budget!$B$30,MAX(0,MIN(F102,Budget!$B$29-H101)),0)</f>
        <v>0</v>
      </c>
      <c r="H102" s="60">
        <f t="shared" si="5"/>
        <v>3511.3</v>
      </c>
      <c r="I102" s="61">
        <f>MAX(0,MIN(F102-G102,Budget!$B$32-J101))</f>
        <v>0</v>
      </c>
      <c r="J102" s="62">
        <f t="shared" si="6"/>
        <v>4000</v>
      </c>
      <c r="K102" s="63">
        <f t="shared" si="1"/>
        <v>1175</v>
      </c>
      <c r="L102" s="63">
        <f>K102*Budget!$B$36</f>
        <v>705</v>
      </c>
      <c r="M102" s="63">
        <f>MAX(0,L102-Calcul!AY100)</f>
        <v>705</v>
      </c>
      <c r="N102" s="63">
        <f t="shared" si="2"/>
        <v>1175</v>
      </c>
      <c r="O102" s="64">
        <f t="shared" si="7"/>
        <v>91452.130164000002</v>
      </c>
      <c r="P102" s="65">
        <f>Calcul!AZ100</f>
        <v>0</v>
      </c>
      <c r="Q102" s="66" t="str">
        <f t="shared" si="3"/>
        <v/>
      </c>
      <c r="R102" s="67">
        <f>IF(H102&gt;=Budget!$B$29,1,0)</f>
        <v>0</v>
      </c>
      <c r="S102" s="67">
        <f>IF(J102&gt;=Budget!$B$32,1,0)</f>
        <v>1</v>
      </c>
      <c r="T102" s="67">
        <f t="shared" si="4"/>
        <v>1</v>
      </c>
      <c r="U102" s="4"/>
      <c r="V102" s="4"/>
      <c r="AA102" s="68">
        <f>Budget!$B$29</f>
        <v>4000</v>
      </c>
      <c r="AB102" s="68">
        <f>Budget!$B$32</f>
        <v>4000</v>
      </c>
    </row>
    <row r="103" spans="1:28" ht="15" customHeight="1" x14ac:dyDescent="0.25">
      <c r="A103" s="55">
        <v>99</v>
      </c>
      <c r="B103" s="56">
        <f>EDATE(Budget!$B$28,A103-1)</f>
        <v>49369</v>
      </c>
      <c r="C103" s="57">
        <f>Budget!$B$7</f>
        <v>2900</v>
      </c>
      <c r="D103" s="57">
        <f>Budget!$B$18+Budget!$B$25</f>
        <v>1725</v>
      </c>
      <c r="E103" s="57">
        <f>Calcul!AX101</f>
        <v>0</v>
      </c>
      <c r="F103" s="58">
        <f t="shared" si="0"/>
        <v>1175</v>
      </c>
      <c r="G103" s="59">
        <f>IF(B103&lt;=Budget!$B$30,MAX(0,MIN(F103,Budget!$B$29-H102)),0)</f>
        <v>0</v>
      </c>
      <c r="H103" s="60">
        <f t="shared" si="5"/>
        <v>3511.3</v>
      </c>
      <c r="I103" s="61">
        <f>MAX(0,MIN(F103-G103,Budget!$B$32-J102))</f>
        <v>0</v>
      </c>
      <c r="J103" s="62">
        <f t="shared" si="6"/>
        <v>4000</v>
      </c>
      <c r="K103" s="63">
        <f t="shared" si="1"/>
        <v>1175</v>
      </c>
      <c r="L103" s="63">
        <f>K103*Budget!$B$36</f>
        <v>705</v>
      </c>
      <c r="M103" s="63">
        <f>MAX(0,L103-Calcul!AY101)</f>
        <v>705</v>
      </c>
      <c r="N103" s="63">
        <f t="shared" si="2"/>
        <v>1175</v>
      </c>
      <c r="O103" s="64">
        <f t="shared" si="7"/>
        <v>92627.130164000002</v>
      </c>
      <c r="P103" s="65">
        <f>Calcul!AZ101</f>
        <v>0</v>
      </c>
      <c r="Q103" s="66" t="str">
        <f t="shared" si="3"/>
        <v/>
      </c>
      <c r="R103" s="67">
        <f>IF(H103&gt;=Budget!$B$29,1,0)</f>
        <v>0</v>
      </c>
      <c r="S103" s="67">
        <f>IF(J103&gt;=Budget!$B$32,1,0)</f>
        <v>1</v>
      </c>
      <c r="T103" s="67">
        <f t="shared" si="4"/>
        <v>1</v>
      </c>
      <c r="U103" s="4"/>
      <c r="V103" s="4"/>
      <c r="AA103" s="68">
        <f>Budget!$B$29</f>
        <v>4000</v>
      </c>
      <c r="AB103" s="68">
        <f>Budget!$B$32</f>
        <v>4000</v>
      </c>
    </row>
    <row r="104" spans="1:28" ht="15" customHeight="1" x14ac:dyDescent="0.25">
      <c r="A104" s="55">
        <v>100</v>
      </c>
      <c r="B104" s="56">
        <f>EDATE(Budget!$B$28,A104-1)</f>
        <v>49400</v>
      </c>
      <c r="C104" s="57">
        <f>Budget!$B$7</f>
        <v>2900</v>
      </c>
      <c r="D104" s="57">
        <f>Budget!$B$18+Budget!$B$25</f>
        <v>1725</v>
      </c>
      <c r="E104" s="57">
        <f>Calcul!AX102</f>
        <v>0</v>
      </c>
      <c r="F104" s="58">
        <f t="shared" si="0"/>
        <v>1175</v>
      </c>
      <c r="G104" s="59">
        <f>IF(B104&lt;=Budget!$B$30,MAX(0,MIN(F104,Budget!$B$29-H103)),0)</f>
        <v>0</v>
      </c>
      <c r="H104" s="60">
        <f t="shared" si="5"/>
        <v>3511.3</v>
      </c>
      <c r="I104" s="61">
        <f>MAX(0,MIN(F104-G104,Budget!$B$32-J103))</f>
        <v>0</v>
      </c>
      <c r="J104" s="62">
        <f t="shared" si="6"/>
        <v>4000</v>
      </c>
      <c r="K104" s="63">
        <f t="shared" si="1"/>
        <v>1175</v>
      </c>
      <c r="L104" s="63">
        <f>K104*Budget!$B$36</f>
        <v>705</v>
      </c>
      <c r="M104" s="63">
        <f>MAX(0,L104-Calcul!AY102)</f>
        <v>705</v>
      </c>
      <c r="N104" s="63">
        <f t="shared" si="2"/>
        <v>1175</v>
      </c>
      <c r="O104" s="64">
        <f t="shared" si="7"/>
        <v>93802.130164000002</v>
      </c>
      <c r="P104" s="65">
        <f>Calcul!AZ102</f>
        <v>0</v>
      </c>
      <c r="Q104" s="66" t="str">
        <f t="shared" si="3"/>
        <v/>
      </c>
      <c r="R104" s="67">
        <f>IF(H104&gt;=Budget!$B$29,1,0)</f>
        <v>0</v>
      </c>
      <c r="S104" s="67">
        <f>IF(J104&gt;=Budget!$B$32,1,0)</f>
        <v>1</v>
      </c>
      <c r="T104" s="67">
        <f t="shared" si="4"/>
        <v>1</v>
      </c>
      <c r="U104" s="4"/>
      <c r="V104" s="4"/>
      <c r="AA104" s="68">
        <f>Budget!$B$29</f>
        <v>4000</v>
      </c>
      <c r="AB104" s="68">
        <f>Budget!$B$32</f>
        <v>4000</v>
      </c>
    </row>
    <row r="105" spans="1:28" ht="15" customHeight="1" x14ac:dyDescent="0.25">
      <c r="A105" s="55">
        <v>101</v>
      </c>
      <c r="B105" s="56">
        <f>EDATE(Budget!$B$28,A105-1)</f>
        <v>49430</v>
      </c>
      <c r="C105" s="57">
        <f>Budget!$B$7</f>
        <v>2900</v>
      </c>
      <c r="D105" s="57">
        <f>Budget!$B$18+Budget!$B$25</f>
        <v>1725</v>
      </c>
      <c r="E105" s="57">
        <f>Calcul!AX103</f>
        <v>0</v>
      </c>
      <c r="F105" s="58">
        <f t="shared" si="0"/>
        <v>1175</v>
      </c>
      <c r="G105" s="59">
        <f>IF(B105&lt;=Budget!$B$30,MAX(0,MIN(F105,Budget!$B$29-H104)),0)</f>
        <v>0</v>
      </c>
      <c r="H105" s="60">
        <f t="shared" si="5"/>
        <v>3511.3</v>
      </c>
      <c r="I105" s="61">
        <f>MAX(0,MIN(F105-G105,Budget!$B$32-J104))</f>
        <v>0</v>
      </c>
      <c r="J105" s="62">
        <f t="shared" si="6"/>
        <v>4000</v>
      </c>
      <c r="K105" s="63">
        <f t="shared" si="1"/>
        <v>1175</v>
      </c>
      <c r="L105" s="63">
        <f>K105*Budget!$B$36</f>
        <v>705</v>
      </c>
      <c r="M105" s="63">
        <f>MAX(0,L105-Calcul!AY103)</f>
        <v>705</v>
      </c>
      <c r="N105" s="63">
        <f t="shared" si="2"/>
        <v>1175</v>
      </c>
      <c r="O105" s="64">
        <f t="shared" si="7"/>
        <v>94977.130164000002</v>
      </c>
      <c r="P105" s="65">
        <f>Calcul!AZ103</f>
        <v>0</v>
      </c>
      <c r="Q105" s="66" t="str">
        <f t="shared" si="3"/>
        <v/>
      </c>
      <c r="R105" s="67">
        <f>IF(H105&gt;=Budget!$B$29,1,0)</f>
        <v>0</v>
      </c>
      <c r="S105" s="67">
        <f>IF(J105&gt;=Budget!$B$32,1,0)</f>
        <v>1</v>
      </c>
      <c r="T105" s="67">
        <f t="shared" si="4"/>
        <v>1</v>
      </c>
      <c r="U105" s="4"/>
      <c r="V105" s="4"/>
      <c r="AA105" s="68">
        <f>Budget!$B$29</f>
        <v>4000</v>
      </c>
      <c r="AB105" s="68">
        <f>Budget!$B$32</f>
        <v>4000</v>
      </c>
    </row>
    <row r="106" spans="1:28" ht="15" customHeight="1" x14ac:dyDescent="0.25">
      <c r="A106" s="55">
        <v>102</v>
      </c>
      <c r="B106" s="56">
        <f>EDATE(Budget!$B$28,A106-1)</f>
        <v>49461</v>
      </c>
      <c r="C106" s="57">
        <f>Budget!$B$7</f>
        <v>2900</v>
      </c>
      <c r="D106" s="57">
        <f>Budget!$B$18+Budget!$B$25</f>
        <v>1725</v>
      </c>
      <c r="E106" s="57">
        <f>Calcul!AX104</f>
        <v>0</v>
      </c>
      <c r="F106" s="58">
        <f t="shared" si="0"/>
        <v>1175</v>
      </c>
      <c r="G106" s="59">
        <f>IF(B106&lt;=Budget!$B$30,MAX(0,MIN(F106,Budget!$B$29-H105)),0)</f>
        <v>0</v>
      </c>
      <c r="H106" s="60">
        <f t="shared" si="5"/>
        <v>3511.3</v>
      </c>
      <c r="I106" s="61">
        <f>MAX(0,MIN(F106-G106,Budget!$B$32-J105))</f>
        <v>0</v>
      </c>
      <c r="J106" s="62">
        <f t="shared" si="6"/>
        <v>4000</v>
      </c>
      <c r="K106" s="63">
        <f t="shared" si="1"/>
        <v>1175</v>
      </c>
      <c r="L106" s="63">
        <f>K106*Budget!$B$36</f>
        <v>705</v>
      </c>
      <c r="M106" s="63">
        <f>MAX(0,L106-Calcul!AY104)</f>
        <v>705</v>
      </c>
      <c r="N106" s="63">
        <f t="shared" si="2"/>
        <v>1175</v>
      </c>
      <c r="O106" s="64">
        <f t="shared" si="7"/>
        <v>96152.130164000002</v>
      </c>
      <c r="P106" s="65">
        <f>Calcul!AZ104</f>
        <v>0</v>
      </c>
      <c r="Q106" s="66" t="str">
        <f t="shared" si="3"/>
        <v/>
      </c>
      <c r="R106" s="67">
        <f>IF(H106&gt;=Budget!$B$29,1,0)</f>
        <v>0</v>
      </c>
      <c r="S106" s="67">
        <f>IF(J106&gt;=Budget!$B$32,1,0)</f>
        <v>1</v>
      </c>
      <c r="T106" s="67">
        <f t="shared" si="4"/>
        <v>1</v>
      </c>
      <c r="U106" s="4"/>
      <c r="V106" s="4"/>
      <c r="AA106" s="68">
        <f>Budget!$B$29</f>
        <v>4000</v>
      </c>
      <c r="AB106" s="68">
        <f>Budget!$B$32</f>
        <v>4000</v>
      </c>
    </row>
    <row r="107" spans="1:28" ht="15" customHeight="1" x14ac:dyDescent="0.25">
      <c r="A107" s="55">
        <v>103</v>
      </c>
      <c r="B107" s="56">
        <f>EDATE(Budget!$B$28,A107-1)</f>
        <v>49491</v>
      </c>
      <c r="C107" s="57">
        <f>Budget!$B$7</f>
        <v>2900</v>
      </c>
      <c r="D107" s="57">
        <f>Budget!$B$18+Budget!$B$25</f>
        <v>1725</v>
      </c>
      <c r="E107" s="57">
        <f>Calcul!AX105</f>
        <v>0</v>
      </c>
      <c r="F107" s="58">
        <f t="shared" si="0"/>
        <v>1175</v>
      </c>
      <c r="G107" s="59">
        <f>IF(B107&lt;=Budget!$B$30,MAX(0,MIN(F107,Budget!$B$29-H106)),0)</f>
        <v>0</v>
      </c>
      <c r="H107" s="60">
        <f t="shared" si="5"/>
        <v>3511.3</v>
      </c>
      <c r="I107" s="61">
        <f>MAX(0,MIN(F107-G107,Budget!$B$32-J106))</f>
        <v>0</v>
      </c>
      <c r="J107" s="62">
        <f t="shared" si="6"/>
        <v>4000</v>
      </c>
      <c r="K107" s="63">
        <f t="shared" si="1"/>
        <v>1175</v>
      </c>
      <c r="L107" s="63">
        <f>K107*Budget!$B$36</f>
        <v>705</v>
      </c>
      <c r="M107" s="63">
        <f>MAX(0,L107-Calcul!AY105)</f>
        <v>705</v>
      </c>
      <c r="N107" s="63">
        <f t="shared" si="2"/>
        <v>1175</v>
      </c>
      <c r="O107" s="64">
        <f t="shared" si="7"/>
        <v>97327.130164000002</v>
      </c>
      <c r="P107" s="65">
        <f>Calcul!AZ105</f>
        <v>0</v>
      </c>
      <c r="Q107" s="66" t="str">
        <f t="shared" si="3"/>
        <v/>
      </c>
      <c r="R107" s="67">
        <f>IF(H107&gt;=Budget!$B$29,1,0)</f>
        <v>0</v>
      </c>
      <c r="S107" s="67">
        <f>IF(J107&gt;=Budget!$B$32,1,0)</f>
        <v>1</v>
      </c>
      <c r="T107" s="67">
        <f t="shared" si="4"/>
        <v>1</v>
      </c>
      <c r="U107" s="4"/>
      <c r="V107" s="4"/>
      <c r="AA107" s="68">
        <f>Budget!$B$29</f>
        <v>4000</v>
      </c>
      <c r="AB107" s="68">
        <f>Budget!$B$32</f>
        <v>4000</v>
      </c>
    </row>
    <row r="108" spans="1:28" ht="15" customHeight="1" x14ac:dyDescent="0.25">
      <c r="A108" s="55">
        <v>104</v>
      </c>
      <c r="B108" s="56">
        <f>EDATE(Budget!$B$28,A108-1)</f>
        <v>49522</v>
      </c>
      <c r="C108" s="57">
        <f>Budget!$B$7</f>
        <v>2900</v>
      </c>
      <c r="D108" s="57">
        <f>Budget!$B$18+Budget!$B$25</f>
        <v>1725</v>
      </c>
      <c r="E108" s="57">
        <f>Calcul!AX106</f>
        <v>0</v>
      </c>
      <c r="F108" s="58">
        <f t="shared" si="0"/>
        <v>1175</v>
      </c>
      <c r="G108" s="59">
        <f>IF(B108&lt;=Budget!$B$30,MAX(0,MIN(F108,Budget!$B$29-H107)),0)</f>
        <v>0</v>
      </c>
      <c r="H108" s="60">
        <f t="shared" si="5"/>
        <v>3511.3</v>
      </c>
      <c r="I108" s="61">
        <f>MAX(0,MIN(F108-G108,Budget!$B$32-J107))</f>
        <v>0</v>
      </c>
      <c r="J108" s="62">
        <f t="shared" si="6"/>
        <v>4000</v>
      </c>
      <c r="K108" s="63">
        <f t="shared" si="1"/>
        <v>1175</v>
      </c>
      <c r="L108" s="63">
        <f>K108*Budget!$B$36</f>
        <v>705</v>
      </c>
      <c r="M108" s="63">
        <f>MAX(0,L108-Calcul!AY106)</f>
        <v>705</v>
      </c>
      <c r="N108" s="63">
        <f t="shared" si="2"/>
        <v>1175</v>
      </c>
      <c r="O108" s="64">
        <f t="shared" si="7"/>
        <v>98502.130164000002</v>
      </c>
      <c r="P108" s="65">
        <f>Calcul!AZ106</f>
        <v>0</v>
      </c>
      <c r="Q108" s="66" t="str">
        <f t="shared" si="3"/>
        <v/>
      </c>
      <c r="R108" s="67">
        <f>IF(H108&gt;=Budget!$B$29,1,0)</f>
        <v>0</v>
      </c>
      <c r="S108" s="67">
        <f>IF(J108&gt;=Budget!$B$32,1,0)</f>
        <v>1</v>
      </c>
      <c r="T108" s="67">
        <f t="shared" si="4"/>
        <v>1</v>
      </c>
      <c r="U108" s="4"/>
      <c r="V108" s="4"/>
      <c r="AA108" s="68">
        <f>Budget!$B$29</f>
        <v>4000</v>
      </c>
      <c r="AB108" s="68">
        <f>Budget!$B$32</f>
        <v>4000</v>
      </c>
    </row>
    <row r="109" spans="1:28" ht="15" customHeight="1" x14ac:dyDescent="0.25">
      <c r="A109" s="55">
        <v>105</v>
      </c>
      <c r="B109" s="56">
        <f>EDATE(Budget!$B$28,A109-1)</f>
        <v>49553</v>
      </c>
      <c r="C109" s="57">
        <f>Budget!$B$7</f>
        <v>2900</v>
      </c>
      <c r="D109" s="57">
        <f>Budget!$B$18+Budget!$B$25</f>
        <v>1725</v>
      </c>
      <c r="E109" s="57">
        <f>Calcul!AX107</f>
        <v>0</v>
      </c>
      <c r="F109" s="58">
        <f t="shared" si="0"/>
        <v>1175</v>
      </c>
      <c r="G109" s="59">
        <f>IF(B109&lt;=Budget!$B$30,MAX(0,MIN(F109,Budget!$B$29-H108)),0)</f>
        <v>0</v>
      </c>
      <c r="H109" s="60">
        <f t="shared" si="5"/>
        <v>3511.3</v>
      </c>
      <c r="I109" s="61">
        <f>MAX(0,MIN(F109-G109,Budget!$B$32-J108))</f>
        <v>0</v>
      </c>
      <c r="J109" s="62">
        <f t="shared" si="6"/>
        <v>4000</v>
      </c>
      <c r="K109" s="63">
        <f t="shared" si="1"/>
        <v>1175</v>
      </c>
      <c r="L109" s="63">
        <f>K109*Budget!$B$36</f>
        <v>705</v>
      </c>
      <c r="M109" s="63">
        <f>MAX(0,L109-Calcul!AY107)</f>
        <v>705</v>
      </c>
      <c r="N109" s="63">
        <f t="shared" si="2"/>
        <v>1175</v>
      </c>
      <c r="O109" s="64">
        <f t="shared" si="7"/>
        <v>99677.130164000002</v>
      </c>
      <c r="P109" s="65">
        <f>Calcul!AZ107</f>
        <v>0</v>
      </c>
      <c r="Q109" s="66" t="str">
        <f t="shared" si="3"/>
        <v/>
      </c>
      <c r="R109" s="67">
        <f>IF(H109&gt;=Budget!$B$29,1,0)</f>
        <v>0</v>
      </c>
      <c r="S109" s="67">
        <f>IF(J109&gt;=Budget!$B$32,1,0)</f>
        <v>1</v>
      </c>
      <c r="T109" s="67">
        <f t="shared" si="4"/>
        <v>1</v>
      </c>
      <c r="U109" s="4"/>
      <c r="V109" s="4"/>
      <c r="AA109" s="68">
        <f>Budget!$B$29</f>
        <v>4000</v>
      </c>
      <c r="AB109" s="68">
        <f>Budget!$B$32</f>
        <v>4000</v>
      </c>
    </row>
    <row r="110" spans="1:28" ht="15" customHeight="1" x14ac:dyDescent="0.25">
      <c r="A110" s="55">
        <v>106</v>
      </c>
      <c r="B110" s="56">
        <f>EDATE(Budget!$B$28,A110-1)</f>
        <v>49583</v>
      </c>
      <c r="C110" s="57">
        <f>Budget!$B$7</f>
        <v>2900</v>
      </c>
      <c r="D110" s="57">
        <f>Budget!$B$18+Budget!$B$25</f>
        <v>1725</v>
      </c>
      <c r="E110" s="57">
        <f>Calcul!AX108</f>
        <v>0</v>
      </c>
      <c r="F110" s="58">
        <f t="shared" si="0"/>
        <v>1175</v>
      </c>
      <c r="G110" s="59">
        <f>IF(B110&lt;=Budget!$B$30,MAX(0,MIN(F110,Budget!$B$29-H109)),0)</f>
        <v>0</v>
      </c>
      <c r="H110" s="60">
        <f t="shared" si="5"/>
        <v>3511.3</v>
      </c>
      <c r="I110" s="61">
        <f>MAX(0,MIN(F110-G110,Budget!$B$32-J109))</f>
        <v>0</v>
      </c>
      <c r="J110" s="62">
        <f t="shared" si="6"/>
        <v>4000</v>
      </c>
      <c r="K110" s="63">
        <f t="shared" si="1"/>
        <v>1175</v>
      </c>
      <c r="L110" s="63">
        <f>K110*Budget!$B$36</f>
        <v>705</v>
      </c>
      <c r="M110" s="63">
        <f>MAX(0,L110-Calcul!AY108)</f>
        <v>705</v>
      </c>
      <c r="N110" s="63">
        <f t="shared" si="2"/>
        <v>1175</v>
      </c>
      <c r="O110" s="64">
        <f t="shared" si="7"/>
        <v>100852.130164</v>
      </c>
      <c r="P110" s="65">
        <f>Calcul!AZ108</f>
        <v>0</v>
      </c>
      <c r="Q110" s="66" t="str">
        <f t="shared" si="3"/>
        <v/>
      </c>
      <c r="R110" s="67">
        <f>IF(H110&gt;=Budget!$B$29,1,0)</f>
        <v>0</v>
      </c>
      <c r="S110" s="67">
        <f>IF(J110&gt;=Budget!$B$32,1,0)</f>
        <v>1</v>
      </c>
      <c r="T110" s="67">
        <f t="shared" si="4"/>
        <v>1</v>
      </c>
      <c r="U110" s="4"/>
      <c r="V110" s="4"/>
      <c r="AA110" s="68">
        <f>Budget!$B$29</f>
        <v>4000</v>
      </c>
      <c r="AB110" s="68">
        <f>Budget!$B$32</f>
        <v>4000</v>
      </c>
    </row>
    <row r="111" spans="1:28" ht="15" customHeight="1" x14ac:dyDescent="0.25">
      <c r="A111" s="55">
        <v>107</v>
      </c>
      <c r="B111" s="56">
        <f>EDATE(Budget!$B$28,A111-1)</f>
        <v>49614</v>
      </c>
      <c r="C111" s="57">
        <f>Budget!$B$7</f>
        <v>2900</v>
      </c>
      <c r="D111" s="57">
        <f>Budget!$B$18+Budget!$B$25</f>
        <v>1725</v>
      </c>
      <c r="E111" s="57">
        <f>Calcul!AX109</f>
        <v>0</v>
      </c>
      <c r="F111" s="58">
        <f t="shared" si="0"/>
        <v>1175</v>
      </c>
      <c r="G111" s="59">
        <f>IF(B111&lt;=Budget!$B$30,MAX(0,MIN(F111,Budget!$B$29-H110)),0)</f>
        <v>0</v>
      </c>
      <c r="H111" s="60">
        <f t="shared" si="5"/>
        <v>3511.3</v>
      </c>
      <c r="I111" s="61">
        <f>MAX(0,MIN(F111-G111,Budget!$B$32-J110))</f>
        <v>0</v>
      </c>
      <c r="J111" s="62">
        <f t="shared" si="6"/>
        <v>4000</v>
      </c>
      <c r="K111" s="63">
        <f t="shared" si="1"/>
        <v>1175</v>
      </c>
      <c r="L111" s="63">
        <f>K111*Budget!$B$36</f>
        <v>705</v>
      </c>
      <c r="M111" s="63">
        <f>MAX(0,L111-Calcul!AY109)</f>
        <v>705</v>
      </c>
      <c r="N111" s="63">
        <f t="shared" si="2"/>
        <v>1175</v>
      </c>
      <c r="O111" s="64">
        <f t="shared" si="7"/>
        <v>102027.130164</v>
      </c>
      <c r="P111" s="65">
        <f>Calcul!AZ109</f>
        <v>0</v>
      </c>
      <c r="Q111" s="66" t="str">
        <f t="shared" si="3"/>
        <v/>
      </c>
      <c r="R111" s="67">
        <f>IF(H111&gt;=Budget!$B$29,1,0)</f>
        <v>0</v>
      </c>
      <c r="S111" s="67">
        <f>IF(J111&gt;=Budget!$B$32,1,0)</f>
        <v>1</v>
      </c>
      <c r="T111" s="67">
        <f t="shared" si="4"/>
        <v>1</v>
      </c>
      <c r="U111" s="4"/>
      <c r="V111" s="4"/>
      <c r="AA111" s="68">
        <f>Budget!$B$29</f>
        <v>4000</v>
      </c>
      <c r="AB111" s="68">
        <f>Budget!$B$32</f>
        <v>4000</v>
      </c>
    </row>
    <row r="112" spans="1:28" ht="15" customHeight="1" x14ac:dyDescent="0.25">
      <c r="A112" s="55">
        <v>108</v>
      </c>
      <c r="B112" s="56">
        <f>EDATE(Budget!$B$28,A112-1)</f>
        <v>49644</v>
      </c>
      <c r="C112" s="57">
        <f>Budget!$B$7</f>
        <v>2900</v>
      </c>
      <c r="D112" s="57">
        <f>Budget!$B$18+Budget!$B$25</f>
        <v>1725</v>
      </c>
      <c r="E112" s="57">
        <f>Calcul!AX110</f>
        <v>0</v>
      </c>
      <c r="F112" s="58">
        <f t="shared" si="0"/>
        <v>1175</v>
      </c>
      <c r="G112" s="59">
        <f>IF(B112&lt;=Budget!$B$30,MAX(0,MIN(F112,Budget!$B$29-H111)),0)</f>
        <v>0</v>
      </c>
      <c r="H112" s="60">
        <f t="shared" si="5"/>
        <v>3511.3</v>
      </c>
      <c r="I112" s="61">
        <f>MAX(0,MIN(F112-G112,Budget!$B$32-J111))</f>
        <v>0</v>
      </c>
      <c r="J112" s="62">
        <f t="shared" si="6"/>
        <v>4000</v>
      </c>
      <c r="K112" s="63">
        <f t="shared" si="1"/>
        <v>1175</v>
      </c>
      <c r="L112" s="63">
        <f>K112*Budget!$B$36</f>
        <v>705</v>
      </c>
      <c r="M112" s="63">
        <f>MAX(0,L112-Calcul!AY110)</f>
        <v>705</v>
      </c>
      <c r="N112" s="63">
        <f t="shared" si="2"/>
        <v>1175</v>
      </c>
      <c r="O112" s="64">
        <f t="shared" si="7"/>
        <v>103202.130164</v>
      </c>
      <c r="P112" s="65">
        <f>Calcul!AZ110</f>
        <v>0</v>
      </c>
      <c r="Q112" s="66" t="str">
        <f t="shared" si="3"/>
        <v/>
      </c>
      <c r="R112" s="67">
        <f>IF(H112&gt;=Budget!$B$29,1,0)</f>
        <v>0</v>
      </c>
      <c r="S112" s="67">
        <f>IF(J112&gt;=Budget!$B$32,1,0)</f>
        <v>1</v>
      </c>
      <c r="T112" s="67">
        <f t="shared" si="4"/>
        <v>1</v>
      </c>
      <c r="U112" s="4"/>
      <c r="V112" s="4"/>
      <c r="AA112" s="68">
        <f>Budget!$B$29</f>
        <v>4000</v>
      </c>
      <c r="AB112" s="68">
        <f>Budget!$B$32</f>
        <v>4000</v>
      </c>
    </row>
    <row r="113" spans="1:28" ht="15" customHeight="1" x14ac:dyDescent="0.25">
      <c r="A113" s="55">
        <v>109</v>
      </c>
      <c r="B113" s="56">
        <f>EDATE(Budget!$B$28,A113-1)</f>
        <v>49675</v>
      </c>
      <c r="C113" s="57">
        <f>Budget!$B$7</f>
        <v>2900</v>
      </c>
      <c r="D113" s="57">
        <f>Budget!$B$18+Budget!$B$25</f>
        <v>1725</v>
      </c>
      <c r="E113" s="57">
        <f>Calcul!AX111</f>
        <v>0</v>
      </c>
      <c r="F113" s="58">
        <f t="shared" si="0"/>
        <v>1175</v>
      </c>
      <c r="G113" s="59">
        <f>IF(B113&lt;=Budget!$B$30,MAX(0,MIN(F113,Budget!$B$29-H112)),0)</f>
        <v>0</v>
      </c>
      <c r="H113" s="60">
        <f t="shared" si="5"/>
        <v>3511.3</v>
      </c>
      <c r="I113" s="61">
        <f>MAX(0,MIN(F113-G113,Budget!$B$32-J112))</f>
        <v>0</v>
      </c>
      <c r="J113" s="62">
        <f t="shared" si="6"/>
        <v>4000</v>
      </c>
      <c r="K113" s="63">
        <f t="shared" si="1"/>
        <v>1175</v>
      </c>
      <c r="L113" s="63">
        <f>K113*Budget!$B$36</f>
        <v>705</v>
      </c>
      <c r="M113" s="63">
        <f>MAX(0,L113-Calcul!AY111)</f>
        <v>705</v>
      </c>
      <c r="N113" s="63">
        <f t="shared" si="2"/>
        <v>1175</v>
      </c>
      <c r="O113" s="64">
        <f t="shared" si="7"/>
        <v>104377.130164</v>
      </c>
      <c r="P113" s="65">
        <f>Calcul!AZ111</f>
        <v>0</v>
      </c>
      <c r="Q113" s="66" t="str">
        <f t="shared" si="3"/>
        <v/>
      </c>
      <c r="R113" s="67">
        <f>IF(H113&gt;=Budget!$B$29,1,0)</f>
        <v>0</v>
      </c>
      <c r="S113" s="67">
        <f>IF(J113&gt;=Budget!$B$32,1,0)</f>
        <v>1</v>
      </c>
      <c r="T113" s="67">
        <f t="shared" si="4"/>
        <v>1</v>
      </c>
      <c r="U113" s="4"/>
      <c r="V113" s="4"/>
      <c r="AA113" s="68">
        <f>Budget!$B$29</f>
        <v>4000</v>
      </c>
      <c r="AB113" s="68">
        <f>Budget!$B$32</f>
        <v>4000</v>
      </c>
    </row>
    <row r="114" spans="1:28" ht="15" customHeight="1" x14ac:dyDescent="0.25">
      <c r="A114" s="55">
        <v>110</v>
      </c>
      <c r="B114" s="56">
        <f>EDATE(Budget!$B$28,A114-1)</f>
        <v>49706</v>
      </c>
      <c r="C114" s="57">
        <f>Budget!$B$7</f>
        <v>2900</v>
      </c>
      <c r="D114" s="57">
        <f>Budget!$B$18+Budget!$B$25</f>
        <v>1725</v>
      </c>
      <c r="E114" s="57">
        <f>Calcul!AX112</f>
        <v>0</v>
      </c>
      <c r="F114" s="58">
        <f t="shared" si="0"/>
        <v>1175</v>
      </c>
      <c r="G114" s="59">
        <f>IF(B114&lt;=Budget!$B$30,MAX(0,MIN(F114,Budget!$B$29-H113)),0)</f>
        <v>0</v>
      </c>
      <c r="H114" s="60">
        <f t="shared" si="5"/>
        <v>3511.3</v>
      </c>
      <c r="I114" s="61">
        <f>MAX(0,MIN(F114-G114,Budget!$B$32-J113))</f>
        <v>0</v>
      </c>
      <c r="J114" s="62">
        <f t="shared" si="6"/>
        <v>4000</v>
      </c>
      <c r="K114" s="63">
        <f t="shared" si="1"/>
        <v>1175</v>
      </c>
      <c r="L114" s="63">
        <f>K114*Budget!$B$36</f>
        <v>705</v>
      </c>
      <c r="M114" s="63">
        <f>MAX(0,L114-Calcul!AY112)</f>
        <v>705</v>
      </c>
      <c r="N114" s="63">
        <f t="shared" si="2"/>
        <v>1175</v>
      </c>
      <c r="O114" s="64">
        <f t="shared" si="7"/>
        <v>105552.130164</v>
      </c>
      <c r="P114" s="65">
        <f>Calcul!AZ112</f>
        <v>0</v>
      </c>
      <c r="Q114" s="66" t="str">
        <f t="shared" si="3"/>
        <v/>
      </c>
      <c r="R114" s="67">
        <f>IF(H114&gt;=Budget!$B$29,1,0)</f>
        <v>0</v>
      </c>
      <c r="S114" s="67">
        <f>IF(J114&gt;=Budget!$B$32,1,0)</f>
        <v>1</v>
      </c>
      <c r="T114" s="67">
        <f t="shared" si="4"/>
        <v>1</v>
      </c>
      <c r="U114" s="4"/>
      <c r="V114" s="4"/>
      <c r="AA114" s="68">
        <f>Budget!$B$29</f>
        <v>4000</v>
      </c>
      <c r="AB114" s="68">
        <f>Budget!$B$32</f>
        <v>4000</v>
      </c>
    </row>
    <row r="115" spans="1:28" ht="15" customHeight="1" x14ac:dyDescent="0.25">
      <c r="A115" s="55">
        <v>111</v>
      </c>
      <c r="B115" s="56">
        <f>EDATE(Budget!$B$28,A115-1)</f>
        <v>49735</v>
      </c>
      <c r="C115" s="57">
        <f>Budget!$B$7</f>
        <v>2900</v>
      </c>
      <c r="D115" s="57">
        <f>Budget!$B$18+Budget!$B$25</f>
        <v>1725</v>
      </c>
      <c r="E115" s="57">
        <f>Calcul!AX113</f>
        <v>0</v>
      </c>
      <c r="F115" s="58">
        <f t="shared" si="0"/>
        <v>1175</v>
      </c>
      <c r="G115" s="59">
        <f>IF(B115&lt;=Budget!$B$30,MAX(0,MIN(F115,Budget!$B$29-H114)),0)</f>
        <v>0</v>
      </c>
      <c r="H115" s="60">
        <f t="shared" si="5"/>
        <v>3511.3</v>
      </c>
      <c r="I115" s="61">
        <f>MAX(0,MIN(F115-G115,Budget!$B$32-J114))</f>
        <v>0</v>
      </c>
      <c r="J115" s="62">
        <f t="shared" si="6"/>
        <v>4000</v>
      </c>
      <c r="K115" s="63">
        <f t="shared" si="1"/>
        <v>1175</v>
      </c>
      <c r="L115" s="63">
        <f>K115*Budget!$B$36</f>
        <v>705</v>
      </c>
      <c r="M115" s="63">
        <f>MAX(0,L115-Calcul!AY113)</f>
        <v>705</v>
      </c>
      <c r="N115" s="63">
        <f t="shared" si="2"/>
        <v>1175</v>
      </c>
      <c r="O115" s="64">
        <f t="shared" si="7"/>
        <v>106727.130164</v>
      </c>
      <c r="P115" s="65">
        <f>Calcul!AZ113</f>
        <v>0</v>
      </c>
      <c r="Q115" s="66" t="str">
        <f t="shared" si="3"/>
        <v/>
      </c>
      <c r="R115" s="67">
        <f>IF(H115&gt;=Budget!$B$29,1,0)</f>
        <v>0</v>
      </c>
      <c r="S115" s="67">
        <f>IF(J115&gt;=Budget!$B$32,1,0)</f>
        <v>1</v>
      </c>
      <c r="T115" s="67">
        <f t="shared" si="4"/>
        <v>1</v>
      </c>
      <c r="U115" s="4"/>
      <c r="V115" s="4"/>
      <c r="AA115" s="68">
        <f>Budget!$B$29</f>
        <v>4000</v>
      </c>
      <c r="AB115" s="68">
        <f>Budget!$B$32</f>
        <v>4000</v>
      </c>
    </row>
    <row r="116" spans="1:28" ht="15" customHeight="1" x14ac:dyDescent="0.25">
      <c r="A116" s="55">
        <v>112</v>
      </c>
      <c r="B116" s="56">
        <f>EDATE(Budget!$B$28,A116-1)</f>
        <v>49766</v>
      </c>
      <c r="C116" s="57">
        <f>Budget!$B$7</f>
        <v>2900</v>
      </c>
      <c r="D116" s="57">
        <f>Budget!$B$18+Budget!$B$25</f>
        <v>1725</v>
      </c>
      <c r="E116" s="57">
        <f>Calcul!AX114</f>
        <v>0</v>
      </c>
      <c r="F116" s="58">
        <f t="shared" si="0"/>
        <v>1175</v>
      </c>
      <c r="G116" s="59">
        <f>IF(B116&lt;=Budget!$B$30,MAX(0,MIN(F116,Budget!$B$29-H115)),0)</f>
        <v>0</v>
      </c>
      <c r="H116" s="60">
        <f t="shared" si="5"/>
        <v>3511.3</v>
      </c>
      <c r="I116" s="61">
        <f>MAX(0,MIN(F116-G116,Budget!$B$32-J115))</f>
        <v>0</v>
      </c>
      <c r="J116" s="62">
        <f t="shared" si="6"/>
        <v>4000</v>
      </c>
      <c r="K116" s="63">
        <f t="shared" si="1"/>
        <v>1175</v>
      </c>
      <c r="L116" s="63">
        <f>K116*Budget!$B$36</f>
        <v>705</v>
      </c>
      <c r="M116" s="63">
        <f>MAX(0,L116-Calcul!AY114)</f>
        <v>705</v>
      </c>
      <c r="N116" s="63">
        <f t="shared" si="2"/>
        <v>1175</v>
      </c>
      <c r="O116" s="64">
        <f t="shared" si="7"/>
        <v>107902.130164</v>
      </c>
      <c r="P116" s="65">
        <f>Calcul!AZ114</f>
        <v>0</v>
      </c>
      <c r="Q116" s="66" t="str">
        <f t="shared" si="3"/>
        <v/>
      </c>
      <c r="R116" s="67">
        <f>IF(H116&gt;=Budget!$B$29,1,0)</f>
        <v>0</v>
      </c>
      <c r="S116" s="67">
        <f>IF(J116&gt;=Budget!$B$32,1,0)</f>
        <v>1</v>
      </c>
      <c r="T116" s="67">
        <f t="shared" si="4"/>
        <v>1</v>
      </c>
      <c r="U116" s="4"/>
      <c r="V116" s="4"/>
      <c r="AA116" s="68">
        <f>Budget!$B$29</f>
        <v>4000</v>
      </c>
      <c r="AB116" s="68">
        <f>Budget!$B$32</f>
        <v>4000</v>
      </c>
    </row>
    <row r="117" spans="1:28" ht="15" customHeight="1" x14ac:dyDescent="0.25">
      <c r="A117" s="55">
        <v>113</v>
      </c>
      <c r="B117" s="56">
        <f>EDATE(Budget!$B$28,A117-1)</f>
        <v>49796</v>
      </c>
      <c r="C117" s="57">
        <f>Budget!$B$7</f>
        <v>2900</v>
      </c>
      <c r="D117" s="57">
        <f>Budget!$B$18+Budget!$B$25</f>
        <v>1725</v>
      </c>
      <c r="E117" s="57">
        <f>Calcul!AX115</f>
        <v>0</v>
      </c>
      <c r="F117" s="58">
        <f t="shared" si="0"/>
        <v>1175</v>
      </c>
      <c r="G117" s="59">
        <f>IF(B117&lt;=Budget!$B$30,MAX(0,MIN(F117,Budget!$B$29-H116)),0)</f>
        <v>0</v>
      </c>
      <c r="H117" s="60">
        <f t="shared" si="5"/>
        <v>3511.3</v>
      </c>
      <c r="I117" s="61">
        <f>MAX(0,MIN(F117-G117,Budget!$B$32-J116))</f>
        <v>0</v>
      </c>
      <c r="J117" s="62">
        <f t="shared" si="6"/>
        <v>4000</v>
      </c>
      <c r="K117" s="63">
        <f t="shared" si="1"/>
        <v>1175</v>
      </c>
      <c r="L117" s="63">
        <f>K117*Budget!$B$36</f>
        <v>705</v>
      </c>
      <c r="M117" s="63">
        <f>MAX(0,L117-Calcul!AY115)</f>
        <v>705</v>
      </c>
      <c r="N117" s="63">
        <f t="shared" si="2"/>
        <v>1175</v>
      </c>
      <c r="O117" s="64">
        <f t="shared" si="7"/>
        <v>109077.130164</v>
      </c>
      <c r="P117" s="65">
        <f>Calcul!AZ115</f>
        <v>0</v>
      </c>
      <c r="Q117" s="66" t="str">
        <f t="shared" si="3"/>
        <v/>
      </c>
      <c r="R117" s="67">
        <f>IF(H117&gt;=Budget!$B$29,1,0)</f>
        <v>0</v>
      </c>
      <c r="S117" s="67">
        <f>IF(J117&gt;=Budget!$B$32,1,0)</f>
        <v>1</v>
      </c>
      <c r="T117" s="67">
        <f t="shared" si="4"/>
        <v>1</v>
      </c>
      <c r="U117" s="4"/>
      <c r="V117" s="4"/>
      <c r="AA117" s="68">
        <f>Budget!$B$29</f>
        <v>4000</v>
      </c>
      <c r="AB117" s="68">
        <f>Budget!$B$32</f>
        <v>4000</v>
      </c>
    </row>
    <row r="118" spans="1:28" ht="15" customHeight="1" x14ac:dyDescent="0.25">
      <c r="A118" s="55">
        <v>114</v>
      </c>
      <c r="B118" s="56">
        <f>EDATE(Budget!$B$28,A118-1)</f>
        <v>49827</v>
      </c>
      <c r="C118" s="57">
        <f>Budget!$B$7</f>
        <v>2900</v>
      </c>
      <c r="D118" s="57">
        <f>Budget!$B$18+Budget!$B$25</f>
        <v>1725</v>
      </c>
      <c r="E118" s="57">
        <f>Calcul!AX116</f>
        <v>0</v>
      </c>
      <c r="F118" s="58">
        <f t="shared" si="0"/>
        <v>1175</v>
      </c>
      <c r="G118" s="59">
        <f>IF(B118&lt;=Budget!$B$30,MAX(0,MIN(F118,Budget!$B$29-H117)),0)</f>
        <v>0</v>
      </c>
      <c r="H118" s="60">
        <f t="shared" si="5"/>
        <v>3511.3</v>
      </c>
      <c r="I118" s="61">
        <f>MAX(0,MIN(F118-G118,Budget!$B$32-J117))</f>
        <v>0</v>
      </c>
      <c r="J118" s="62">
        <f t="shared" si="6"/>
        <v>4000</v>
      </c>
      <c r="K118" s="63">
        <f t="shared" si="1"/>
        <v>1175</v>
      </c>
      <c r="L118" s="63">
        <f>K118*Budget!$B$36</f>
        <v>705</v>
      </c>
      <c r="M118" s="63">
        <f>MAX(0,L118-Calcul!AY116)</f>
        <v>705</v>
      </c>
      <c r="N118" s="63">
        <f t="shared" si="2"/>
        <v>1175</v>
      </c>
      <c r="O118" s="64">
        <f t="shared" si="7"/>
        <v>110252.130164</v>
      </c>
      <c r="P118" s="65">
        <f>Calcul!AZ116</f>
        <v>0</v>
      </c>
      <c r="Q118" s="66" t="str">
        <f t="shared" si="3"/>
        <v/>
      </c>
      <c r="R118" s="67">
        <f>IF(H118&gt;=Budget!$B$29,1,0)</f>
        <v>0</v>
      </c>
      <c r="S118" s="67">
        <f>IF(J118&gt;=Budget!$B$32,1,0)</f>
        <v>1</v>
      </c>
      <c r="T118" s="67">
        <f t="shared" si="4"/>
        <v>1</v>
      </c>
      <c r="U118" s="4"/>
      <c r="V118" s="4"/>
      <c r="AA118" s="68">
        <f>Budget!$B$29</f>
        <v>4000</v>
      </c>
      <c r="AB118" s="68">
        <f>Budget!$B$32</f>
        <v>4000</v>
      </c>
    </row>
    <row r="119" spans="1:28" ht="15" customHeight="1" x14ac:dyDescent="0.25">
      <c r="A119" s="55">
        <v>115</v>
      </c>
      <c r="B119" s="56">
        <f>EDATE(Budget!$B$28,A119-1)</f>
        <v>49857</v>
      </c>
      <c r="C119" s="57">
        <f>Budget!$B$7</f>
        <v>2900</v>
      </c>
      <c r="D119" s="57">
        <f>Budget!$B$18+Budget!$B$25</f>
        <v>1725</v>
      </c>
      <c r="E119" s="57">
        <f>Calcul!AX117</f>
        <v>0</v>
      </c>
      <c r="F119" s="58">
        <f t="shared" si="0"/>
        <v>1175</v>
      </c>
      <c r="G119" s="59">
        <f>IF(B119&lt;=Budget!$B$30,MAX(0,MIN(F119,Budget!$B$29-H118)),0)</f>
        <v>0</v>
      </c>
      <c r="H119" s="60">
        <f t="shared" si="5"/>
        <v>3511.3</v>
      </c>
      <c r="I119" s="61">
        <f>MAX(0,MIN(F119-G119,Budget!$B$32-J118))</f>
        <v>0</v>
      </c>
      <c r="J119" s="62">
        <f t="shared" si="6"/>
        <v>4000</v>
      </c>
      <c r="K119" s="63">
        <f t="shared" si="1"/>
        <v>1175</v>
      </c>
      <c r="L119" s="63">
        <f>K119*Budget!$B$36</f>
        <v>705</v>
      </c>
      <c r="M119" s="63">
        <f>MAX(0,L119-Calcul!AY117)</f>
        <v>705</v>
      </c>
      <c r="N119" s="63">
        <f t="shared" si="2"/>
        <v>1175</v>
      </c>
      <c r="O119" s="64">
        <f t="shared" si="7"/>
        <v>111427.130164</v>
      </c>
      <c r="P119" s="65">
        <f>Calcul!AZ117</f>
        <v>0</v>
      </c>
      <c r="Q119" s="66" t="str">
        <f t="shared" si="3"/>
        <v/>
      </c>
      <c r="R119" s="67">
        <f>IF(H119&gt;=Budget!$B$29,1,0)</f>
        <v>0</v>
      </c>
      <c r="S119" s="67">
        <f>IF(J119&gt;=Budget!$B$32,1,0)</f>
        <v>1</v>
      </c>
      <c r="T119" s="67">
        <f t="shared" si="4"/>
        <v>1</v>
      </c>
      <c r="U119" s="4"/>
      <c r="V119" s="4"/>
      <c r="AA119" s="68">
        <f>Budget!$B$29</f>
        <v>4000</v>
      </c>
      <c r="AB119" s="68">
        <f>Budget!$B$32</f>
        <v>4000</v>
      </c>
    </row>
    <row r="120" spans="1:28" ht="15" customHeight="1" x14ac:dyDescent="0.25">
      <c r="A120" s="55">
        <v>116</v>
      </c>
      <c r="B120" s="56">
        <f>EDATE(Budget!$B$28,A120-1)</f>
        <v>49888</v>
      </c>
      <c r="C120" s="57">
        <f>Budget!$B$7</f>
        <v>2900</v>
      </c>
      <c r="D120" s="57">
        <f>Budget!$B$18+Budget!$B$25</f>
        <v>1725</v>
      </c>
      <c r="E120" s="57">
        <f>Calcul!AX118</f>
        <v>0</v>
      </c>
      <c r="F120" s="58">
        <f t="shared" si="0"/>
        <v>1175</v>
      </c>
      <c r="G120" s="59">
        <f>IF(B120&lt;=Budget!$B$30,MAX(0,MIN(F120,Budget!$B$29-H119)),0)</f>
        <v>0</v>
      </c>
      <c r="H120" s="60">
        <f t="shared" si="5"/>
        <v>3511.3</v>
      </c>
      <c r="I120" s="61">
        <f>MAX(0,MIN(F120-G120,Budget!$B$32-J119))</f>
        <v>0</v>
      </c>
      <c r="J120" s="62">
        <f t="shared" si="6"/>
        <v>4000</v>
      </c>
      <c r="K120" s="63">
        <f t="shared" si="1"/>
        <v>1175</v>
      </c>
      <c r="L120" s="63">
        <f>K120*Budget!$B$36</f>
        <v>705</v>
      </c>
      <c r="M120" s="63">
        <f>MAX(0,L120-Calcul!AY118)</f>
        <v>705</v>
      </c>
      <c r="N120" s="63">
        <f t="shared" si="2"/>
        <v>1175</v>
      </c>
      <c r="O120" s="64">
        <f t="shared" si="7"/>
        <v>112602.130164</v>
      </c>
      <c r="P120" s="65">
        <f>Calcul!AZ118</f>
        <v>0</v>
      </c>
      <c r="Q120" s="66" t="str">
        <f t="shared" si="3"/>
        <v/>
      </c>
      <c r="R120" s="67">
        <f>IF(H120&gt;=Budget!$B$29,1,0)</f>
        <v>0</v>
      </c>
      <c r="S120" s="67">
        <f>IF(J120&gt;=Budget!$B$32,1,0)</f>
        <v>1</v>
      </c>
      <c r="T120" s="67">
        <f t="shared" si="4"/>
        <v>1</v>
      </c>
      <c r="U120" s="4"/>
      <c r="V120" s="4"/>
      <c r="AA120" s="68">
        <f>Budget!$B$29</f>
        <v>4000</v>
      </c>
      <c r="AB120" s="68">
        <f>Budget!$B$32</f>
        <v>4000</v>
      </c>
    </row>
    <row r="121" spans="1:28" ht="15" customHeight="1" x14ac:dyDescent="0.25">
      <c r="A121" s="55">
        <v>117</v>
      </c>
      <c r="B121" s="56">
        <f>EDATE(Budget!$B$28,A121-1)</f>
        <v>49919</v>
      </c>
      <c r="C121" s="57">
        <f>Budget!$B$7</f>
        <v>2900</v>
      </c>
      <c r="D121" s="57">
        <f>Budget!$B$18+Budget!$B$25</f>
        <v>1725</v>
      </c>
      <c r="E121" s="57">
        <f>Calcul!AX119</f>
        <v>0</v>
      </c>
      <c r="F121" s="58">
        <f t="shared" si="0"/>
        <v>1175</v>
      </c>
      <c r="G121" s="59">
        <f>IF(B121&lt;=Budget!$B$30,MAX(0,MIN(F121,Budget!$B$29-H120)),0)</f>
        <v>0</v>
      </c>
      <c r="H121" s="60">
        <f t="shared" si="5"/>
        <v>3511.3</v>
      </c>
      <c r="I121" s="61">
        <f>MAX(0,MIN(F121-G121,Budget!$B$32-J120))</f>
        <v>0</v>
      </c>
      <c r="J121" s="62">
        <f t="shared" si="6"/>
        <v>4000</v>
      </c>
      <c r="K121" s="63">
        <f t="shared" si="1"/>
        <v>1175</v>
      </c>
      <c r="L121" s="63">
        <f>K121*Budget!$B$36</f>
        <v>705</v>
      </c>
      <c r="M121" s="63">
        <f>MAX(0,L121-Calcul!AY119)</f>
        <v>705</v>
      </c>
      <c r="N121" s="63">
        <f t="shared" si="2"/>
        <v>1175</v>
      </c>
      <c r="O121" s="64">
        <f t="shared" si="7"/>
        <v>113777.130164</v>
      </c>
      <c r="P121" s="65">
        <f>Calcul!AZ119</f>
        <v>0</v>
      </c>
      <c r="Q121" s="66" t="str">
        <f t="shared" si="3"/>
        <v/>
      </c>
      <c r="R121" s="67">
        <f>IF(H121&gt;=Budget!$B$29,1,0)</f>
        <v>0</v>
      </c>
      <c r="S121" s="67">
        <f>IF(J121&gt;=Budget!$B$32,1,0)</f>
        <v>1</v>
      </c>
      <c r="T121" s="67">
        <f t="shared" si="4"/>
        <v>1</v>
      </c>
      <c r="U121" s="4"/>
      <c r="V121" s="4"/>
      <c r="AA121" s="68">
        <f>Budget!$B$29</f>
        <v>4000</v>
      </c>
      <c r="AB121" s="68">
        <f>Budget!$B$32</f>
        <v>4000</v>
      </c>
    </row>
    <row r="122" spans="1:28" ht="15" customHeight="1" x14ac:dyDescent="0.25">
      <c r="A122" s="55">
        <v>118</v>
      </c>
      <c r="B122" s="56">
        <f>EDATE(Budget!$B$28,A122-1)</f>
        <v>49949</v>
      </c>
      <c r="C122" s="57">
        <f>Budget!$B$7</f>
        <v>2900</v>
      </c>
      <c r="D122" s="57">
        <f>Budget!$B$18+Budget!$B$25</f>
        <v>1725</v>
      </c>
      <c r="E122" s="57">
        <f>Calcul!AX120</f>
        <v>0</v>
      </c>
      <c r="F122" s="58">
        <f t="shared" si="0"/>
        <v>1175</v>
      </c>
      <c r="G122" s="59">
        <f>IF(B122&lt;=Budget!$B$30,MAX(0,MIN(F122,Budget!$B$29-H121)),0)</f>
        <v>0</v>
      </c>
      <c r="H122" s="60">
        <f t="shared" si="5"/>
        <v>3511.3</v>
      </c>
      <c r="I122" s="61">
        <f>MAX(0,MIN(F122-G122,Budget!$B$32-J121))</f>
        <v>0</v>
      </c>
      <c r="J122" s="62">
        <f t="shared" si="6"/>
        <v>4000</v>
      </c>
      <c r="K122" s="63">
        <f t="shared" si="1"/>
        <v>1175</v>
      </c>
      <c r="L122" s="63">
        <f>K122*Budget!$B$36</f>
        <v>705</v>
      </c>
      <c r="M122" s="63">
        <f>MAX(0,L122-Calcul!AY120)</f>
        <v>705</v>
      </c>
      <c r="N122" s="63">
        <f t="shared" si="2"/>
        <v>1175</v>
      </c>
      <c r="O122" s="64">
        <f t="shared" si="7"/>
        <v>114952.130164</v>
      </c>
      <c r="P122" s="65">
        <f>Calcul!AZ120</f>
        <v>0</v>
      </c>
      <c r="Q122" s="66" t="str">
        <f t="shared" si="3"/>
        <v/>
      </c>
      <c r="R122" s="67">
        <f>IF(H122&gt;=Budget!$B$29,1,0)</f>
        <v>0</v>
      </c>
      <c r="S122" s="67">
        <f>IF(J122&gt;=Budget!$B$32,1,0)</f>
        <v>1</v>
      </c>
      <c r="T122" s="67">
        <f t="shared" si="4"/>
        <v>1</v>
      </c>
      <c r="U122" s="4"/>
      <c r="V122" s="4"/>
      <c r="AA122" s="68">
        <f>Budget!$B$29</f>
        <v>4000</v>
      </c>
      <c r="AB122" s="68">
        <f>Budget!$B$32</f>
        <v>4000</v>
      </c>
    </row>
    <row r="123" spans="1:28" ht="15" customHeight="1" x14ac:dyDescent="0.25">
      <c r="A123" s="55">
        <v>119</v>
      </c>
      <c r="B123" s="56">
        <f>EDATE(Budget!$B$28,A123-1)</f>
        <v>49980</v>
      </c>
      <c r="C123" s="57">
        <f>Budget!$B$7</f>
        <v>2900</v>
      </c>
      <c r="D123" s="57">
        <f>Budget!$B$18+Budget!$B$25</f>
        <v>1725</v>
      </c>
      <c r="E123" s="57">
        <f>Calcul!AX121</f>
        <v>0</v>
      </c>
      <c r="F123" s="58">
        <f t="shared" si="0"/>
        <v>1175</v>
      </c>
      <c r="G123" s="59">
        <f>IF(B123&lt;=Budget!$B$30,MAX(0,MIN(F123,Budget!$B$29-H122)),0)</f>
        <v>0</v>
      </c>
      <c r="H123" s="60">
        <f t="shared" si="5"/>
        <v>3511.3</v>
      </c>
      <c r="I123" s="61">
        <f>MAX(0,MIN(F123-G123,Budget!$B$32-J122))</f>
        <v>0</v>
      </c>
      <c r="J123" s="62">
        <f t="shared" si="6"/>
        <v>4000</v>
      </c>
      <c r="K123" s="63">
        <f t="shared" si="1"/>
        <v>1175</v>
      </c>
      <c r="L123" s="63">
        <f>K123*Budget!$B$36</f>
        <v>705</v>
      </c>
      <c r="M123" s="63">
        <f>MAX(0,L123-Calcul!AY121)</f>
        <v>705</v>
      </c>
      <c r="N123" s="63">
        <f t="shared" si="2"/>
        <v>1175</v>
      </c>
      <c r="O123" s="64">
        <f t="shared" si="7"/>
        <v>116127.130164</v>
      </c>
      <c r="P123" s="65">
        <f>Calcul!AZ121</f>
        <v>0</v>
      </c>
      <c r="Q123" s="66" t="str">
        <f t="shared" si="3"/>
        <v/>
      </c>
      <c r="R123" s="67">
        <f>IF(H123&gt;=Budget!$B$29,1,0)</f>
        <v>0</v>
      </c>
      <c r="S123" s="67">
        <f>IF(J123&gt;=Budget!$B$32,1,0)</f>
        <v>1</v>
      </c>
      <c r="T123" s="67">
        <f t="shared" si="4"/>
        <v>1</v>
      </c>
      <c r="U123" s="4"/>
      <c r="V123" s="4"/>
      <c r="AA123" s="68">
        <f>Budget!$B$29</f>
        <v>4000</v>
      </c>
      <c r="AB123" s="68">
        <f>Budget!$B$32</f>
        <v>4000</v>
      </c>
    </row>
    <row r="124" spans="1:28" ht="15" customHeight="1" x14ac:dyDescent="0.25">
      <c r="A124" s="55">
        <v>120</v>
      </c>
      <c r="B124" s="56">
        <f>EDATE(Budget!$B$28,A124-1)</f>
        <v>50010</v>
      </c>
      <c r="C124" s="57">
        <f>Budget!$B$7</f>
        <v>2900</v>
      </c>
      <c r="D124" s="57">
        <f>Budget!$B$18+Budget!$B$25</f>
        <v>1725</v>
      </c>
      <c r="E124" s="57">
        <f>Calcul!AX122</f>
        <v>0</v>
      </c>
      <c r="F124" s="58">
        <f t="shared" si="0"/>
        <v>1175</v>
      </c>
      <c r="G124" s="59">
        <f>IF(B124&lt;=Budget!$B$30,MAX(0,MIN(F124,Budget!$B$29-H123)),0)</f>
        <v>0</v>
      </c>
      <c r="H124" s="60">
        <f t="shared" si="5"/>
        <v>3511.3</v>
      </c>
      <c r="I124" s="61">
        <f>MAX(0,MIN(F124-G124,Budget!$B$32-J123))</f>
        <v>0</v>
      </c>
      <c r="J124" s="62">
        <f t="shared" si="6"/>
        <v>4000</v>
      </c>
      <c r="K124" s="63">
        <f t="shared" si="1"/>
        <v>1175</v>
      </c>
      <c r="L124" s="63">
        <f>K124*Budget!$B$36</f>
        <v>705</v>
      </c>
      <c r="M124" s="63">
        <f>MAX(0,L124-Calcul!AY122)</f>
        <v>705</v>
      </c>
      <c r="N124" s="63">
        <f t="shared" si="2"/>
        <v>1175</v>
      </c>
      <c r="O124" s="64">
        <f t="shared" si="7"/>
        <v>117302.130164</v>
      </c>
      <c r="P124" s="65">
        <f>Calcul!AZ122</f>
        <v>0</v>
      </c>
      <c r="Q124" s="66" t="str">
        <f t="shared" si="3"/>
        <v/>
      </c>
      <c r="R124" s="67">
        <f>IF(H124&gt;=Budget!$B$29,1,0)</f>
        <v>0</v>
      </c>
      <c r="S124" s="67">
        <f>IF(J124&gt;=Budget!$B$32,1,0)</f>
        <v>1</v>
      </c>
      <c r="T124" s="67">
        <f t="shared" si="4"/>
        <v>1</v>
      </c>
      <c r="U124" s="4"/>
      <c r="V124" s="4"/>
      <c r="AA124" s="68">
        <f>Budget!$B$29</f>
        <v>4000</v>
      </c>
      <c r="AB124" s="68">
        <f>Budget!$B$32</f>
        <v>4000</v>
      </c>
    </row>
    <row r="125" spans="1:28" ht="15" customHeight="1" x14ac:dyDescent="0.25">
      <c r="A125" s="55">
        <v>121</v>
      </c>
      <c r="B125" s="56">
        <f>EDATE(Budget!$B$28,A125-1)</f>
        <v>50041</v>
      </c>
      <c r="C125" s="57">
        <f>Budget!$B$7</f>
        <v>2900</v>
      </c>
      <c r="D125" s="57">
        <f>Budget!$B$18+Budget!$B$25</f>
        <v>1725</v>
      </c>
      <c r="E125" s="57">
        <f>Calcul!AX123</f>
        <v>0</v>
      </c>
      <c r="F125" s="58">
        <f t="shared" si="0"/>
        <v>1175</v>
      </c>
      <c r="G125" s="59">
        <f>IF(B125&lt;=Budget!$B$30,MAX(0,MIN(F125,Budget!$B$29-H124)),0)</f>
        <v>0</v>
      </c>
      <c r="H125" s="60">
        <f t="shared" si="5"/>
        <v>3511.3</v>
      </c>
      <c r="I125" s="61">
        <f>MAX(0,MIN(F125-G125,Budget!$B$32-J124))</f>
        <v>0</v>
      </c>
      <c r="J125" s="62">
        <f t="shared" si="6"/>
        <v>4000</v>
      </c>
      <c r="K125" s="63">
        <f t="shared" si="1"/>
        <v>1175</v>
      </c>
      <c r="L125" s="63">
        <f>K125*Budget!$B$36</f>
        <v>705</v>
      </c>
      <c r="M125" s="63">
        <f>MAX(0,L125-Calcul!AY123)</f>
        <v>705</v>
      </c>
      <c r="N125" s="63">
        <f t="shared" si="2"/>
        <v>1175</v>
      </c>
      <c r="O125" s="64">
        <f t="shared" si="7"/>
        <v>118477.130164</v>
      </c>
      <c r="P125" s="65">
        <f>Calcul!AZ123</f>
        <v>0</v>
      </c>
      <c r="Q125" s="66" t="str">
        <f t="shared" si="3"/>
        <v/>
      </c>
      <c r="R125" s="67">
        <f>IF(H125&gt;=Budget!$B$29,1,0)</f>
        <v>0</v>
      </c>
      <c r="S125" s="67">
        <f>IF(J125&gt;=Budget!$B$32,1,0)</f>
        <v>1</v>
      </c>
      <c r="T125" s="67">
        <f t="shared" si="4"/>
        <v>1</v>
      </c>
      <c r="U125" s="4"/>
      <c r="V125" s="4"/>
      <c r="AA125" s="68">
        <f>Budget!$B$29</f>
        <v>4000</v>
      </c>
      <c r="AB125" s="68">
        <f>Budget!$B$32</f>
        <v>4000</v>
      </c>
    </row>
    <row r="126" spans="1:28" ht="15" customHeight="1" x14ac:dyDescent="0.25">
      <c r="A126" s="55">
        <v>122</v>
      </c>
      <c r="B126" s="56">
        <f>EDATE(Budget!$B$28,A126-1)</f>
        <v>50072</v>
      </c>
      <c r="C126" s="57">
        <f>Budget!$B$7</f>
        <v>2900</v>
      </c>
      <c r="D126" s="57">
        <f>Budget!$B$18+Budget!$B$25</f>
        <v>1725</v>
      </c>
      <c r="E126" s="57">
        <f>Calcul!AX124</f>
        <v>0</v>
      </c>
      <c r="F126" s="58">
        <f t="shared" si="0"/>
        <v>1175</v>
      </c>
      <c r="G126" s="59">
        <f>IF(B126&lt;=Budget!$B$30,MAX(0,MIN(F126,Budget!$B$29-H125)),0)</f>
        <v>0</v>
      </c>
      <c r="H126" s="60">
        <f t="shared" si="5"/>
        <v>3511.3</v>
      </c>
      <c r="I126" s="61">
        <f>MAX(0,MIN(F126-G126,Budget!$B$32-J125))</f>
        <v>0</v>
      </c>
      <c r="J126" s="62">
        <f t="shared" si="6"/>
        <v>4000</v>
      </c>
      <c r="K126" s="63">
        <f t="shared" si="1"/>
        <v>1175</v>
      </c>
      <c r="L126" s="63">
        <f>K126*Budget!$B$36</f>
        <v>705</v>
      </c>
      <c r="M126" s="63">
        <f>MAX(0,L126-Calcul!AY124)</f>
        <v>705</v>
      </c>
      <c r="N126" s="63">
        <f t="shared" si="2"/>
        <v>1175</v>
      </c>
      <c r="O126" s="64">
        <f t="shared" si="7"/>
        <v>119652.130164</v>
      </c>
      <c r="P126" s="65">
        <f>Calcul!AZ124</f>
        <v>0</v>
      </c>
      <c r="Q126" s="66" t="str">
        <f t="shared" si="3"/>
        <v/>
      </c>
      <c r="R126" s="67">
        <f>IF(H126&gt;=Budget!$B$29,1,0)</f>
        <v>0</v>
      </c>
      <c r="S126" s="67">
        <f>IF(J126&gt;=Budget!$B$32,1,0)</f>
        <v>1</v>
      </c>
      <c r="T126" s="67">
        <f t="shared" si="4"/>
        <v>1</v>
      </c>
      <c r="U126" s="4"/>
      <c r="V126" s="4"/>
      <c r="AA126" s="68">
        <f>Budget!$B$29</f>
        <v>4000</v>
      </c>
      <c r="AB126" s="68">
        <f>Budget!$B$32</f>
        <v>4000</v>
      </c>
    </row>
    <row r="127" spans="1:28" ht="15" customHeight="1" x14ac:dyDescent="0.25">
      <c r="A127" s="55">
        <v>123</v>
      </c>
      <c r="B127" s="56">
        <f>EDATE(Budget!$B$28,A127-1)</f>
        <v>50100</v>
      </c>
      <c r="C127" s="57">
        <f>Budget!$B$7</f>
        <v>2900</v>
      </c>
      <c r="D127" s="57">
        <f>Budget!$B$18+Budget!$B$25</f>
        <v>1725</v>
      </c>
      <c r="E127" s="57">
        <f>Calcul!AX125</f>
        <v>0</v>
      </c>
      <c r="F127" s="58">
        <f t="shared" si="0"/>
        <v>1175</v>
      </c>
      <c r="G127" s="59">
        <f>IF(B127&lt;=Budget!$B$30,MAX(0,MIN(F127,Budget!$B$29-H126)),0)</f>
        <v>0</v>
      </c>
      <c r="H127" s="60">
        <f t="shared" si="5"/>
        <v>3511.3</v>
      </c>
      <c r="I127" s="61">
        <f>MAX(0,MIN(F127-G127,Budget!$B$32-J126))</f>
        <v>0</v>
      </c>
      <c r="J127" s="62">
        <f t="shared" si="6"/>
        <v>4000</v>
      </c>
      <c r="K127" s="63">
        <f t="shared" si="1"/>
        <v>1175</v>
      </c>
      <c r="L127" s="63">
        <f>K127*Budget!$B$36</f>
        <v>705</v>
      </c>
      <c r="M127" s="63">
        <f>MAX(0,L127-Calcul!AY125)</f>
        <v>705</v>
      </c>
      <c r="N127" s="63">
        <f t="shared" si="2"/>
        <v>1175</v>
      </c>
      <c r="O127" s="64">
        <f t="shared" si="7"/>
        <v>120827.130164</v>
      </c>
      <c r="P127" s="65">
        <f>Calcul!AZ125</f>
        <v>0</v>
      </c>
      <c r="Q127" s="66" t="str">
        <f t="shared" si="3"/>
        <v/>
      </c>
      <c r="R127" s="67">
        <f>IF(H127&gt;=Budget!$B$29,1,0)</f>
        <v>0</v>
      </c>
      <c r="S127" s="67">
        <f>IF(J127&gt;=Budget!$B$32,1,0)</f>
        <v>1</v>
      </c>
      <c r="T127" s="67">
        <f t="shared" si="4"/>
        <v>1</v>
      </c>
      <c r="U127" s="4"/>
      <c r="V127" s="4"/>
      <c r="AA127" s="68">
        <f>Budget!$B$29</f>
        <v>4000</v>
      </c>
      <c r="AB127" s="68">
        <f>Budget!$B$32</f>
        <v>4000</v>
      </c>
    </row>
    <row r="128" spans="1:28" ht="15" customHeight="1" x14ac:dyDescent="0.25">
      <c r="A128" s="55">
        <v>124</v>
      </c>
      <c r="B128" s="56">
        <f>EDATE(Budget!$B$28,A128-1)</f>
        <v>50131</v>
      </c>
      <c r="C128" s="57">
        <f>Budget!$B$7</f>
        <v>2900</v>
      </c>
      <c r="D128" s="57">
        <f>Budget!$B$18+Budget!$B$25</f>
        <v>1725</v>
      </c>
      <c r="E128" s="57">
        <f>Calcul!AX126</f>
        <v>0</v>
      </c>
      <c r="F128" s="58">
        <f t="shared" si="0"/>
        <v>1175</v>
      </c>
      <c r="G128" s="59">
        <f>IF(B128&lt;=Budget!$B$30,MAX(0,MIN(F128,Budget!$B$29-H127)),0)</f>
        <v>0</v>
      </c>
      <c r="H128" s="60">
        <f t="shared" si="5"/>
        <v>3511.3</v>
      </c>
      <c r="I128" s="61">
        <f>MAX(0,MIN(F128-G128,Budget!$B$32-J127))</f>
        <v>0</v>
      </c>
      <c r="J128" s="62">
        <f t="shared" si="6"/>
        <v>4000</v>
      </c>
      <c r="K128" s="63">
        <f t="shared" si="1"/>
        <v>1175</v>
      </c>
      <c r="L128" s="63">
        <f>K128*Budget!$B$36</f>
        <v>705</v>
      </c>
      <c r="M128" s="63">
        <f>MAX(0,L128-Calcul!AY126)</f>
        <v>705</v>
      </c>
      <c r="N128" s="63">
        <f t="shared" si="2"/>
        <v>1175</v>
      </c>
      <c r="O128" s="64">
        <f t="shared" si="7"/>
        <v>122002.130164</v>
      </c>
      <c r="P128" s="65">
        <f>Calcul!AZ126</f>
        <v>0</v>
      </c>
      <c r="Q128" s="66" t="str">
        <f t="shared" si="3"/>
        <v/>
      </c>
      <c r="R128" s="67">
        <f>IF(H128&gt;=Budget!$B$29,1,0)</f>
        <v>0</v>
      </c>
      <c r="S128" s="67">
        <f>IF(J128&gt;=Budget!$B$32,1,0)</f>
        <v>1</v>
      </c>
      <c r="T128" s="67">
        <f t="shared" si="4"/>
        <v>1</v>
      </c>
      <c r="U128" s="4"/>
      <c r="V128" s="4"/>
      <c r="AA128" s="68">
        <f>Budget!$B$29</f>
        <v>4000</v>
      </c>
      <c r="AB128" s="68">
        <f>Budget!$B$32</f>
        <v>4000</v>
      </c>
    </row>
    <row r="129" spans="1:28" ht="15" customHeight="1" x14ac:dyDescent="0.25">
      <c r="A129" s="55">
        <v>125</v>
      </c>
      <c r="B129" s="56">
        <f>EDATE(Budget!$B$28,A129-1)</f>
        <v>50161</v>
      </c>
      <c r="C129" s="57">
        <f>Budget!$B$7</f>
        <v>2900</v>
      </c>
      <c r="D129" s="57">
        <f>Budget!$B$18+Budget!$B$25</f>
        <v>1725</v>
      </c>
      <c r="E129" s="57">
        <f>Calcul!AX127</f>
        <v>0</v>
      </c>
      <c r="F129" s="58">
        <f t="shared" si="0"/>
        <v>1175</v>
      </c>
      <c r="G129" s="59">
        <f>IF(B129&lt;=Budget!$B$30,MAX(0,MIN(F129,Budget!$B$29-H128)),0)</f>
        <v>0</v>
      </c>
      <c r="H129" s="60">
        <f t="shared" si="5"/>
        <v>3511.3</v>
      </c>
      <c r="I129" s="61">
        <f>MAX(0,MIN(F129-G129,Budget!$B$32-J128))</f>
        <v>0</v>
      </c>
      <c r="J129" s="62">
        <f t="shared" si="6"/>
        <v>4000</v>
      </c>
      <c r="K129" s="63">
        <f t="shared" si="1"/>
        <v>1175</v>
      </c>
      <c r="L129" s="63">
        <f>K129*Budget!$B$36</f>
        <v>705</v>
      </c>
      <c r="M129" s="63">
        <f>MAX(0,L129-Calcul!AY127)</f>
        <v>705</v>
      </c>
      <c r="N129" s="63">
        <f t="shared" si="2"/>
        <v>1175</v>
      </c>
      <c r="O129" s="64">
        <f t="shared" si="7"/>
        <v>123177.130164</v>
      </c>
      <c r="P129" s="65">
        <f>Calcul!AZ127</f>
        <v>0</v>
      </c>
      <c r="Q129" s="66" t="str">
        <f t="shared" si="3"/>
        <v/>
      </c>
      <c r="R129" s="67">
        <f>IF(H129&gt;=Budget!$B$29,1,0)</f>
        <v>0</v>
      </c>
      <c r="S129" s="67">
        <f>IF(J129&gt;=Budget!$B$32,1,0)</f>
        <v>1</v>
      </c>
      <c r="T129" s="67">
        <f t="shared" si="4"/>
        <v>1</v>
      </c>
      <c r="U129" s="4"/>
      <c r="V129" s="4"/>
      <c r="AA129" s="68">
        <f>Budget!$B$29</f>
        <v>4000</v>
      </c>
      <c r="AB129" s="68">
        <f>Budget!$B$32</f>
        <v>4000</v>
      </c>
    </row>
    <row r="130" spans="1:28" ht="15" customHeight="1" x14ac:dyDescent="0.25">
      <c r="A130" s="55">
        <v>126</v>
      </c>
      <c r="B130" s="56">
        <f>EDATE(Budget!$B$28,A130-1)</f>
        <v>50192</v>
      </c>
      <c r="C130" s="57">
        <f>Budget!$B$7</f>
        <v>2900</v>
      </c>
      <c r="D130" s="57">
        <f>Budget!$B$18+Budget!$B$25</f>
        <v>1725</v>
      </c>
      <c r="E130" s="57">
        <f>Calcul!AX128</f>
        <v>0</v>
      </c>
      <c r="F130" s="58">
        <f t="shared" si="0"/>
        <v>1175</v>
      </c>
      <c r="G130" s="59">
        <f>IF(B130&lt;=Budget!$B$30,MAX(0,MIN(F130,Budget!$B$29-H129)),0)</f>
        <v>0</v>
      </c>
      <c r="H130" s="60">
        <f t="shared" si="5"/>
        <v>3511.3</v>
      </c>
      <c r="I130" s="61">
        <f>MAX(0,MIN(F130-G130,Budget!$B$32-J129))</f>
        <v>0</v>
      </c>
      <c r="J130" s="62">
        <f t="shared" si="6"/>
        <v>4000</v>
      </c>
      <c r="K130" s="63">
        <f t="shared" si="1"/>
        <v>1175</v>
      </c>
      <c r="L130" s="63">
        <f>K130*Budget!$B$36</f>
        <v>705</v>
      </c>
      <c r="M130" s="63">
        <f>MAX(0,L130-Calcul!AY128)</f>
        <v>705</v>
      </c>
      <c r="N130" s="63">
        <f t="shared" si="2"/>
        <v>1175</v>
      </c>
      <c r="O130" s="64">
        <f t="shared" si="7"/>
        <v>124352.130164</v>
      </c>
      <c r="P130" s="65">
        <f>Calcul!AZ128</f>
        <v>0</v>
      </c>
      <c r="Q130" s="66" t="str">
        <f t="shared" si="3"/>
        <v/>
      </c>
      <c r="R130" s="67">
        <f>IF(H130&gt;=Budget!$B$29,1,0)</f>
        <v>0</v>
      </c>
      <c r="S130" s="67">
        <f>IF(J130&gt;=Budget!$B$32,1,0)</f>
        <v>1</v>
      </c>
      <c r="T130" s="67">
        <f t="shared" si="4"/>
        <v>1</v>
      </c>
      <c r="U130" s="4"/>
      <c r="V130" s="4"/>
      <c r="AA130" s="68">
        <f>Budget!$B$29</f>
        <v>4000</v>
      </c>
      <c r="AB130" s="68">
        <f>Budget!$B$32</f>
        <v>4000</v>
      </c>
    </row>
    <row r="131" spans="1:28" ht="15" customHeight="1" x14ac:dyDescent="0.25">
      <c r="A131" s="55">
        <v>127</v>
      </c>
      <c r="B131" s="56">
        <f>EDATE(Budget!$B$28,A131-1)</f>
        <v>50222</v>
      </c>
      <c r="C131" s="57">
        <f>Budget!$B$7</f>
        <v>2900</v>
      </c>
      <c r="D131" s="57">
        <f>Budget!$B$18+Budget!$B$25</f>
        <v>1725</v>
      </c>
      <c r="E131" s="57">
        <f>Calcul!AX129</f>
        <v>0</v>
      </c>
      <c r="F131" s="58">
        <f t="shared" si="0"/>
        <v>1175</v>
      </c>
      <c r="G131" s="59">
        <f>IF(B131&lt;=Budget!$B$30,MAX(0,MIN(F131,Budget!$B$29-H130)),0)</f>
        <v>0</v>
      </c>
      <c r="H131" s="60">
        <f t="shared" si="5"/>
        <v>3511.3</v>
      </c>
      <c r="I131" s="61">
        <f>MAX(0,MIN(F131-G131,Budget!$B$32-J130))</f>
        <v>0</v>
      </c>
      <c r="J131" s="62">
        <f t="shared" si="6"/>
        <v>4000</v>
      </c>
      <c r="K131" s="63">
        <f t="shared" si="1"/>
        <v>1175</v>
      </c>
      <c r="L131" s="63">
        <f>K131*Budget!$B$36</f>
        <v>705</v>
      </c>
      <c r="M131" s="63">
        <f>MAX(0,L131-Calcul!AY129)</f>
        <v>705</v>
      </c>
      <c r="N131" s="63">
        <f t="shared" si="2"/>
        <v>1175</v>
      </c>
      <c r="O131" s="64">
        <f t="shared" si="7"/>
        <v>125527.130164</v>
      </c>
      <c r="P131" s="65">
        <f>Calcul!AZ129</f>
        <v>0</v>
      </c>
      <c r="Q131" s="66" t="str">
        <f t="shared" si="3"/>
        <v/>
      </c>
      <c r="R131" s="67">
        <f>IF(H131&gt;=Budget!$B$29,1,0)</f>
        <v>0</v>
      </c>
      <c r="S131" s="67">
        <f>IF(J131&gt;=Budget!$B$32,1,0)</f>
        <v>1</v>
      </c>
      <c r="T131" s="67">
        <f t="shared" si="4"/>
        <v>1</v>
      </c>
      <c r="U131" s="4"/>
      <c r="V131" s="4"/>
      <c r="AA131" s="68">
        <f>Budget!$B$29</f>
        <v>4000</v>
      </c>
      <c r="AB131" s="68">
        <f>Budget!$B$32</f>
        <v>4000</v>
      </c>
    </row>
    <row r="132" spans="1:28" ht="15" customHeight="1" x14ac:dyDescent="0.25">
      <c r="A132" s="55">
        <v>128</v>
      </c>
      <c r="B132" s="56">
        <f>EDATE(Budget!$B$28,A132-1)</f>
        <v>50253</v>
      </c>
      <c r="C132" s="57">
        <f>Budget!$B$7</f>
        <v>2900</v>
      </c>
      <c r="D132" s="57">
        <f>Budget!$B$18+Budget!$B$25</f>
        <v>1725</v>
      </c>
      <c r="E132" s="57">
        <f>Calcul!AX130</f>
        <v>0</v>
      </c>
      <c r="F132" s="58">
        <f t="shared" si="0"/>
        <v>1175</v>
      </c>
      <c r="G132" s="59">
        <f>IF(B132&lt;=Budget!$B$30,MAX(0,MIN(F132,Budget!$B$29-H131)),0)</f>
        <v>0</v>
      </c>
      <c r="H132" s="60">
        <f t="shared" si="5"/>
        <v>3511.3</v>
      </c>
      <c r="I132" s="61">
        <f>MAX(0,MIN(F132-G132,Budget!$B$32-J131))</f>
        <v>0</v>
      </c>
      <c r="J132" s="62">
        <f t="shared" si="6"/>
        <v>4000</v>
      </c>
      <c r="K132" s="63">
        <f t="shared" si="1"/>
        <v>1175</v>
      </c>
      <c r="L132" s="63">
        <f>K132*Budget!$B$36</f>
        <v>705</v>
      </c>
      <c r="M132" s="63">
        <f>MAX(0,L132-Calcul!AY130)</f>
        <v>705</v>
      </c>
      <c r="N132" s="63">
        <f t="shared" si="2"/>
        <v>1175</v>
      </c>
      <c r="O132" s="64">
        <f t="shared" si="7"/>
        <v>126702.130164</v>
      </c>
      <c r="P132" s="65">
        <f>Calcul!AZ130</f>
        <v>0</v>
      </c>
      <c r="Q132" s="66" t="str">
        <f t="shared" si="3"/>
        <v/>
      </c>
      <c r="R132" s="67">
        <f>IF(H132&gt;=Budget!$B$29,1,0)</f>
        <v>0</v>
      </c>
      <c r="S132" s="67">
        <f>IF(J132&gt;=Budget!$B$32,1,0)</f>
        <v>1</v>
      </c>
      <c r="T132" s="67">
        <f t="shared" si="4"/>
        <v>1</v>
      </c>
      <c r="U132" s="4"/>
      <c r="V132" s="4"/>
      <c r="AA132" s="68">
        <f>Budget!$B$29</f>
        <v>4000</v>
      </c>
      <c r="AB132" s="68">
        <f>Budget!$B$32</f>
        <v>4000</v>
      </c>
    </row>
    <row r="133" spans="1:28" ht="15" customHeight="1" x14ac:dyDescent="0.25">
      <c r="A133" s="55">
        <v>129</v>
      </c>
      <c r="B133" s="56">
        <f>EDATE(Budget!$B$28,A133-1)</f>
        <v>50284</v>
      </c>
      <c r="C133" s="57">
        <f>Budget!$B$7</f>
        <v>2900</v>
      </c>
      <c r="D133" s="57">
        <f>Budget!$B$18+Budget!$B$25</f>
        <v>1725</v>
      </c>
      <c r="E133" s="57">
        <f>Calcul!AX131</f>
        <v>0</v>
      </c>
      <c r="F133" s="58">
        <f t="shared" si="0"/>
        <v>1175</v>
      </c>
      <c r="G133" s="59">
        <f>IF(B133&lt;=Budget!$B$30,MAX(0,MIN(F133,Budget!$B$29-H132)),0)</f>
        <v>0</v>
      </c>
      <c r="H133" s="60">
        <f t="shared" si="5"/>
        <v>3511.3</v>
      </c>
      <c r="I133" s="61">
        <f>MAX(0,MIN(F133-G133,Budget!$B$32-J132))</f>
        <v>0</v>
      </c>
      <c r="J133" s="62">
        <f t="shared" si="6"/>
        <v>4000</v>
      </c>
      <c r="K133" s="63">
        <f t="shared" si="1"/>
        <v>1175</v>
      </c>
      <c r="L133" s="63">
        <f>K133*Budget!$B$36</f>
        <v>705</v>
      </c>
      <c r="M133" s="63">
        <f>MAX(0,L133-Calcul!AY131)</f>
        <v>705</v>
      </c>
      <c r="N133" s="63">
        <f t="shared" si="2"/>
        <v>1175</v>
      </c>
      <c r="O133" s="64">
        <f t="shared" si="7"/>
        <v>127877.130164</v>
      </c>
      <c r="P133" s="65">
        <f>Calcul!AZ131</f>
        <v>0</v>
      </c>
      <c r="Q133" s="66" t="str">
        <f t="shared" si="3"/>
        <v/>
      </c>
      <c r="R133" s="67">
        <f>IF(H133&gt;=Budget!$B$29,1,0)</f>
        <v>0</v>
      </c>
      <c r="S133" s="67">
        <f>IF(J133&gt;=Budget!$B$32,1,0)</f>
        <v>1</v>
      </c>
      <c r="T133" s="67">
        <f t="shared" si="4"/>
        <v>1</v>
      </c>
      <c r="U133" s="4"/>
      <c r="V133" s="4"/>
      <c r="AA133" s="68">
        <f>Budget!$B$29</f>
        <v>4000</v>
      </c>
      <c r="AB133" s="68">
        <f>Budget!$B$32</f>
        <v>4000</v>
      </c>
    </row>
    <row r="134" spans="1:28" ht="15" customHeight="1" x14ac:dyDescent="0.25">
      <c r="A134" s="55">
        <v>130</v>
      </c>
      <c r="B134" s="56">
        <f>EDATE(Budget!$B$28,A134-1)</f>
        <v>50314</v>
      </c>
      <c r="C134" s="57">
        <f>Budget!$B$7</f>
        <v>2900</v>
      </c>
      <c r="D134" s="57">
        <f>Budget!$B$18+Budget!$B$25</f>
        <v>1725</v>
      </c>
      <c r="E134" s="57">
        <f>Calcul!AX132</f>
        <v>0</v>
      </c>
      <c r="F134" s="58">
        <f t="shared" si="0"/>
        <v>1175</v>
      </c>
      <c r="G134" s="59">
        <f>IF(B134&lt;=Budget!$B$30,MAX(0,MIN(F134,Budget!$B$29-H133)),0)</f>
        <v>0</v>
      </c>
      <c r="H134" s="60">
        <f t="shared" si="5"/>
        <v>3511.3</v>
      </c>
      <c r="I134" s="61">
        <f>MAX(0,MIN(F134-G134,Budget!$B$32-J133))</f>
        <v>0</v>
      </c>
      <c r="J134" s="62">
        <f t="shared" si="6"/>
        <v>4000</v>
      </c>
      <c r="K134" s="63">
        <f t="shared" si="1"/>
        <v>1175</v>
      </c>
      <c r="L134" s="63">
        <f>K134*Budget!$B$36</f>
        <v>705</v>
      </c>
      <c r="M134" s="63">
        <f>MAX(0,L134-Calcul!AY132)</f>
        <v>705</v>
      </c>
      <c r="N134" s="63">
        <f t="shared" si="2"/>
        <v>1175</v>
      </c>
      <c r="O134" s="64">
        <f t="shared" si="7"/>
        <v>129052.130164</v>
      </c>
      <c r="P134" s="65">
        <f>Calcul!AZ132</f>
        <v>0</v>
      </c>
      <c r="Q134" s="66" t="str">
        <f t="shared" si="3"/>
        <v/>
      </c>
      <c r="R134" s="67">
        <f>IF(H134&gt;=Budget!$B$29,1,0)</f>
        <v>0</v>
      </c>
      <c r="S134" s="67">
        <f>IF(J134&gt;=Budget!$B$32,1,0)</f>
        <v>1</v>
      </c>
      <c r="T134" s="67">
        <f t="shared" si="4"/>
        <v>1</v>
      </c>
      <c r="U134" s="4"/>
      <c r="V134" s="4"/>
      <c r="AA134" s="68">
        <f>Budget!$B$29</f>
        <v>4000</v>
      </c>
      <c r="AB134" s="68">
        <f>Budget!$B$32</f>
        <v>4000</v>
      </c>
    </row>
    <row r="135" spans="1:28" ht="15" customHeight="1" x14ac:dyDescent="0.25">
      <c r="A135" s="55">
        <v>131</v>
      </c>
      <c r="B135" s="56">
        <f>EDATE(Budget!$B$28,A135-1)</f>
        <v>50345</v>
      </c>
      <c r="C135" s="57">
        <f>Budget!$B$7</f>
        <v>2900</v>
      </c>
      <c r="D135" s="57">
        <f>Budget!$B$18+Budget!$B$25</f>
        <v>1725</v>
      </c>
      <c r="E135" s="57">
        <f>Calcul!AX133</f>
        <v>0</v>
      </c>
      <c r="F135" s="58">
        <f t="shared" si="0"/>
        <v>1175</v>
      </c>
      <c r="G135" s="59">
        <f>IF(B135&lt;=Budget!$B$30,MAX(0,MIN(F135,Budget!$B$29-H134)),0)</f>
        <v>0</v>
      </c>
      <c r="H135" s="60">
        <f t="shared" si="5"/>
        <v>3511.3</v>
      </c>
      <c r="I135" s="61">
        <f>MAX(0,MIN(F135-G135,Budget!$B$32-J134))</f>
        <v>0</v>
      </c>
      <c r="J135" s="62">
        <f t="shared" si="6"/>
        <v>4000</v>
      </c>
      <c r="K135" s="63">
        <f t="shared" si="1"/>
        <v>1175</v>
      </c>
      <c r="L135" s="63">
        <f>K135*Budget!$B$36</f>
        <v>705</v>
      </c>
      <c r="M135" s="63">
        <f>MAX(0,L135-Calcul!AY133)</f>
        <v>705</v>
      </c>
      <c r="N135" s="63">
        <f t="shared" si="2"/>
        <v>1175</v>
      </c>
      <c r="O135" s="64">
        <f t="shared" si="7"/>
        <v>130227.130164</v>
      </c>
      <c r="P135" s="65">
        <f>Calcul!AZ133</f>
        <v>0</v>
      </c>
      <c r="Q135" s="66" t="str">
        <f t="shared" si="3"/>
        <v/>
      </c>
      <c r="R135" s="67">
        <f>IF(H135&gt;=Budget!$B$29,1,0)</f>
        <v>0</v>
      </c>
      <c r="S135" s="67">
        <f>IF(J135&gt;=Budget!$B$32,1,0)</f>
        <v>1</v>
      </c>
      <c r="T135" s="67">
        <f t="shared" si="4"/>
        <v>1</v>
      </c>
      <c r="U135" s="4"/>
      <c r="V135" s="4"/>
      <c r="AA135" s="68">
        <f>Budget!$B$29</f>
        <v>4000</v>
      </c>
      <c r="AB135" s="68">
        <f>Budget!$B$32</f>
        <v>4000</v>
      </c>
    </row>
    <row r="136" spans="1:28" ht="15" customHeight="1" x14ac:dyDescent="0.25">
      <c r="A136" s="55">
        <v>132</v>
      </c>
      <c r="B136" s="56">
        <f>EDATE(Budget!$B$28,A136-1)</f>
        <v>50375</v>
      </c>
      <c r="C136" s="57">
        <f>Budget!$B$7</f>
        <v>2900</v>
      </c>
      <c r="D136" s="57">
        <f>Budget!$B$18+Budget!$B$25</f>
        <v>1725</v>
      </c>
      <c r="E136" s="57">
        <f>Calcul!AX134</f>
        <v>0</v>
      </c>
      <c r="F136" s="58">
        <f t="shared" si="0"/>
        <v>1175</v>
      </c>
      <c r="G136" s="59">
        <f>IF(B136&lt;=Budget!$B$30,MAX(0,MIN(F136,Budget!$B$29-H135)),0)</f>
        <v>0</v>
      </c>
      <c r="H136" s="60">
        <f t="shared" si="5"/>
        <v>3511.3</v>
      </c>
      <c r="I136" s="61">
        <f>MAX(0,MIN(F136-G136,Budget!$B$32-J135))</f>
        <v>0</v>
      </c>
      <c r="J136" s="62">
        <f t="shared" si="6"/>
        <v>4000</v>
      </c>
      <c r="K136" s="63">
        <f t="shared" si="1"/>
        <v>1175</v>
      </c>
      <c r="L136" s="63">
        <f>K136*Budget!$B$36</f>
        <v>705</v>
      </c>
      <c r="M136" s="63">
        <f>MAX(0,L136-Calcul!AY134)</f>
        <v>705</v>
      </c>
      <c r="N136" s="63">
        <f t="shared" si="2"/>
        <v>1175</v>
      </c>
      <c r="O136" s="64">
        <f t="shared" si="7"/>
        <v>131402.130164</v>
      </c>
      <c r="P136" s="65">
        <f>Calcul!AZ134</f>
        <v>0</v>
      </c>
      <c r="Q136" s="66" t="str">
        <f t="shared" si="3"/>
        <v/>
      </c>
      <c r="R136" s="67">
        <f>IF(H136&gt;=Budget!$B$29,1,0)</f>
        <v>0</v>
      </c>
      <c r="S136" s="67">
        <f>IF(J136&gt;=Budget!$B$32,1,0)</f>
        <v>1</v>
      </c>
      <c r="T136" s="67">
        <f t="shared" si="4"/>
        <v>1</v>
      </c>
      <c r="U136" s="4"/>
      <c r="V136" s="4"/>
      <c r="AA136" s="68">
        <f>Budget!$B$29</f>
        <v>4000</v>
      </c>
      <c r="AB136" s="68">
        <f>Budget!$B$32</f>
        <v>4000</v>
      </c>
    </row>
    <row r="137" spans="1:28" ht="15" customHeight="1" x14ac:dyDescent="0.25">
      <c r="A137" s="55">
        <v>133</v>
      </c>
      <c r="B137" s="56">
        <f>EDATE(Budget!$B$28,A137-1)</f>
        <v>50406</v>
      </c>
      <c r="C137" s="57">
        <f>Budget!$B$7</f>
        <v>2900</v>
      </c>
      <c r="D137" s="57">
        <f>Budget!$B$18+Budget!$B$25</f>
        <v>1725</v>
      </c>
      <c r="E137" s="57">
        <f>Calcul!AX135</f>
        <v>0</v>
      </c>
      <c r="F137" s="58">
        <f t="shared" si="0"/>
        <v>1175</v>
      </c>
      <c r="G137" s="59">
        <f>IF(B137&lt;=Budget!$B$30,MAX(0,MIN(F137,Budget!$B$29-H136)),0)</f>
        <v>0</v>
      </c>
      <c r="H137" s="60">
        <f t="shared" si="5"/>
        <v>3511.3</v>
      </c>
      <c r="I137" s="61">
        <f>MAX(0,MIN(F137-G137,Budget!$B$32-J136))</f>
        <v>0</v>
      </c>
      <c r="J137" s="62">
        <f t="shared" si="6"/>
        <v>4000</v>
      </c>
      <c r="K137" s="63">
        <f t="shared" si="1"/>
        <v>1175</v>
      </c>
      <c r="L137" s="63">
        <f>K137*Budget!$B$36</f>
        <v>705</v>
      </c>
      <c r="M137" s="63">
        <f>MAX(0,L137-Calcul!AY135)</f>
        <v>705</v>
      </c>
      <c r="N137" s="63">
        <f t="shared" si="2"/>
        <v>1175</v>
      </c>
      <c r="O137" s="64">
        <f t="shared" si="7"/>
        <v>132577.130164</v>
      </c>
      <c r="P137" s="65">
        <f>Calcul!AZ135</f>
        <v>0</v>
      </c>
      <c r="Q137" s="66" t="str">
        <f t="shared" si="3"/>
        <v/>
      </c>
      <c r="R137" s="67">
        <f>IF(H137&gt;=Budget!$B$29,1,0)</f>
        <v>0</v>
      </c>
      <c r="S137" s="67">
        <f>IF(J137&gt;=Budget!$B$32,1,0)</f>
        <v>1</v>
      </c>
      <c r="T137" s="67">
        <f t="shared" si="4"/>
        <v>1</v>
      </c>
      <c r="U137" s="4"/>
      <c r="V137" s="4"/>
      <c r="AA137" s="68">
        <f>Budget!$B$29</f>
        <v>4000</v>
      </c>
      <c r="AB137" s="68">
        <f>Budget!$B$32</f>
        <v>4000</v>
      </c>
    </row>
    <row r="138" spans="1:28" ht="15" customHeight="1" x14ac:dyDescent="0.25">
      <c r="A138" s="55">
        <v>134</v>
      </c>
      <c r="B138" s="56">
        <f>EDATE(Budget!$B$28,A138-1)</f>
        <v>50437</v>
      </c>
      <c r="C138" s="57">
        <f>Budget!$B$7</f>
        <v>2900</v>
      </c>
      <c r="D138" s="57">
        <f>Budget!$B$18+Budget!$B$25</f>
        <v>1725</v>
      </c>
      <c r="E138" s="57">
        <f>Calcul!AX136</f>
        <v>0</v>
      </c>
      <c r="F138" s="58">
        <f t="shared" si="0"/>
        <v>1175</v>
      </c>
      <c r="G138" s="59">
        <f>IF(B138&lt;=Budget!$B$30,MAX(0,MIN(F138,Budget!$B$29-H137)),0)</f>
        <v>0</v>
      </c>
      <c r="H138" s="60">
        <f t="shared" si="5"/>
        <v>3511.3</v>
      </c>
      <c r="I138" s="61">
        <f>MAX(0,MIN(F138-G138,Budget!$B$32-J137))</f>
        <v>0</v>
      </c>
      <c r="J138" s="62">
        <f t="shared" si="6"/>
        <v>4000</v>
      </c>
      <c r="K138" s="63">
        <f t="shared" si="1"/>
        <v>1175</v>
      </c>
      <c r="L138" s="63">
        <f>K138*Budget!$B$36</f>
        <v>705</v>
      </c>
      <c r="M138" s="63">
        <f>MAX(0,L138-Calcul!AY136)</f>
        <v>705</v>
      </c>
      <c r="N138" s="63">
        <f t="shared" si="2"/>
        <v>1175</v>
      </c>
      <c r="O138" s="64">
        <f t="shared" si="7"/>
        <v>133752.130164</v>
      </c>
      <c r="P138" s="65">
        <f>Calcul!AZ136</f>
        <v>0</v>
      </c>
      <c r="Q138" s="66" t="str">
        <f t="shared" si="3"/>
        <v/>
      </c>
      <c r="R138" s="67">
        <f>IF(H138&gt;=Budget!$B$29,1,0)</f>
        <v>0</v>
      </c>
      <c r="S138" s="67">
        <f>IF(J138&gt;=Budget!$B$32,1,0)</f>
        <v>1</v>
      </c>
      <c r="T138" s="67">
        <f t="shared" si="4"/>
        <v>1</v>
      </c>
      <c r="U138" s="4"/>
      <c r="V138" s="4"/>
      <c r="AA138" s="68">
        <f>Budget!$B$29</f>
        <v>4000</v>
      </c>
      <c r="AB138" s="68">
        <f>Budget!$B$32</f>
        <v>4000</v>
      </c>
    </row>
    <row r="139" spans="1:28" ht="15" customHeight="1" x14ac:dyDescent="0.25">
      <c r="A139" s="55">
        <v>135</v>
      </c>
      <c r="B139" s="56">
        <f>EDATE(Budget!$B$28,A139-1)</f>
        <v>50465</v>
      </c>
      <c r="C139" s="57">
        <f>Budget!$B$7</f>
        <v>2900</v>
      </c>
      <c r="D139" s="57">
        <f>Budget!$B$18+Budget!$B$25</f>
        <v>1725</v>
      </c>
      <c r="E139" s="57">
        <f>Calcul!AX137</f>
        <v>0</v>
      </c>
      <c r="F139" s="58">
        <f t="shared" si="0"/>
        <v>1175</v>
      </c>
      <c r="G139" s="59">
        <f>IF(B139&lt;=Budget!$B$30,MAX(0,MIN(F139,Budget!$B$29-H138)),0)</f>
        <v>0</v>
      </c>
      <c r="H139" s="60">
        <f t="shared" si="5"/>
        <v>3511.3</v>
      </c>
      <c r="I139" s="61">
        <f>MAX(0,MIN(F139-G139,Budget!$B$32-J138))</f>
        <v>0</v>
      </c>
      <c r="J139" s="62">
        <f t="shared" si="6"/>
        <v>4000</v>
      </c>
      <c r="K139" s="63">
        <f t="shared" si="1"/>
        <v>1175</v>
      </c>
      <c r="L139" s="63">
        <f>K139*Budget!$B$36</f>
        <v>705</v>
      </c>
      <c r="M139" s="63">
        <f>MAX(0,L139-Calcul!AY137)</f>
        <v>705</v>
      </c>
      <c r="N139" s="63">
        <f t="shared" si="2"/>
        <v>1175</v>
      </c>
      <c r="O139" s="64">
        <f t="shared" si="7"/>
        <v>134927.130164</v>
      </c>
      <c r="P139" s="65">
        <f>Calcul!AZ137</f>
        <v>0</v>
      </c>
      <c r="Q139" s="66" t="str">
        <f t="shared" si="3"/>
        <v/>
      </c>
      <c r="R139" s="67">
        <f>IF(H139&gt;=Budget!$B$29,1,0)</f>
        <v>0</v>
      </c>
      <c r="S139" s="67">
        <f>IF(J139&gt;=Budget!$B$32,1,0)</f>
        <v>1</v>
      </c>
      <c r="T139" s="67">
        <f t="shared" si="4"/>
        <v>1</v>
      </c>
      <c r="U139" s="4"/>
      <c r="V139" s="4"/>
      <c r="AA139" s="68">
        <f>Budget!$B$29</f>
        <v>4000</v>
      </c>
      <c r="AB139" s="68">
        <f>Budget!$B$32</f>
        <v>4000</v>
      </c>
    </row>
    <row r="140" spans="1:28" ht="15" customHeight="1" x14ac:dyDescent="0.25">
      <c r="A140" s="55">
        <v>136</v>
      </c>
      <c r="B140" s="56">
        <f>EDATE(Budget!$B$28,A140-1)</f>
        <v>50496</v>
      </c>
      <c r="C140" s="57">
        <f>Budget!$B$7</f>
        <v>2900</v>
      </c>
      <c r="D140" s="57">
        <f>Budget!$B$18+Budget!$B$25</f>
        <v>1725</v>
      </c>
      <c r="E140" s="57">
        <f>Calcul!AX138</f>
        <v>0</v>
      </c>
      <c r="F140" s="58">
        <f t="shared" si="0"/>
        <v>1175</v>
      </c>
      <c r="G140" s="59">
        <f>IF(B140&lt;=Budget!$B$30,MAX(0,MIN(F140,Budget!$B$29-H139)),0)</f>
        <v>0</v>
      </c>
      <c r="H140" s="60">
        <f t="shared" si="5"/>
        <v>3511.3</v>
      </c>
      <c r="I140" s="61">
        <f>MAX(0,MIN(F140-G140,Budget!$B$32-J139))</f>
        <v>0</v>
      </c>
      <c r="J140" s="62">
        <f t="shared" si="6"/>
        <v>4000</v>
      </c>
      <c r="K140" s="63">
        <f t="shared" si="1"/>
        <v>1175</v>
      </c>
      <c r="L140" s="63">
        <f>K140*Budget!$B$36</f>
        <v>705</v>
      </c>
      <c r="M140" s="63">
        <f>MAX(0,L140-Calcul!AY138)</f>
        <v>705</v>
      </c>
      <c r="N140" s="63">
        <f t="shared" si="2"/>
        <v>1175</v>
      </c>
      <c r="O140" s="64">
        <f t="shared" si="7"/>
        <v>136102.130164</v>
      </c>
      <c r="P140" s="65">
        <f>Calcul!AZ138</f>
        <v>0</v>
      </c>
      <c r="Q140" s="66" t="str">
        <f t="shared" si="3"/>
        <v/>
      </c>
      <c r="R140" s="67">
        <f>IF(H140&gt;=Budget!$B$29,1,0)</f>
        <v>0</v>
      </c>
      <c r="S140" s="67">
        <f>IF(J140&gt;=Budget!$B$32,1,0)</f>
        <v>1</v>
      </c>
      <c r="T140" s="67">
        <f t="shared" si="4"/>
        <v>1</v>
      </c>
      <c r="U140" s="4"/>
      <c r="V140" s="4"/>
      <c r="AA140" s="68">
        <f>Budget!$B$29</f>
        <v>4000</v>
      </c>
      <c r="AB140" s="68">
        <f>Budget!$B$32</f>
        <v>4000</v>
      </c>
    </row>
    <row r="141" spans="1:28" ht="15" customHeight="1" x14ac:dyDescent="0.25">
      <c r="A141" s="55">
        <v>137</v>
      </c>
      <c r="B141" s="56">
        <f>EDATE(Budget!$B$28,A141-1)</f>
        <v>50526</v>
      </c>
      <c r="C141" s="57">
        <f>Budget!$B$7</f>
        <v>2900</v>
      </c>
      <c r="D141" s="57">
        <f>Budget!$B$18+Budget!$B$25</f>
        <v>1725</v>
      </c>
      <c r="E141" s="57">
        <f>Calcul!AX139</f>
        <v>0</v>
      </c>
      <c r="F141" s="58">
        <f t="shared" si="0"/>
        <v>1175</v>
      </c>
      <c r="G141" s="59">
        <f>IF(B141&lt;=Budget!$B$30,MAX(0,MIN(F141,Budget!$B$29-H140)),0)</f>
        <v>0</v>
      </c>
      <c r="H141" s="60">
        <f t="shared" si="5"/>
        <v>3511.3</v>
      </c>
      <c r="I141" s="61">
        <f>MAX(0,MIN(F141-G141,Budget!$B$32-J140))</f>
        <v>0</v>
      </c>
      <c r="J141" s="62">
        <f t="shared" si="6"/>
        <v>4000</v>
      </c>
      <c r="K141" s="63">
        <f t="shared" si="1"/>
        <v>1175</v>
      </c>
      <c r="L141" s="63">
        <f>K141*Budget!$B$36</f>
        <v>705</v>
      </c>
      <c r="M141" s="63">
        <f>MAX(0,L141-Calcul!AY139)</f>
        <v>705</v>
      </c>
      <c r="N141" s="63">
        <f t="shared" si="2"/>
        <v>1175</v>
      </c>
      <c r="O141" s="64">
        <f t="shared" si="7"/>
        <v>137277.130164</v>
      </c>
      <c r="P141" s="65">
        <f>Calcul!AZ139</f>
        <v>0</v>
      </c>
      <c r="Q141" s="66" t="str">
        <f t="shared" si="3"/>
        <v/>
      </c>
      <c r="R141" s="67">
        <f>IF(H141&gt;=Budget!$B$29,1,0)</f>
        <v>0</v>
      </c>
      <c r="S141" s="67">
        <f>IF(J141&gt;=Budget!$B$32,1,0)</f>
        <v>1</v>
      </c>
      <c r="T141" s="67">
        <f t="shared" si="4"/>
        <v>1</v>
      </c>
      <c r="U141" s="4"/>
      <c r="V141" s="4"/>
      <c r="AA141" s="68">
        <f>Budget!$B$29</f>
        <v>4000</v>
      </c>
      <c r="AB141" s="68">
        <f>Budget!$B$32</f>
        <v>4000</v>
      </c>
    </row>
    <row r="142" spans="1:28" ht="15" customHeight="1" x14ac:dyDescent="0.25">
      <c r="A142" s="55">
        <v>138</v>
      </c>
      <c r="B142" s="56">
        <f>EDATE(Budget!$B$28,A142-1)</f>
        <v>50557</v>
      </c>
      <c r="C142" s="57">
        <f>Budget!$B$7</f>
        <v>2900</v>
      </c>
      <c r="D142" s="57">
        <f>Budget!$B$18+Budget!$B$25</f>
        <v>1725</v>
      </c>
      <c r="E142" s="57">
        <f>Calcul!AX140</f>
        <v>0</v>
      </c>
      <c r="F142" s="58">
        <f t="shared" si="0"/>
        <v>1175</v>
      </c>
      <c r="G142" s="59">
        <f>IF(B142&lt;=Budget!$B$30,MAX(0,MIN(F142,Budget!$B$29-H141)),0)</f>
        <v>0</v>
      </c>
      <c r="H142" s="60">
        <f t="shared" si="5"/>
        <v>3511.3</v>
      </c>
      <c r="I142" s="61">
        <f>MAX(0,MIN(F142-G142,Budget!$B$32-J141))</f>
        <v>0</v>
      </c>
      <c r="J142" s="62">
        <f t="shared" si="6"/>
        <v>4000</v>
      </c>
      <c r="K142" s="63">
        <f t="shared" si="1"/>
        <v>1175</v>
      </c>
      <c r="L142" s="63">
        <f>K142*Budget!$B$36</f>
        <v>705</v>
      </c>
      <c r="M142" s="63">
        <f>MAX(0,L142-Calcul!AY140)</f>
        <v>705</v>
      </c>
      <c r="N142" s="63">
        <f t="shared" si="2"/>
        <v>1175</v>
      </c>
      <c r="O142" s="64">
        <f t="shared" si="7"/>
        <v>138452.130164</v>
      </c>
      <c r="P142" s="65">
        <f>Calcul!AZ140</f>
        <v>0</v>
      </c>
      <c r="Q142" s="66" t="str">
        <f t="shared" si="3"/>
        <v/>
      </c>
      <c r="R142" s="67">
        <f>IF(H142&gt;=Budget!$B$29,1,0)</f>
        <v>0</v>
      </c>
      <c r="S142" s="67">
        <f>IF(J142&gt;=Budget!$B$32,1,0)</f>
        <v>1</v>
      </c>
      <c r="T142" s="67">
        <f t="shared" si="4"/>
        <v>1</v>
      </c>
      <c r="U142" s="4"/>
      <c r="V142" s="4"/>
      <c r="AA142" s="68">
        <f>Budget!$B$29</f>
        <v>4000</v>
      </c>
      <c r="AB142" s="68">
        <f>Budget!$B$32</f>
        <v>4000</v>
      </c>
    </row>
    <row r="143" spans="1:28" ht="15" customHeight="1" x14ac:dyDescent="0.25">
      <c r="A143" s="55">
        <v>139</v>
      </c>
      <c r="B143" s="56">
        <f>EDATE(Budget!$B$28,A143-1)</f>
        <v>50587</v>
      </c>
      <c r="C143" s="57">
        <f>Budget!$B$7</f>
        <v>2900</v>
      </c>
      <c r="D143" s="57">
        <f>Budget!$B$18+Budget!$B$25</f>
        <v>1725</v>
      </c>
      <c r="E143" s="57">
        <f>Calcul!AX141</f>
        <v>0</v>
      </c>
      <c r="F143" s="58">
        <f t="shared" si="0"/>
        <v>1175</v>
      </c>
      <c r="G143" s="59">
        <f>IF(B143&lt;=Budget!$B$30,MAX(0,MIN(F143,Budget!$B$29-H142)),0)</f>
        <v>0</v>
      </c>
      <c r="H143" s="60">
        <f t="shared" si="5"/>
        <v>3511.3</v>
      </c>
      <c r="I143" s="61">
        <f>MAX(0,MIN(F143-G143,Budget!$B$32-J142))</f>
        <v>0</v>
      </c>
      <c r="J143" s="62">
        <f t="shared" si="6"/>
        <v>4000</v>
      </c>
      <c r="K143" s="63">
        <f t="shared" si="1"/>
        <v>1175</v>
      </c>
      <c r="L143" s="63">
        <f>K143*Budget!$B$36</f>
        <v>705</v>
      </c>
      <c r="M143" s="63">
        <f>MAX(0,L143-Calcul!AY141)</f>
        <v>705</v>
      </c>
      <c r="N143" s="63">
        <f t="shared" si="2"/>
        <v>1175</v>
      </c>
      <c r="O143" s="64">
        <f t="shared" si="7"/>
        <v>139627.130164</v>
      </c>
      <c r="P143" s="65">
        <f>Calcul!AZ141</f>
        <v>0</v>
      </c>
      <c r="Q143" s="66" t="str">
        <f t="shared" si="3"/>
        <v/>
      </c>
      <c r="R143" s="67">
        <f>IF(H143&gt;=Budget!$B$29,1,0)</f>
        <v>0</v>
      </c>
      <c r="S143" s="67">
        <f>IF(J143&gt;=Budget!$B$32,1,0)</f>
        <v>1</v>
      </c>
      <c r="T143" s="67">
        <f t="shared" si="4"/>
        <v>1</v>
      </c>
      <c r="U143" s="4"/>
      <c r="V143" s="4"/>
      <c r="AA143" s="68">
        <f>Budget!$B$29</f>
        <v>4000</v>
      </c>
      <c r="AB143" s="68">
        <f>Budget!$B$32</f>
        <v>4000</v>
      </c>
    </row>
    <row r="144" spans="1:28" ht="15" customHeight="1" x14ac:dyDescent="0.25">
      <c r="A144" s="55">
        <v>140</v>
      </c>
      <c r="B144" s="56">
        <f>EDATE(Budget!$B$28,A144-1)</f>
        <v>50618</v>
      </c>
      <c r="C144" s="57">
        <f>Budget!$B$7</f>
        <v>2900</v>
      </c>
      <c r="D144" s="57">
        <f>Budget!$B$18+Budget!$B$25</f>
        <v>1725</v>
      </c>
      <c r="E144" s="57">
        <f>Calcul!AX142</f>
        <v>0</v>
      </c>
      <c r="F144" s="58">
        <f t="shared" si="0"/>
        <v>1175</v>
      </c>
      <c r="G144" s="59">
        <f>IF(B144&lt;=Budget!$B$30,MAX(0,MIN(F144,Budget!$B$29-H143)),0)</f>
        <v>0</v>
      </c>
      <c r="H144" s="60">
        <f t="shared" si="5"/>
        <v>3511.3</v>
      </c>
      <c r="I144" s="61">
        <f>MAX(0,MIN(F144-G144,Budget!$B$32-J143))</f>
        <v>0</v>
      </c>
      <c r="J144" s="62">
        <f t="shared" si="6"/>
        <v>4000</v>
      </c>
      <c r="K144" s="63">
        <f t="shared" si="1"/>
        <v>1175</v>
      </c>
      <c r="L144" s="63">
        <f>K144*Budget!$B$36</f>
        <v>705</v>
      </c>
      <c r="M144" s="63">
        <f>MAX(0,L144-Calcul!AY142)</f>
        <v>705</v>
      </c>
      <c r="N144" s="63">
        <f t="shared" si="2"/>
        <v>1175</v>
      </c>
      <c r="O144" s="64">
        <f t="shared" si="7"/>
        <v>140802.130164</v>
      </c>
      <c r="P144" s="65">
        <f>Calcul!AZ142</f>
        <v>0</v>
      </c>
      <c r="Q144" s="66" t="str">
        <f t="shared" si="3"/>
        <v/>
      </c>
      <c r="R144" s="67">
        <f>IF(H144&gt;=Budget!$B$29,1,0)</f>
        <v>0</v>
      </c>
      <c r="S144" s="67">
        <f>IF(J144&gt;=Budget!$B$32,1,0)</f>
        <v>1</v>
      </c>
      <c r="T144" s="67">
        <f t="shared" si="4"/>
        <v>1</v>
      </c>
      <c r="U144" s="4"/>
      <c r="V144" s="4"/>
      <c r="AA144" s="68">
        <f>Budget!$B$29</f>
        <v>4000</v>
      </c>
      <c r="AB144" s="68">
        <f>Budget!$B$32</f>
        <v>4000</v>
      </c>
    </row>
    <row r="145" spans="1:28" ht="15" customHeight="1" x14ac:dyDescent="0.25">
      <c r="A145" s="55">
        <v>141</v>
      </c>
      <c r="B145" s="56">
        <f>EDATE(Budget!$B$28,A145-1)</f>
        <v>50649</v>
      </c>
      <c r="C145" s="57">
        <f>Budget!$B$7</f>
        <v>2900</v>
      </c>
      <c r="D145" s="57">
        <f>Budget!$B$18+Budget!$B$25</f>
        <v>1725</v>
      </c>
      <c r="E145" s="57">
        <f>Calcul!AX143</f>
        <v>0</v>
      </c>
      <c r="F145" s="58">
        <f t="shared" si="0"/>
        <v>1175</v>
      </c>
      <c r="G145" s="59">
        <f>IF(B145&lt;=Budget!$B$30,MAX(0,MIN(F145,Budget!$B$29-H144)),0)</f>
        <v>0</v>
      </c>
      <c r="H145" s="60">
        <f t="shared" si="5"/>
        <v>3511.3</v>
      </c>
      <c r="I145" s="61">
        <f>MAX(0,MIN(F145-G145,Budget!$B$32-J144))</f>
        <v>0</v>
      </c>
      <c r="J145" s="62">
        <f t="shared" si="6"/>
        <v>4000</v>
      </c>
      <c r="K145" s="63">
        <f t="shared" si="1"/>
        <v>1175</v>
      </c>
      <c r="L145" s="63">
        <f>K145*Budget!$B$36</f>
        <v>705</v>
      </c>
      <c r="M145" s="63">
        <f>MAX(0,L145-Calcul!AY143)</f>
        <v>705</v>
      </c>
      <c r="N145" s="63">
        <f t="shared" si="2"/>
        <v>1175</v>
      </c>
      <c r="O145" s="64">
        <f t="shared" si="7"/>
        <v>141977.130164</v>
      </c>
      <c r="P145" s="65">
        <f>Calcul!AZ143</f>
        <v>0</v>
      </c>
      <c r="Q145" s="66" t="str">
        <f t="shared" si="3"/>
        <v/>
      </c>
      <c r="R145" s="67">
        <f>IF(H145&gt;=Budget!$B$29,1,0)</f>
        <v>0</v>
      </c>
      <c r="S145" s="67">
        <f>IF(J145&gt;=Budget!$B$32,1,0)</f>
        <v>1</v>
      </c>
      <c r="T145" s="67">
        <f t="shared" si="4"/>
        <v>1</v>
      </c>
      <c r="U145" s="4"/>
      <c r="V145" s="4"/>
      <c r="AA145" s="68">
        <f>Budget!$B$29</f>
        <v>4000</v>
      </c>
      <c r="AB145" s="68">
        <f>Budget!$B$32</f>
        <v>4000</v>
      </c>
    </row>
    <row r="146" spans="1:28" ht="15" customHeight="1" x14ac:dyDescent="0.25">
      <c r="A146" s="55">
        <v>142</v>
      </c>
      <c r="B146" s="56">
        <f>EDATE(Budget!$B$28,A146-1)</f>
        <v>50679</v>
      </c>
      <c r="C146" s="57">
        <f>Budget!$B$7</f>
        <v>2900</v>
      </c>
      <c r="D146" s="57">
        <f>Budget!$B$18+Budget!$B$25</f>
        <v>1725</v>
      </c>
      <c r="E146" s="57">
        <f>Calcul!AX144</f>
        <v>0</v>
      </c>
      <c r="F146" s="58">
        <f t="shared" si="0"/>
        <v>1175</v>
      </c>
      <c r="G146" s="59">
        <f>IF(B146&lt;=Budget!$B$30,MAX(0,MIN(F146,Budget!$B$29-H145)),0)</f>
        <v>0</v>
      </c>
      <c r="H146" s="60">
        <f t="shared" si="5"/>
        <v>3511.3</v>
      </c>
      <c r="I146" s="61">
        <f>MAX(0,MIN(F146-G146,Budget!$B$32-J145))</f>
        <v>0</v>
      </c>
      <c r="J146" s="62">
        <f t="shared" si="6"/>
        <v>4000</v>
      </c>
      <c r="K146" s="63">
        <f t="shared" si="1"/>
        <v>1175</v>
      </c>
      <c r="L146" s="63">
        <f>K146*Budget!$B$36</f>
        <v>705</v>
      </c>
      <c r="M146" s="63">
        <f>MAX(0,L146-Calcul!AY144)</f>
        <v>705</v>
      </c>
      <c r="N146" s="63">
        <f t="shared" si="2"/>
        <v>1175</v>
      </c>
      <c r="O146" s="64">
        <f t="shared" si="7"/>
        <v>143152.130164</v>
      </c>
      <c r="P146" s="65">
        <f>Calcul!AZ144</f>
        <v>0</v>
      </c>
      <c r="Q146" s="66" t="str">
        <f t="shared" si="3"/>
        <v/>
      </c>
      <c r="R146" s="67">
        <f>IF(H146&gt;=Budget!$B$29,1,0)</f>
        <v>0</v>
      </c>
      <c r="S146" s="67">
        <f>IF(J146&gt;=Budget!$B$32,1,0)</f>
        <v>1</v>
      </c>
      <c r="T146" s="67">
        <f t="shared" si="4"/>
        <v>1</v>
      </c>
      <c r="U146" s="4"/>
      <c r="V146" s="4"/>
      <c r="AA146" s="68">
        <f>Budget!$B$29</f>
        <v>4000</v>
      </c>
      <c r="AB146" s="68">
        <f>Budget!$B$32</f>
        <v>4000</v>
      </c>
    </row>
    <row r="147" spans="1:28" ht="15" customHeight="1" x14ac:dyDescent="0.25">
      <c r="A147" s="55">
        <v>143</v>
      </c>
      <c r="B147" s="56">
        <f>EDATE(Budget!$B$28,A147-1)</f>
        <v>50710</v>
      </c>
      <c r="C147" s="57">
        <f>Budget!$B$7</f>
        <v>2900</v>
      </c>
      <c r="D147" s="57">
        <f>Budget!$B$18+Budget!$B$25</f>
        <v>1725</v>
      </c>
      <c r="E147" s="57">
        <f>Calcul!AX145</f>
        <v>0</v>
      </c>
      <c r="F147" s="58">
        <f t="shared" si="0"/>
        <v>1175</v>
      </c>
      <c r="G147" s="59">
        <f>IF(B147&lt;=Budget!$B$30,MAX(0,MIN(F147,Budget!$B$29-H146)),0)</f>
        <v>0</v>
      </c>
      <c r="H147" s="60">
        <f t="shared" si="5"/>
        <v>3511.3</v>
      </c>
      <c r="I147" s="61">
        <f>MAX(0,MIN(F147-G147,Budget!$B$32-J146))</f>
        <v>0</v>
      </c>
      <c r="J147" s="62">
        <f t="shared" si="6"/>
        <v>4000</v>
      </c>
      <c r="K147" s="63">
        <f t="shared" si="1"/>
        <v>1175</v>
      </c>
      <c r="L147" s="63">
        <f>K147*Budget!$B$36</f>
        <v>705</v>
      </c>
      <c r="M147" s="63">
        <f>MAX(0,L147-Calcul!AY145)</f>
        <v>705</v>
      </c>
      <c r="N147" s="63">
        <f t="shared" si="2"/>
        <v>1175</v>
      </c>
      <c r="O147" s="64">
        <f t="shared" si="7"/>
        <v>144327.130164</v>
      </c>
      <c r="P147" s="65">
        <f>Calcul!AZ145</f>
        <v>0</v>
      </c>
      <c r="Q147" s="66" t="str">
        <f t="shared" si="3"/>
        <v/>
      </c>
      <c r="R147" s="67">
        <f>IF(H147&gt;=Budget!$B$29,1,0)</f>
        <v>0</v>
      </c>
      <c r="S147" s="67">
        <f>IF(J147&gt;=Budget!$B$32,1,0)</f>
        <v>1</v>
      </c>
      <c r="T147" s="67">
        <f t="shared" si="4"/>
        <v>1</v>
      </c>
      <c r="U147" s="4"/>
      <c r="V147" s="4"/>
      <c r="AA147" s="68">
        <f>Budget!$B$29</f>
        <v>4000</v>
      </c>
      <c r="AB147" s="68">
        <f>Budget!$B$32</f>
        <v>4000</v>
      </c>
    </row>
    <row r="148" spans="1:28" ht="15" customHeight="1" x14ac:dyDescent="0.25">
      <c r="A148" s="55">
        <v>144</v>
      </c>
      <c r="B148" s="56">
        <f>EDATE(Budget!$B$28,A148-1)</f>
        <v>50740</v>
      </c>
      <c r="C148" s="57">
        <f>Budget!$B$7</f>
        <v>2900</v>
      </c>
      <c r="D148" s="57">
        <f>Budget!$B$18+Budget!$B$25</f>
        <v>1725</v>
      </c>
      <c r="E148" s="57">
        <f>Calcul!AX146</f>
        <v>0</v>
      </c>
      <c r="F148" s="58">
        <f t="shared" si="0"/>
        <v>1175</v>
      </c>
      <c r="G148" s="59">
        <f>IF(B148&lt;=Budget!$B$30,MAX(0,MIN(F148,Budget!$B$29-H147)),0)</f>
        <v>0</v>
      </c>
      <c r="H148" s="60">
        <f t="shared" si="5"/>
        <v>3511.3</v>
      </c>
      <c r="I148" s="61">
        <f>MAX(0,MIN(F148-G148,Budget!$B$32-J147))</f>
        <v>0</v>
      </c>
      <c r="J148" s="62">
        <f t="shared" si="6"/>
        <v>4000</v>
      </c>
      <c r="K148" s="63">
        <f t="shared" si="1"/>
        <v>1175</v>
      </c>
      <c r="L148" s="63">
        <f>K148*Budget!$B$36</f>
        <v>705</v>
      </c>
      <c r="M148" s="63">
        <f>MAX(0,L148-Calcul!AY146)</f>
        <v>705</v>
      </c>
      <c r="N148" s="63">
        <f t="shared" si="2"/>
        <v>1175</v>
      </c>
      <c r="O148" s="64">
        <f t="shared" si="7"/>
        <v>145502.130164</v>
      </c>
      <c r="P148" s="65">
        <f>Calcul!AZ146</f>
        <v>0</v>
      </c>
      <c r="Q148" s="66" t="str">
        <f t="shared" si="3"/>
        <v/>
      </c>
      <c r="R148" s="67">
        <f>IF(H148&gt;=Budget!$B$29,1,0)</f>
        <v>0</v>
      </c>
      <c r="S148" s="67">
        <f>IF(J148&gt;=Budget!$B$32,1,0)</f>
        <v>1</v>
      </c>
      <c r="T148" s="67">
        <f t="shared" si="4"/>
        <v>1</v>
      </c>
      <c r="U148" s="4"/>
      <c r="V148" s="4"/>
      <c r="AA148" s="68">
        <f>Budget!$B$29</f>
        <v>4000</v>
      </c>
      <c r="AB148" s="68">
        <f>Budget!$B$32</f>
        <v>4000</v>
      </c>
    </row>
    <row r="149" spans="1:28" ht="15" customHeight="1" x14ac:dyDescent="0.25">
      <c r="A149" s="55">
        <v>145</v>
      </c>
      <c r="B149" s="56">
        <f>EDATE(Budget!$B$28,A149-1)</f>
        <v>50771</v>
      </c>
      <c r="C149" s="57">
        <f>Budget!$B$7</f>
        <v>2900</v>
      </c>
      <c r="D149" s="57">
        <f>Budget!$B$18+Budget!$B$25</f>
        <v>1725</v>
      </c>
      <c r="E149" s="57">
        <f>Calcul!AX147</f>
        <v>0</v>
      </c>
      <c r="F149" s="58">
        <f t="shared" si="0"/>
        <v>1175</v>
      </c>
      <c r="G149" s="59">
        <f>IF(B149&lt;=Budget!$B$30,MAX(0,MIN(F149,Budget!$B$29-H148)),0)</f>
        <v>0</v>
      </c>
      <c r="H149" s="60">
        <f t="shared" si="5"/>
        <v>3511.3</v>
      </c>
      <c r="I149" s="61">
        <f>MAX(0,MIN(F149-G149,Budget!$B$32-J148))</f>
        <v>0</v>
      </c>
      <c r="J149" s="62">
        <f t="shared" si="6"/>
        <v>4000</v>
      </c>
      <c r="K149" s="63">
        <f t="shared" si="1"/>
        <v>1175</v>
      </c>
      <c r="L149" s="63">
        <f>K149*Budget!$B$36</f>
        <v>705</v>
      </c>
      <c r="M149" s="63">
        <f>MAX(0,L149-Calcul!AY147)</f>
        <v>705</v>
      </c>
      <c r="N149" s="63">
        <f t="shared" si="2"/>
        <v>1175</v>
      </c>
      <c r="O149" s="64">
        <f t="shared" si="7"/>
        <v>146677.130164</v>
      </c>
      <c r="P149" s="65">
        <f>Calcul!AZ147</f>
        <v>0</v>
      </c>
      <c r="Q149" s="66" t="str">
        <f t="shared" si="3"/>
        <v/>
      </c>
      <c r="R149" s="67">
        <f>IF(H149&gt;=Budget!$B$29,1,0)</f>
        <v>0</v>
      </c>
      <c r="S149" s="67">
        <f>IF(J149&gt;=Budget!$B$32,1,0)</f>
        <v>1</v>
      </c>
      <c r="T149" s="67">
        <f t="shared" si="4"/>
        <v>1</v>
      </c>
      <c r="U149" s="4"/>
      <c r="V149" s="4"/>
      <c r="AA149" s="68">
        <f>Budget!$B$29</f>
        <v>4000</v>
      </c>
      <c r="AB149" s="68">
        <f>Budget!$B$32</f>
        <v>4000</v>
      </c>
    </row>
    <row r="150" spans="1:28" ht="15" customHeight="1" x14ac:dyDescent="0.25">
      <c r="A150" s="55">
        <v>146</v>
      </c>
      <c r="B150" s="56">
        <f>EDATE(Budget!$B$28,A150-1)</f>
        <v>50802</v>
      </c>
      <c r="C150" s="57">
        <f>Budget!$B$7</f>
        <v>2900</v>
      </c>
      <c r="D150" s="57">
        <f>Budget!$B$18+Budget!$B$25</f>
        <v>1725</v>
      </c>
      <c r="E150" s="57">
        <f>Calcul!AX148</f>
        <v>0</v>
      </c>
      <c r="F150" s="58">
        <f t="shared" si="0"/>
        <v>1175</v>
      </c>
      <c r="G150" s="59">
        <f>IF(B150&lt;=Budget!$B$30,MAX(0,MIN(F150,Budget!$B$29-H149)),0)</f>
        <v>0</v>
      </c>
      <c r="H150" s="60">
        <f t="shared" si="5"/>
        <v>3511.3</v>
      </c>
      <c r="I150" s="61">
        <f>MAX(0,MIN(F150-G150,Budget!$B$32-J149))</f>
        <v>0</v>
      </c>
      <c r="J150" s="62">
        <f t="shared" si="6"/>
        <v>4000</v>
      </c>
      <c r="K150" s="63">
        <f t="shared" si="1"/>
        <v>1175</v>
      </c>
      <c r="L150" s="63">
        <f>K150*Budget!$B$36</f>
        <v>705</v>
      </c>
      <c r="M150" s="63">
        <f>MAX(0,L150-Calcul!AY148)</f>
        <v>705</v>
      </c>
      <c r="N150" s="63">
        <f t="shared" si="2"/>
        <v>1175</v>
      </c>
      <c r="O150" s="64">
        <f t="shared" si="7"/>
        <v>147852.130164</v>
      </c>
      <c r="P150" s="65">
        <f>Calcul!AZ148</f>
        <v>0</v>
      </c>
      <c r="Q150" s="66" t="str">
        <f t="shared" si="3"/>
        <v/>
      </c>
      <c r="R150" s="67">
        <f>IF(H150&gt;=Budget!$B$29,1,0)</f>
        <v>0</v>
      </c>
      <c r="S150" s="67">
        <f>IF(J150&gt;=Budget!$B$32,1,0)</f>
        <v>1</v>
      </c>
      <c r="T150" s="67">
        <f t="shared" si="4"/>
        <v>1</v>
      </c>
      <c r="U150" s="4"/>
      <c r="V150" s="4"/>
      <c r="AA150" s="68">
        <f>Budget!$B$29</f>
        <v>4000</v>
      </c>
      <c r="AB150" s="68">
        <f>Budget!$B$32</f>
        <v>4000</v>
      </c>
    </row>
    <row r="151" spans="1:28" ht="15" customHeight="1" x14ac:dyDescent="0.25">
      <c r="A151" s="55">
        <v>147</v>
      </c>
      <c r="B151" s="56">
        <f>EDATE(Budget!$B$28,A151-1)</f>
        <v>50830</v>
      </c>
      <c r="C151" s="57">
        <f>Budget!$B$7</f>
        <v>2900</v>
      </c>
      <c r="D151" s="57">
        <f>Budget!$B$18+Budget!$B$25</f>
        <v>1725</v>
      </c>
      <c r="E151" s="57">
        <f>Calcul!AX149</f>
        <v>0</v>
      </c>
      <c r="F151" s="58">
        <f t="shared" si="0"/>
        <v>1175</v>
      </c>
      <c r="G151" s="59">
        <f>IF(B151&lt;=Budget!$B$30,MAX(0,MIN(F151,Budget!$B$29-H150)),0)</f>
        <v>0</v>
      </c>
      <c r="H151" s="60">
        <f t="shared" si="5"/>
        <v>3511.3</v>
      </c>
      <c r="I151" s="61">
        <f>MAX(0,MIN(F151-G151,Budget!$B$32-J150))</f>
        <v>0</v>
      </c>
      <c r="J151" s="62">
        <f t="shared" si="6"/>
        <v>4000</v>
      </c>
      <c r="K151" s="63">
        <f t="shared" si="1"/>
        <v>1175</v>
      </c>
      <c r="L151" s="63">
        <f>K151*Budget!$B$36</f>
        <v>705</v>
      </c>
      <c r="M151" s="63">
        <f>MAX(0,L151-Calcul!AY149)</f>
        <v>705</v>
      </c>
      <c r="N151" s="63">
        <f t="shared" si="2"/>
        <v>1175</v>
      </c>
      <c r="O151" s="64">
        <f t="shared" si="7"/>
        <v>149027.130164</v>
      </c>
      <c r="P151" s="65">
        <f>Calcul!AZ149</f>
        <v>0</v>
      </c>
      <c r="Q151" s="66" t="str">
        <f t="shared" si="3"/>
        <v/>
      </c>
      <c r="R151" s="67">
        <f>IF(H151&gt;=Budget!$B$29,1,0)</f>
        <v>0</v>
      </c>
      <c r="S151" s="67">
        <f>IF(J151&gt;=Budget!$B$32,1,0)</f>
        <v>1</v>
      </c>
      <c r="T151" s="67">
        <f t="shared" si="4"/>
        <v>1</v>
      </c>
      <c r="U151" s="4"/>
      <c r="V151" s="4"/>
      <c r="AA151" s="68">
        <f>Budget!$B$29</f>
        <v>4000</v>
      </c>
      <c r="AB151" s="68">
        <f>Budget!$B$32</f>
        <v>4000</v>
      </c>
    </row>
    <row r="152" spans="1:28" ht="15" customHeight="1" x14ac:dyDescent="0.25">
      <c r="A152" s="55">
        <v>148</v>
      </c>
      <c r="B152" s="56">
        <f>EDATE(Budget!$B$28,A152-1)</f>
        <v>50861</v>
      </c>
      <c r="C152" s="57">
        <f>Budget!$B$7</f>
        <v>2900</v>
      </c>
      <c r="D152" s="57">
        <f>Budget!$B$18+Budget!$B$25</f>
        <v>1725</v>
      </c>
      <c r="E152" s="57">
        <f>Calcul!AX150</f>
        <v>0</v>
      </c>
      <c r="F152" s="58">
        <f t="shared" si="0"/>
        <v>1175</v>
      </c>
      <c r="G152" s="59">
        <f>IF(B152&lt;=Budget!$B$30,MAX(0,MIN(F152,Budget!$B$29-H151)),0)</f>
        <v>0</v>
      </c>
      <c r="H152" s="60">
        <f t="shared" si="5"/>
        <v>3511.3</v>
      </c>
      <c r="I152" s="61">
        <f>MAX(0,MIN(F152-G152,Budget!$B$32-J151))</f>
        <v>0</v>
      </c>
      <c r="J152" s="62">
        <f t="shared" si="6"/>
        <v>4000</v>
      </c>
      <c r="K152" s="63">
        <f t="shared" si="1"/>
        <v>1175</v>
      </c>
      <c r="L152" s="63">
        <f>K152*Budget!$B$36</f>
        <v>705</v>
      </c>
      <c r="M152" s="63">
        <f>MAX(0,L152-Calcul!AY150)</f>
        <v>705</v>
      </c>
      <c r="N152" s="63">
        <f t="shared" si="2"/>
        <v>1175</v>
      </c>
      <c r="O152" s="64">
        <f t="shared" si="7"/>
        <v>150202.130164</v>
      </c>
      <c r="P152" s="65">
        <f>Calcul!AZ150</f>
        <v>0</v>
      </c>
      <c r="Q152" s="66" t="str">
        <f t="shared" si="3"/>
        <v/>
      </c>
      <c r="R152" s="67">
        <f>IF(H152&gt;=Budget!$B$29,1,0)</f>
        <v>0</v>
      </c>
      <c r="S152" s="67">
        <f>IF(J152&gt;=Budget!$B$32,1,0)</f>
        <v>1</v>
      </c>
      <c r="T152" s="67">
        <f t="shared" si="4"/>
        <v>1</v>
      </c>
      <c r="U152" s="4"/>
      <c r="V152" s="4"/>
      <c r="AA152" s="68">
        <f>Budget!$B$29</f>
        <v>4000</v>
      </c>
      <c r="AB152" s="68">
        <f>Budget!$B$32</f>
        <v>4000</v>
      </c>
    </row>
    <row r="153" spans="1:28" ht="15" customHeight="1" x14ac:dyDescent="0.25">
      <c r="A153" s="55">
        <v>149</v>
      </c>
      <c r="B153" s="56">
        <f>EDATE(Budget!$B$28,A153-1)</f>
        <v>50891</v>
      </c>
      <c r="C153" s="57">
        <f>Budget!$B$7</f>
        <v>2900</v>
      </c>
      <c r="D153" s="57">
        <f>Budget!$B$18+Budget!$B$25</f>
        <v>1725</v>
      </c>
      <c r="E153" s="57">
        <f>Calcul!AX151</f>
        <v>0</v>
      </c>
      <c r="F153" s="58">
        <f t="shared" si="0"/>
        <v>1175</v>
      </c>
      <c r="G153" s="59">
        <f>IF(B153&lt;=Budget!$B$30,MAX(0,MIN(F153,Budget!$B$29-H152)),0)</f>
        <v>0</v>
      </c>
      <c r="H153" s="60">
        <f t="shared" si="5"/>
        <v>3511.3</v>
      </c>
      <c r="I153" s="61">
        <f>MAX(0,MIN(F153-G153,Budget!$B$32-J152))</f>
        <v>0</v>
      </c>
      <c r="J153" s="62">
        <f t="shared" si="6"/>
        <v>4000</v>
      </c>
      <c r="K153" s="63">
        <f t="shared" si="1"/>
        <v>1175</v>
      </c>
      <c r="L153" s="63">
        <f>K153*Budget!$B$36</f>
        <v>705</v>
      </c>
      <c r="M153" s="63">
        <f>MAX(0,L153-Calcul!AY151)</f>
        <v>705</v>
      </c>
      <c r="N153" s="63">
        <f t="shared" si="2"/>
        <v>1175</v>
      </c>
      <c r="O153" s="64">
        <f t="shared" si="7"/>
        <v>151377.130164</v>
      </c>
      <c r="P153" s="65">
        <f>Calcul!AZ151</f>
        <v>0</v>
      </c>
      <c r="Q153" s="66" t="str">
        <f t="shared" si="3"/>
        <v/>
      </c>
      <c r="R153" s="67">
        <f>IF(H153&gt;=Budget!$B$29,1,0)</f>
        <v>0</v>
      </c>
      <c r="S153" s="67">
        <f>IF(J153&gt;=Budget!$B$32,1,0)</f>
        <v>1</v>
      </c>
      <c r="T153" s="67">
        <f t="shared" si="4"/>
        <v>1</v>
      </c>
      <c r="U153" s="4"/>
      <c r="V153" s="4"/>
      <c r="AA153" s="68">
        <f>Budget!$B$29</f>
        <v>4000</v>
      </c>
      <c r="AB153" s="68">
        <f>Budget!$B$32</f>
        <v>4000</v>
      </c>
    </row>
    <row r="154" spans="1:28" ht="15" customHeight="1" x14ac:dyDescent="0.25">
      <c r="A154" s="55">
        <v>150</v>
      </c>
      <c r="B154" s="56">
        <f>EDATE(Budget!$B$28,A154-1)</f>
        <v>50922</v>
      </c>
      <c r="C154" s="57">
        <f>Budget!$B$7</f>
        <v>2900</v>
      </c>
      <c r="D154" s="57">
        <f>Budget!$B$18+Budget!$B$25</f>
        <v>1725</v>
      </c>
      <c r="E154" s="57">
        <f>Calcul!AX152</f>
        <v>0</v>
      </c>
      <c r="F154" s="58">
        <f t="shared" si="0"/>
        <v>1175</v>
      </c>
      <c r="G154" s="59">
        <f>IF(B154&lt;=Budget!$B$30,MAX(0,MIN(F154,Budget!$B$29-H153)),0)</f>
        <v>0</v>
      </c>
      <c r="H154" s="60">
        <f t="shared" si="5"/>
        <v>3511.3</v>
      </c>
      <c r="I154" s="61">
        <f>MAX(0,MIN(F154-G154,Budget!$B$32-J153))</f>
        <v>0</v>
      </c>
      <c r="J154" s="62">
        <f t="shared" si="6"/>
        <v>4000</v>
      </c>
      <c r="K154" s="63">
        <f t="shared" si="1"/>
        <v>1175</v>
      </c>
      <c r="L154" s="63">
        <f>K154*Budget!$B$36</f>
        <v>705</v>
      </c>
      <c r="M154" s="63">
        <f>MAX(0,L154-Calcul!AY152)</f>
        <v>705</v>
      </c>
      <c r="N154" s="63">
        <f t="shared" si="2"/>
        <v>1175</v>
      </c>
      <c r="O154" s="64">
        <f t="shared" si="7"/>
        <v>152552.130164</v>
      </c>
      <c r="P154" s="65">
        <f>Calcul!AZ152</f>
        <v>0</v>
      </c>
      <c r="Q154" s="66" t="str">
        <f t="shared" si="3"/>
        <v/>
      </c>
      <c r="R154" s="67">
        <f>IF(H154&gt;=Budget!$B$29,1,0)</f>
        <v>0</v>
      </c>
      <c r="S154" s="67">
        <f>IF(J154&gt;=Budget!$B$32,1,0)</f>
        <v>1</v>
      </c>
      <c r="T154" s="67">
        <f t="shared" si="4"/>
        <v>1</v>
      </c>
      <c r="U154" s="4"/>
      <c r="V154" s="4"/>
      <c r="AA154" s="68">
        <f>Budget!$B$29</f>
        <v>4000</v>
      </c>
      <c r="AB154" s="68">
        <f>Budget!$B$32</f>
        <v>4000</v>
      </c>
    </row>
    <row r="155" spans="1:28" ht="15" customHeight="1" x14ac:dyDescent="0.25">
      <c r="A155" s="55">
        <v>151</v>
      </c>
      <c r="B155" s="56">
        <f>EDATE(Budget!$B$28,A155-1)</f>
        <v>50952</v>
      </c>
      <c r="C155" s="57">
        <f>Budget!$B$7</f>
        <v>2900</v>
      </c>
      <c r="D155" s="57">
        <f>Budget!$B$18+Budget!$B$25</f>
        <v>1725</v>
      </c>
      <c r="E155" s="57">
        <f>Calcul!AX153</f>
        <v>0</v>
      </c>
      <c r="F155" s="58">
        <f t="shared" si="0"/>
        <v>1175</v>
      </c>
      <c r="G155" s="59">
        <f>IF(B155&lt;=Budget!$B$30,MAX(0,MIN(F155,Budget!$B$29-H154)),0)</f>
        <v>0</v>
      </c>
      <c r="H155" s="60">
        <f t="shared" si="5"/>
        <v>3511.3</v>
      </c>
      <c r="I155" s="61">
        <f>MAX(0,MIN(F155-G155,Budget!$B$32-J154))</f>
        <v>0</v>
      </c>
      <c r="J155" s="62">
        <f t="shared" si="6"/>
        <v>4000</v>
      </c>
      <c r="K155" s="63">
        <f t="shared" si="1"/>
        <v>1175</v>
      </c>
      <c r="L155" s="63">
        <f>K155*Budget!$B$36</f>
        <v>705</v>
      </c>
      <c r="M155" s="63">
        <f>MAX(0,L155-Calcul!AY153)</f>
        <v>705</v>
      </c>
      <c r="N155" s="63">
        <f t="shared" si="2"/>
        <v>1175</v>
      </c>
      <c r="O155" s="64">
        <f t="shared" si="7"/>
        <v>153727.130164</v>
      </c>
      <c r="P155" s="65">
        <f>Calcul!AZ153</f>
        <v>0</v>
      </c>
      <c r="Q155" s="66" t="str">
        <f t="shared" si="3"/>
        <v/>
      </c>
      <c r="R155" s="67">
        <f>IF(H155&gt;=Budget!$B$29,1,0)</f>
        <v>0</v>
      </c>
      <c r="S155" s="67">
        <f>IF(J155&gt;=Budget!$B$32,1,0)</f>
        <v>1</v>
      </c>
      <c r="T155" s="67">
        <f t="shared" si="4"/>
        <v>1</v>
      </c>
      <c r="U155" s="4"/>
      <c r="V155" s="4"/>
      <c r="AA155" s="68">
        <f>Budget!$B$29</f>
        <v>4000</v>
      </c>
      <c r="AB155" s="68">
        <f>Budget!$B$32</f>
        <v>4000</v>
      </c>
    </row>
    <row r="156" spans="1:28" ht="15" customHeight="1" x14ac:dyDescent="0.25">
      <c r="A156" s="55">
        <v>152</v>
      </c>
      <c r="B156" s="56">
        <f>EDATE(Budget!$B$28,A156-1)</f>
        <v>50983</v>
      </c>
      <c r="C156" s="57">
        <f>Budget!$B$7</f>
        <v>2900</v>
      </c>
      <c r="D156" s="57">
        <f>Budget!$B$18+Budget!$B$25</f>
        <v>1725</v>
      </c>
      <c r="E156" s="57">
        <f>Calcul!AX154</f>
        <v>0</v>
      </c>
      <c r="F156" s="58">
        <f t="shared" si="0"/>
        <v>1175</v>
      </c>
      <c r="G156" s="59">
        <f>IF(B156&lt;=Budget!$B$30,MAX(0,MIN(F156,Budget!$B$29-H155)),0)</f>
        <v>0</v>
      </c>
      <c r="H156" s="60">
        <f t="shared" si="5"/>
        <v>3511.3</v>
      </c>
      <c r="I156" s="61">
        <f>MAX(0,MIN(F156-G156,Budget!$B$32-J155))</f>
        <v>0</v>
      </c>
      <c r="J156" s="62">
        <f t="shared" si="6"/>
        <v>4000</v>
      </c>
      <c r="K156" s="63">
        <f t="shared" si="1"/>
        <v>1175</v>
      </c>
      <c r="L156" s="63">
        <f>K156*Budget!$B$36</f>
        <v>705</v>
      </c>
      <c r="M156" s="63">
        <f>MAX(0,L156-Calcul!AY154)</f>
        <v>705</v>
      </c>
      <c r="N156" s="63">
        <f t="shared" si="2"/>
        <v>1175</v>
      </c>
      <c r="O156" s="64">
        <f t="shared" si="7"/>
        <v>154902.130164</v>
      </c>
      <c r="P156" s="65">
        <f>Calcul!AZ154</f>
        <v>0</v>
      </c>
      <c r="Q156" s="66" t="str">
        <f t="shared" si="3"/>
        <v/>
      </c>
      <c r="R156" s="67">
        <f>IF(H156&gt;=Budget!$B$29,1,0)</f>
        <v>0</v>
      </c>
      <c r="S156" s="67">
        <f>IF(J156&gt;=Budget!$B$32,1,0)</f>
        <v>1</v>
      </c>
      <c r="T156" s="67">
        <f t="shared" si="4"/>
        <v>1</v>
      </c>
      <c r="U156" s="4"/>
      <c r="V156" s="4"/>
      <c r="AA156" s="68">
        <f>Budget!$B$29</f>
        <v>4000</v>
      </c>
      <c r="AB156" s="68">
        <f>Budget!$B$32</f>
        <v>4000</v>
      </c>
    </row>
    <row r="157" spans="1:28" ht="15" customHeight="1" x14ac:dyDescent="0.25">
      <c r="A157" s="55">
        <v>153</v>
      </c>
      <c r="B157" s="56">
        <f>EDATE(Budget!$B$28,A157-1)</f>
        <v>51014</v>
      </c>
      <c r="C157" s="57">
        <f>Budget!$B$7</f>
        <v>2900</v>
      </c>
      <c r="D157" s="57">
        <f>Budget!$B$18+Budget!$B$25</f>
        <v>1725</v>
      </c>
      <c r="E157" s="57">
        <f>Calcul!AX155</f>
        <v>0</v>
      </c>
      <c r="F157" s="58">
        <f t="shared" si="0"/>
        <v>1175</v>
      </c>
      <c r="G157" s="59">
        <f>IF(B157&lt;=Budget!$B$30,MAX(0,MIN(F157,Budget!$B$29-H156)),0)</f>
        <v>0</v>
      </c>
      <c r="H157" s="60">
        <f t="shared" si="5"/>
        <v>3511.3</v>
      </c>
      <c r="I157" s="61">
        <f>MAX(0,MIN(F157-G157,Budget!$B$32-J156))</f>
        <v>0</v>
      </c>
      <c r="J157" s="62">
        <f t="shared" si="6"/>
        <v>4000</v>
      </c>
      <c r="K157" s="63">
        <f t="shared" si="1"/>
        <v>1175</v>
      </c>
      <c r="L157" s="63">
        <f>K157*Budget!$B$36</f>
        <v>705</v>
      </c>
      <c r="M157" s="63">
        <f>MAX(0,L157-Calcul!AY155)</f>
        <v>705</v>
      </c>
      <c r="N157" s="63">
        <f t="shared" si="2"/>
        <v>1175</v>
      </c>
      <c r="O157" s="64">
        <f t="shared" si="7"/>
        <v>156077.130164</v>
      </c>
      <c r="P157" s="65">
        <f>Calcul!AZ155</f>
        <v>0</v>
      </c>
      <c r="Q157" s="66" t="str">
        <f t="shared" si="3"/>
        <v/>
      </c>
      <c r="R157" s="67">
        <f>IF(H157&gt;=Budget!$B$29,1,0)</f>
        <v>0</v>
      </c>
      <c r="S157" s="67">
        <f>IF(J157&gt;=Budget!$B$32,1,0)</f>
        <v>1</v>
      </c>
      <c r="T157" s="67">
        <f t="shared" si="4"/>
        <v>1</v>
      </c>
      <c r="U157" s="4"/>
      <c r="V157" s="4"/>
      <c r="AA157" s="68">
        <f>Budget!$B$29</f>
        <v>4000</v>
      </c>
      <c r="AB157" s="68">
        <f>Budget!$B$32</f>
        <v>4000</v>
      </c>
    </row>
    <row r="158" spans="1:28" ht="15" customHeight="1" x14ac:dyDescent="0.25">
      <c r="A158" s="55">
        <v>154</v>
      </c>
      <c r="B158" s="56">
        <f>EDATE(Budget!$B$28,A158-1)</f>
        <v>51044</v>
      </c>
      <c r="C158" s="57">
        <f>Budget!$B$7</f>
        <v>2900</v>
      </c>
      <c r="D158" s="57">
        <f>Budget!$B$18+Budget!$B$25</f>
        <v>1725</v>
      </c>
      <c r="E158" s="57">
        <f>Calcul!AX156</f>
        <v>0</v>
      </c>
      <c r="F158" s="58">
        <f t="shared" si="0"/>
        <v>1175</v>
      </c>
      <c r="G158" s="59">
        <f>IF(B158&lt;=Budget!$B$30,MAX(0,MIN(F158,Budget!$B$29-H157)),0)</f>
        <v>0</v>
      </c>
      <c r="H158" s="60">
        <f t="shared" si="5"/>
        <v>3511.3</v>
      </c>
      <c r="I158" s="61">
        <f>MAX(0,MIN(F158-G158,Budget!$B$32-J157))</f>
        <v>0</v>
      </c>
      <c r="J158" s="62">
        <f t="shared" si="6"/>
        <v>4000</v>
      </c>
      <c r="K158" s="63">
        <f t="shared" si="1"/>
        <v>1175</v>
      </c>
      <c r="L158" s="63">
        <f>K158*Budget!$B$36</f>
        <v>705</v>
      </c>
      <c r="M158" s="63">
        <f>MAX(0,L158-Calcul!AY156)</f>
        <v>705</v>
      </c>
      <c r="N158" s="63">
        <f t="shared" si="2"/>
        <v>1175</v>
      </c>
      <c r="O158" s="64">
        <f t="shared" si="7"/>
        <v>157252.130164</v>
      </c>
      <c r="P158" s="65">
        <f>Calcul!AZ156</f>
        <v>0</v>
      </c>
      <c r="Q158" s="66" t="str">
        <f t="shared" si="3"/>
        <v/>
      </c>
      <c r="R158" s="67">
        <f>IF(H158&gt;=Budget!$B$29,1,0)</f>
        <v>0</v>
      </c>
      <c r="S158" s="67">
        <f>IF(J158&gt;=Budget!$B$32,1,0)</f>
        <v>1</v>
      </c>
      <c r="T158" s="67">
        <f t="shared" si="4"/>
        <v>1</v>
      </c>
      <c r="U158" s="4"/>
      <c r="V158" s="4"/>
      <c r="AA158" s="68">
        <f>Budget!$B$29</f>
        <v>4000</v>
      </c>
      <c r="AB158" s="68">
        <f>Budget!$B$32</f>
        <v>4000</v>
      </c>
    </row>
    <row r="159" spans="1:28" ht="15" customHeight="1" x14ac:dyDescent="0.25">
      <c r="A159" s="55">
        <v>155</v>
      </c>
      <c r="B159" s="56">
        <f>EDATE(Budget!$B$28,A159-1)</f>
        <v>51075</v>
      </c>
      <c r="C159" s="57">
        <f>Budget!$B$7</f>
        <v>2900</v>
      </c>
      <c r="D159" s="57">
        <f>Budget!$B$18+Budget!$B$25</f>
        <v>1725</v>
      </c>
      <c r="E159" s="57">
        <f>Calcul!AX157</f>
        <v>0</v>
      </c>
      <c r="F159" s="58">
        <f t="shared" si="0"/>
        <v>1175</v>
      </c>
      <c r="G159" s="59">
        <f>IF(B159&lt;=Budget!$B$30,MAX(0,MIN(F159,Budget!$B$29-H158)),0)</f>
        <v>0</v>
      </c>
      <c r="H159" s="60">
        <f t="shared" si="5"/>
        <v>3511.3</v>
      </c>
      <c r="I159" s="61">
        <f>MAX(0,MIN(F159-G159,Budget!$B$32-J158))</f>
        <v>0</v>
      </c>
      <c r="J159" s="62">
        <f t="shared" si="6"/>
        <v>4000</v>
      </c>
      <c r="K159" s="63">
        <f t="shared" si="1"/>
        <v>1175</v>
      </c>
      <c r="L159" s="63">
        <f>K159*Budget!$B$36</f>
        <v>705</v>
      </c>
      <c r="M159" s="63">
        <f>MAX(0,L159-Calcul!AY157)</f>
        <v>705</v>
      </c>
      <c r="N159" s="63">
        <f t="shared" si="2"/>
        <v>1175</v>
      </c>
      <c r="O159" s="64">
        <f t="shared" si="7"/>
        <v>158427.130164</v>
      </c>
      <c r="P159" s="65">
        <f>Calcul!AZ157</f>
        <v>0</v>
      </c>
      <c r="Q159" s="66" t="str">
        <f t="shared" si="3"/>
        <v/>
      </c>
      <c r="R159" s="67">
        <f>IF(H159&gt;=Budget!$B$29,1,0)</f>
        <v>0</v>
      </c>
      <c r="S159" s="67">
        <f>IF(J159&gt;=Budget!$B$32,1,0)</f>
        <v>1</v>
      </c>
      <c r="T159" s="67">
        <f t="shared" si="4"/>
        <v>1</v>
      </c>
      <c r="U159" s="4"/>
      <c r="V159" s="4"/>
      <c r="AA159" s="68">
        <f>Budget!$B$29</f>
        <v>4000</v>
      </c>
      <c r="AB159" s="68">
        <f>Budget!$B$32</f>
        <v>4000</v>
      </c>
    </row>
    <row r="160" spans="1:28" ht="15" customHeight="1" x14ac:dyDescent="0.25">
      <c r="A160" s="55">
        <v>156</v>
      </c>
      <c r="B160" s="56">
        <f>EDATE(Budget!$B$28,A160-1)</f>
        <v>51105</v>
      </c>
      <c r="C160" s="57">
        <f>Budget!$B$7</f>
        <v>2900</v>
      </c>
      <c r="D160" s="57">
        <f>Budget!$B$18+Budget!$B$25</f>
        <v>1725</v>
      </c>
      <c r="E160" s="57">
        <f>Calcul!AX158</f>
        <v>0</v>
      </c>
      <c r="F160" s="58">
        <f t="shared" si="0"/>
        <v>1175</v>
      </c>
      <c r="G160" s="59">
        <f>IF(B160&lt;=Budget!$B$30,MAX(0,MIN(F160,Budget!$B$29-H159)),0)</f>
        <v>0</v>
      </c>
      <c r="H160" s="60">
        <f t="shared" si="5"/>
        <v>3511.3</v>
      </c>
      <c r="I160" s="61">
        <f>MAX(0,MIN(F160-G160,Budget!$B$32-J159))</f>
        <v>0</v>
      </c>
      <c r="J160" s="62">
        <f t="shared" si="6"/>
        <v>4000</v>
      </c>
      <c r="K160" s="63">
        <f t="shared" si="1"/>
        <v>1175</v>
      </c>
      <c r="L160" s="63">
        <f>K160*Budget!$B$36</f>
        <v>705</v>
      </c>
      <c r="M160" s="63">
        <f>MAX(0,L160-Calcul!AY158)</f>
        <v>705</v>
      </c>
      <c r="N160" s="63">
        <f t="shared" si="2"/>
        <v>1175</v>
      </c>
      <c r="O160" s="64">
        <f t="shared" si="7"/>
        <v>159602.130164</v>
      </c>
      <c r="P160" s="65">
        <f>Calcul!AZ158</f>
        <v>0</v>
      </c>
      <c r="Q160" s="66" t="str">
        <f t="shared" si="3"/>
        <v/>
      </c>
      <c r="R160" s="67">
        <f>IF(H160&gt;=Budget!$B$29,1,0)</f>
        <v>0</v>
      </c>
      <c r="S160" s="67">
        <f>IF(J160&gt;=Budget!$B$32,1,0)</f>
        <v>1</v>
      </c>
      <c r="T160" s="67">
        <f t="shared" si="4"/>
        <v>1</v>
      </c>
      <c r="U160" s="4"/>
      <c r="V160" s="4"/>
      <c r="AA160" s="68">
        <f>Budget!$B$29</f>
        <v>4000</v>
      </c>
      <c r="AB160" s="68">
        <f>Budget!$B$32</f>
        <v>4000</v>
      </c>
    </row>
    <row r="161" spans="1:28" ht="15" customHeight="1" x14ac:dyDescent="0.25">
      <c r="A161" s="55">
        <v>157</v>
      </c>
      <c r="B161" s="56">
        <f>EDATE(Budget!$B$28,A161-1)</f>
        <v>51136</v>
      </c>
      <c r="C161" s="57">
        <f>Budget!$B$7</f>
        <v>2900</v>
      </c>
      <c r="D161" s="57">
        <f>Budget!$B$18+Budget!$B$25</f>
        <v>1725</v>
      </c>
      <c r="E161" s="57">
        <f>Calcul!AX159</f>
        <v>0</v>
      </c>
      <c r="F161" s="58">
        <f t="shared" si="0"/>
        <v>1175</v>
      </c>
      <c r="G161" s="59">
        <f>IF(B161&lt;=Budget!$B$30,MAX(0,MIN(F161,Budget!$B$29-H160)),0)</f>
        <v>0</v>
      </c>
      <c r="H161" s="60">
        <f t="shared" si="5"/>
        <v>3511.3</v>
      </c>
      <c r="I161" s="61">
        <f>MAX(0,MIN(F161-G161,Budget!$B$32-J160))</f>
        <v>0</v>
      </c>
      <c r="J161" s="62">
        <f t="shared" si="6"/>
        <v>4000</v>
      </c>
      <c r="K161" s="63">
        <f t="shared" si="1"/>
        <v>1175</v>
      </c>
      <c r="L161" s="63">
        <f>K161*Budget!$B$36</f>
        <v>705</v>
      </c>
      <c r="M161" s="63">
        <f>MAX(0,L161-Calcul!AY159)</f>
        <v>705</v>
      </c>
      <c r="N161" s="63">
        <f t="shared" si="2"/>
        <v>1175</v>
      </c>
      <c r="O161" s="64">
        <f t="shared" si="7"/>
        <v>160777.130164</v>
      </c>
      <c r="P161" s="65">
        <f>Calcul!AZ159</f>
        <v>0</v>
      </c>
      <c r="Q161" s="66" t="str">
        <f t="shared" si="3"/>
        <v/>
      </c>
      <c r="R161" s="67">
        <f>IF(H161&gt;=Budget!$B$29,1,0)</f>
        <v>0</v>
      </c>
      <c r="S161" s="67">
        <f>IF(J161&gt;=Budget!$B$32,1,0)</f>
        <v>1</v>
      </c>
      <c r="T161" s="67">
        <f t="shared" si="4"/>
        <v>1</v>
      </c>
      <c r="U161" s="4"/>
      <c r="V161" s="4"/>
      <c r="AA161" s="68">
        <f>Budget!$B$29</f>
        <v>4000</v>
      </c>
      <c r="AB161" s="68">
        <f>Budget!$B$32</f>
        <v>4000</v>
      </c>
    </row>
    <row r="162" spans="1:28" ht="15" customHeight="1" x14ac:dyDescent="0.25">
      <c r="A162" s="55">
        <v>158</v>
      </c>
      <c r="B162" s="56">
        <f>EDATE(Budget!$B$28,A162-1)</f>
        <v>51167</v>
      </c>
      <c r="C162" s="57">
        <f>Budget!$B$7</f>
        <v>2900</v>
      </c>
      <c r="D162" s="57">
        <f>Budget!$B$18+Budget!$B$25</f>
        <v>1725</v>
      </c>
      <c r="E162" s="57">
        <f>Calcul!AX160</f>
        <v>0</v>
      </c>
      <c r="F162" s="58">
        <f t="shared" si="0"/>
        <v>1175</v>
      </c>
      <c r="G162" s="59">
        <f>IF(B162&lt;=Budget!$B$30,MAX(0,MIN(F162,Budget!$B$29-H161)),0)</f>
        <v>0</v>
      </c>
      <c r="H162" s="60">
        <f t="shared" si="5"/>
        <v>3511.3</v>
      </c>
      <c r="I162" s="61">
        <f>MAX(0,MIN(F162-G162,Budget!$B$32-J161))</f>
        <v>0</v>
      </c>
      <c r="J162" s="62">
        <f t="shared" si="6"/>
        <v>4000</v>
      </c>
      <c r="K162" s="63">
        <f t="shared" si="1"/>
        <v>1175</v>
      </c>
      <c r="L162" s="63">
        <f>K162*Budget!$B$36</f>
        <v>705</v>
      </c>
      <c r="M162" s="63">
        <f>MAX(0,L162-Calcul!AY160)</f>
        <v>705</v>
      </c>
      <c r="N162" s="63">
        <f t="shared" si="2"/>
        <v>1175</v>
      </c>
      <c r="O162" s="64">
        <f t="shared" si="7"/>
        <v>161952.130164</v>
      </c>
      <c r="P162" s="65">
        <f>Calcul!AZ160</f>
        <v>0</v>
      </c>
      <c r="Q162" s="66" t="str">
        <f t="shared" si="3"/>
        <v/>
      </c>
      <c r="R162" s="67">
        <f>IF(H162&gt;=Budget!$B$29,1,0)</f>
        <v>0</v>
      </c>
      <c r="S162" s="67">
        <f>IF(J162&gt;=Budget!$B$32,1,0)</f>
        <v>1</v>
      </c>
      <c r="T162" s="67">
        <f t="shared" si="4"/>
        <v>1</v>
      </c>
      <c r="U162" s="4"/>
      <c r="V162" s="4"/>
      <c r="AA162" s="68">
        <f>Budget!$B$29</f>
        <v>4000</v>
      </c>
      <c r="AB162" s="68">
        <f>Budget!$B$32</f>
        <v>4000</v>
      </c>
    </row>
    <row r="163" spans="1:28" ht="15" customHeight="1" x14ac:dyDescent="0.25">
      <c r="A163" s="55">
        <v>159</v>
      </c>
      <c r="B163" s="56">
        <f>EDATE(Budget!$B$28,A163-1)</f>
        <v>51196</v>
      </c>
      <c r="C163" s="57">
        <f>Budget!$B$7</f>
        <v>2900</v>
      </c>
      <c r="D163" s="57">
        <f>Budget!$B$18+Budget!$B$25</f>
        <v>1725</v>
      </c>
      <c r="E163" s="57">
        <f>Calcul!AX161</f>
        <v>0</v>
      </c>
      <c r="F163" s="58">
        <f t="shared" si="0"/>
        <v>1175</v>
      </c>
      <c r="G163" s="59">
        <f>IF(B163&lt;=Budget!$B$30,MAX(0,MIN(F163,Budget!$B$29-H162)),0)</f>
        <v>0</v>
      </c>
      <c r="H163" s="60">
        <f t="shared" si="5"/>
        <v>3511.3</v>
      </c>
      <c r="I163" s="61">
        <f>MAX(0,MIN(F163-G163,Budget!$B$32-J162))</f>
        <v>0</v>
      </c>
      <c r="J163" s="62">
        <f t="shared" si="6"/>
        <v>4000</v>
      </c>
      <c r="K163" s="63">
        <f t="shared" si="1"/>
        <v>1175</v>
      </c>
      <c r="L163" s="63">
        <f>K163*Budget!$B$36</f>
        <v>705</v>
      </c>
      <c r="M163" s="63">
        <f>MAX(0,L163-Calcul!AY161)</f>
        <v>705</v>
      </c>
      <c r="N163" s="63">
        <f t="shared" si="2"/>
        <v>1175</v>
      </c>
      <c r="O163" s="64">
        <f t="shared" si="7"/>
        <v>163127.130164</v>
      </c>
      <c r="P163" s="65">
        <f>Calcul!AZ161</f>
        <v>0</v>
      </c>
      <c r="Q163" s="66" t="str">
        <f t="shared" si="3"/>
        <v/>
      </c>
      <c r="R163" s="67">
        <f>IF(H163&gt;=Budget!$B$29,1,0)</f>
        <v>0</v>
      </c>
      <c r="S163" s="67">
        <f>IF(J163&gt;=Budget!$B$32,1,0)</f>
        <v>1</v>
      </c>
      <c r="T163" s="67">
        <f t="shared" si="4"/>
        <v>1</v>
      </c>
      <c r="U163" s="4"/>
      <c r="V163" s="4"/>
      <c r="AA163" s="68">
        <f>Budget!$B$29</f>
        <v>4000</v>
      </c>
      <c r="AB163" s="68">
        <f>Budget!$B$32</f>
        <v>4000</v>
      </c>
    </row>
    <row r="164" spans="1:28" ht="15" customHeight="1" x14ac:dyDescent="0.25">
      <c r="A164" s="55">
        <v>160</v>
      </c>
      <c r="B164" s="56">
        <f>EDATE(Budget!$B$28,A164-1)</f>
        <v>51227</v>
      </c>
      <c r="C164" s="57">
        <f>Budget!$B$7</f>
        <v>2900</v>
      </c>
      <c r="D164" s="57">
        <f>Budget!$B$18+Budget!$B$25</f>
        <v>1725</v>
      </c>
      <c r="E164" s="57">
        <f>Calcul!AX162</f>
        <v>0</v>
      </c>
      <c r="F164" s="58">
        <f t="shared" si="0"/>
        <v>1175</v>
      </c>
      <c r="G164" s="59">
        <f>IF(B164&lt;=Budget!$B$30,MAX(0,MIN(F164,Budget!$B$29-H163)),0)</f>
        <v>0</v>
      </c>
      <c r="H164" s="60">
        <f t="shared" si="5"/>
        <v>3511.3</v>
      </c>
      <c r="I164" s="61">
        <f>MAX(0,MIN(F164-G164,Budget!$B$32-J163))</f>
        <v>0</v>
      </c>
      <c r="J164" s="62">
        <f t="shared" si="6"/>
        <v>4000</v>
      </c>
      <c r="K164" s="63">
        <f t="shared" si="1"/>
        <v>1175</v>
      </c>
      <c r="L164" s="63">
        <f>K164*Budget!$B$36</f>
        <v>705</v>
      </c>
      <c r="M164" s="63">
        <f>MAX(0,L164-Calcul!AY162)</f>
        <v>705</v>
      </c>
      <c r="N164" s="63">
        <f t="shared" si="2"/>
        <v>1175</v>
      </c>
      <c r="O164" s="64">
        <f t="shared" si="7"/>
        <v>164302.130164</v>
      </c>
      <c r="P164" s="65">
        <f>Calcul!AZ162</f>
        <v>0</v>
      </c>
      <c r="Q164" s="66" t="str">
        <f t="shared" si="3"/>
        <v/>
      </c>
      <c r="R164" s="67">
        <f>IF(H164&gt;=Budget!$B$29,1,0)</f>
        <v>0</v>
      </c>
      <c r="S164" s="67">
        <f>IF(J164&gt;=Budget!$B$32,1,0)</f>
        <v>1</v>
      </c>
      <c r="T164" s="67">
        <f t="shared" si="4"/>
        <v>1</v>
      </c>
      <c r="U164" s="4"/>
      <c r="V164" s="4"/>
      <c r="AA164" s="68">
        <f>Budget!$B$29</f>
        <v>4000</v>
      </c>
      <c r="AB164" s="68">
        <f>Budget!$B$32</f>
        <v>4000</v>
      </c>
    </row>
    <row r="165" spans="1:28" ht="15" customHeight="1" x14ac:dyDescent="0.25">
      <c r="A165" s="55">
        <v>161</v>
      </c>
      <c r="B165" s="56">
        <f>EDATE(Budget!$B$28,A165-1)</f>
        <v>51257</v>
      </c>
      <c r="C165" s="57">
        <f>Budget!$B$7</f>
        <v>2900</v>
      </c>
      <c r="D165" s="57">
        <f>Budget!$B$18+Budget!$B$25</f>
        <v>1725</v>
      </c>
      <c r="E165" s="57">
        <f>Calcul!AX163</f>
        <v>0</v>
      </c>
      <c r="F165" s="58">
        <f t="shared" si="0"/>
        <v>1175</v>
      </c>
      <c r="G165" s="59">
        <f>IF(B165&lt;=Budget!$B$30,MAX(0,MIN(F165,Budget!$B$29-H164)),0)</f>
        <v>0</v>
      </c>
      <c r="H165" s="60">
        <f t="shared" si="5"/>
        <v>3511.3</v>
      </c>
      <c r="I165" s="61">
        <f>MAX(0,MIN(F165-G165,Budget!$B$32-J164))</f>
        <v>0</v>
      </c>
      <c r="J165" s="62">
        <f t="shared" si="6"/>
        <v>4000</v>
      </c>
      <c r="K165" s="63">
        <f t="shared" si="1"/>
        <v>1175</v>
      </c>
      <c r="L165" s="63">
        <f>K165*Budget!$B$36</f>
        <v>705</v>
      </c>
      <c r="M165" s="63">
        <f>MAX(0,L165-Calcul!AY163)</f>
        <v>705</v>
      </c>
      <c r="N165" s="63">
        <f t="shared" si="2"/>
        <v>1175</v>
      </c>
      <c r="O165" s="64">
        <f t="shared" si="7"/>
        <v>165477.130164</v>
      </c>
      <c r="P165" s="65">
        <f>Calcul!AZ163</f>
        <v>0</v>
      </c>
      <c r="Q165" s="66" t="str">
        <f t="shared" si="3"/>
        <v/>
      </c>
      <c r="R165" s="67">
        <f>IF(H165&gt;=Budget!$B$29,1,0)</f>
        <v>0</v>
      </c>
      <c r="S165" s="67">
        <f>IF(J165&gt;=Budget!$B$32,1,0)</f>
        <v>1</v>
      </c>
      <c r="T165" s="67">
        <f t="shared" si="4"/>
        <v>1</v>
      </c>
      <c r="U165" s="4"/>
      <c r="V165" s="4"/>
      <c r="AA165" s="68">
        <f>Budget!$B$29</f>
        <v>4000</v>
      </c>
      <c r="AB165" s="68">
        <f>Budget!$B$32</f>
        <v>4000</v>
      </c>
    </row>
    <row r="166" spans="1:28" ht="15" customHeight="1" x14ac:dyDescent="0.25">
      <c r="A166" s="55">
        <v>162</v>
      </c>
      <c r="B166" s="56">
        <f>EDATE(Budget!$B$28,A166-1)</f>
        <v>51288</v>
      </c>
      <c r="C166" s="57">
        <f>Budget!$B$7</f>
        <v>2900</v>
      </c>
      <c r="D166" s="57">
        <f>Budget!$B$18+Budget!$B$25</f>
        <v>1725</v>
      </c>
      <c r="E166" s="57">
        <f>Calcul!AX164</f>
        <v>0</v>
      </c>
      <c r="F166" s="58">
        <f t="shared" si="0"/>
        <v>1175</v>
      </c>
      <c r="G166" s="59">
        <f>IF(B166&lt;=Budget!$B$30,MAX(0,MIN(F166,Budget!$B$29-H165)),0)</f>
        <v>0</v>
      </c>
      <c r="H166" s="60">
        <f t="shared" si="5"/>
        <v>3511.3</v>
      </c>
      <c r="I166" s="61">
        <f>MAX(0,MIN(F166-G166,Budget!$B$32-J165))</f>
        <v>0</v>
      </c>
      <c r="J166" s="62">
        <f t="shared" si="6"/>
        <v>4000</v>
      </c>
      <c r="K166" s="63">
        <f t="shared" si="1"/>
        <v>1175</v>
      </c>
      <c r="L166" s="63">
        <f>K166*Budget!$B$36</f>
        <v>705</v>
      </c>
      <c r="M166" s="63">
        <f>MAX(0,L166-Calcul!AY164)</f>
        <v>705</v>
      </c>
      <c r="N166" s="63">
        <f t="shared" si="2"/>
        <v>1175</v>
      </c>
      <c r="O166" s="64">
        <f t="shared" si="7"/>
        <v>166652.130164</v>
      </c>
      <c r="P166" s="65">
        <f>Calcul!AZ164</f>
        <v>0</v>
      </c>
      <c r="Q166" s="66" t="str">
        <f t="shared" si="3"/>
        <v/>
      </c>
      <c r="R166" s="67">
        <f>IF(H166&gt;=Budget!$B$29,1,0)</f>
        <v>0</v>
      </c>
      <c r="S166" s="67">
        <f>IF(J166&gt;=Budget!$B$32,1,0)</f>
        <v>1</v>
      </c>
      <c r="T166" s="67">
        <f t="shared" si="4"/>
        <v>1</v>
      </c>
      <c r="U166" s="4"/>
      <c r="V166" s="4"/>
      <c r="AA166" s="68">
        <f>Budget!$B$29</f>
        <v>4000</v>
      </c>
      <c r="AB166" s="68">
        <f>Budget!$B$32</f>
        <v>4000</v>
      </c>
    </row>
    <row r="167" spans="1:28" ht="15" customHeight="1" x14ac:dyDescent="0.25">
      <c r="A167" s="55">
        <v>163</v>
      </c>
      <c r="B167" s="56">
        <f>EDATE(Budget!$B$28,A167-1)</f>
        <v>51318</v>
      </c>
      <c r="C167" s="57">
        <f>Budget!$B$7</f>
        <v>2900</v>
      </c>
      <c r="D167" s="57">
        <f>Budget!$B$18+Budget!$B$25</f>
        <v>1725</v>
      </c>
      <c r="E167" s="57">
        <f>Calcul!AX165</f>
        <v>0</v>
      </c>
      <c r="F167" s="58">
        <f t="shared" si="0"/>
        <v>1175</v>
      </c>
      <c r="G167" s="59">
        <f>IF(B167&lt;=Budget!$B$30,MAX(0,MIN(F167,Budget!$B$29-H166)),0)</f>
        <v>0</v>
      </c>
      <c r="H167" s="60">
        <f t="shared" si="5"/>
        <v>3511.3</v>
      </c>
      <c r="I167" s="61">
        <f>MAX(0,MIN(F167-G167,Budget!$B$32-J166))</f>
        <v>0</v>
      </c>
      <c r="J167" s="62">
        <f t="shared" si="6"/>
        <v>4000</v>
      </c>
      <c r="K167" s="63">
        <f t="shared" si="1"/>
        <v>1175</v>
      </c>
      <c r="L167" s="63">
        <f>K167*Budget!$B$36</f>
        <v>705</v>
      </c>
      <c r="M167" s="63">
        <f>MAX(0,L167-Calcul!AY165)</f>
        <v>705</v>
      </c>
      <c r="N167" s="63">
        <f t="shared" si="2"/>
        <v>1175</v>
      </c>
      <c r="O167" s="64">
        <f t="shared" si="7"/>
        <v>167827.130164</v>
      </c>
      <c r="P167" s="65">
        <f>Calcul!AZ165</f>
        <v>0</v>
      </c>
      <c r="Q167" s="66" t="str">
        <f t="shared" si="3"/>
        <v/>
      </c>
      <c r="R167" s="67">
        <f>IF(H167&gt;=Budget!$B$29,1,0)</f>
        <v>0</v>
      </c>
      <c r="S167" s="67">
        <f>IF(J167&gt;=Budget!$B$32,1,0)</f>
        <v>1</v>
      </c>
      <c r="T167" s="67">
        <f t="shared" si="4"/>
        <v>1</v>
      </c>
      <c r="U167" s="4"/>
      <c r="V167" s="4"/>
      <c r="AA167" s="68">
        <f>Budget!$B$29</f>
        <v>4000</v>
      </c>
      <c r="AB167" s="68">
        <f>Budget!$B$32</f>
        <v>4000</v>
      </c>
    </row>
    <row r="168" spans="1:28" ht="15" customHeight="1" x14ac:dyDescent="0.25">
      <c r="A168" s="55">
        <v>164</v>
      </c>
      <c r="B168" s="56">
        <f>EDATE(Budget!$B$28,A168-1)</f>
        <v>51349</v>
      </c>
      <c r="C168" s="57">
        <f>Budget!$B$7</f>
        <v>2900</v>
      </c>
      <c r="D168" s="57">
        <f>Budget!$B$18+Budget!$B$25</f>
        <v>1725</v>
      </c>
      <c r="E168" s="57">
        <f>Calcul!AX166</f>
        <v>0</v>
      </c>
      <c r="F168" s="58">
        <f t="shared" si="0"/>
        <v>1175</v>
      </c>
      <c r="G168" s="59">
        <f>IF(B168&lt;=Budget!$B$30,MAX(0,MIN(F168,Budget!$B$29-H167)),0)</f>
        <v>0</v>
      </c>
      <c r="H168" s="60">
        <f t="shared" si="5"/>
        <v>3511.3</v>
      </c>
      <c r="I168" s="61">
        <f>MAX(0,MIN(F168-G168,Budget!$B$32-J167))</f>
        <v>0</v>
      </c>
      <c r="J168" s="62">
        <f t="shared" si="6"/>
        <v>4000</v>
      </c>
      <c r="K168" s="63">
        <f t="shared" si="1"/>
        <v>1175</v>
      </c>
      <c r="L168" s="63">
        <f>K168*Budget!$B$36</f>
        <v>705</v>
      </c>
      <c r="M168" s="63">
        <f>MAX(0,L168-Calcul!AY166)</f>
        <v>705</v>
      </c>
      <c r="N168" s="63">
        <f t="shared" si="2"/>
        <v>1175</v>
      </c>
      <c r="O168" s="64">
        <f t="shared" si="7"/>
        <v>169002.130164</v>
      </c>
      <c r="P168" s="65">
        <f>Calcul!AZ166</f>
        <v>0</v>
      </c>
      <c r="Q168" s="66" t="str">
        <f t="shared" si="3"/>
        <v/>
      </c>
      <c r="R168" s="67">
        <f>IF(H168&gt;=Budget!$B$29,1,0)</f>
        <v>0</v>
      </c>
      <c r="S168" s="67">
        <f>IF(J168&gt;=Budget!$B$32,1,0)</f>
        <v>1</v>
      </c>
      <c r="T168" s="67">
        <f t="shared" si="4"/>
        <v>1</v>
      </c>
      <c r="U168" s="4"/>
      <c r="V168" s="4"/>
      <c r="AA168" s="68">
        <f>Budget!$B$29</f>
        <v>4000</v>
      </c>
      <c r="AB168" s="68">
        <f>Budget!$B$32</f>
        <v>4000</v>
      </c>
    </row>
    <row r="169" spans="1:28" ht="15" customHeight="1" x14ac:dyDescent="0.25">
      <c r="A169" s="55">
        <v>165</v>
      </c>
      <c r="B169" s="56">
        <f>EDATE(Budget!$B$28,A169-1)</f>
        <v>51380</v>
      </c>
      <c r="C169" s="57">
        <f>Budget!$B$7</f>
        <v>2900</v>
      </c>
      <c r="D169" s="57">
        <f>Budget!$B$18+Budget!$B$25</f>
        <v>1725</v>
      </c>
      <c r="E169" s="57">
        <f>Calcul!AX167</f>
        <v>0</v>
      </c>
      <c r="F169" s="58">
        <f t="shared" si="0"/>
        <v>1175</v>
      </c>
      <c r="G169" s="59">
        <f>IF(B169&lt;=Budget!$B$30,MAX(0,MIN(F169,Budget!$B$29-H168)),0)</f>
        <v>0</v>
      </c>
      <c r="H169" s="60">
        <f t="shared" si="5"/>
        <v>3511.3</v>
      </c>
      <c r="I169" s="61">
        <f>MAX(0,MIN(F169-G169,Budget!$B$32-J168))</f>
        <v>0</v>
      </c>
      <c r="J169" s="62">
        <f t="shared" si="6"/>
        <v>4000</v>
      </c>
      <c r="K169" s="63">
        <f t="shared" si="1"/>
        <v>1175</v>
      </c>
      <c r="L169" s="63">
        <f>K169*Budget!$B$36</f>
        <v>705</v>
      </c>
      <c r="M169" s="63">
        <f>MAX(0,L169-Calcul!AY167)</f>
        <v>705</v>
      </c>
      <c r="N169" s="63">
        <f t="shared" si="2"/>
        <v>1175</v>
      </c>
      <c r="O169" s="64">
        <f t="shared" si="7"/>
        <v>170177.130164</v>
      </c>
      <c r="P169" s="65">
        <f>Calcul!AZ167</f>
        <v>0</v>
      </c>
      <c r="Q169" s="66" t="str">
        <f t="shared" si="3"/>
        <v/>
      </c>
      <c r="R169" s="67">
        <f>IF(H169&gt;=Budget!$B$29,1,0)</f>
        <v>0</v>
      </c>
      <c r="S169" s="67">
        <f>IF(J169&gt;=Budget!$B$32,1,0)</f>
        <v>1</v>
      </c>
      <c r="T169" s="67">
        <f t="shared" si="4"/>
        <v>1</v>
      </c>
      <c r="U169" s="4"/>
      <c r="V169" s="4"/>
      <c r="AA169" s="68">
        <f>Budget!$B$29</f>
        <v>4000</v>
      </c>
      <c r="AB169" s="68">
        <f>Budget!$B$32</f>
        <v>4000</v>
      </c>
    </row>
    <row r="170" spans="1:28" ht="15" customHeight="1" x14ac:dyDescent="0.25">
      <c r="A170" s="55">
        <v>166</v>
      </c>
      <c r="B170" s="56">
        <f>EDATE(Budget!$B$28,A170-1)</f>
        <v>51410</v>
      </c>
      <c r="C170" s="57">
        <f>Budget!$B$7</f>
        <v>2900</v>
      </c>
      <c r="D170" s="57">
        <f>Budget!$B$18+Budget!$B$25</f>
        <v>1725</v>
      </c>
      <c r="E170" s="57">
        <f>Calcul!AX168</f>
        <v>0</v>
      </c>
      <c r="F170" s="58">
        <f t="shared" si="0"/>
        <v>1175</v>
      </c>
      <c r="G170" s="59">
        <f>IF(B170&lt;=Budget!$B$30,MAX(0,MIN(F170,Budget!$B$29-H169)),0)</f>
        <v>0</v>
      </c>
      <c r="H170" s="60">
        <f t="shared" si="5"/>
        <v>3511.3</v>
      </c>
      <c r="I170" s="61">
        <f>MAX(0,MIN(F170-G170,Budget!$B$32-J169))</f>
        <v>0</v>
      </c>
      <c r="J170" s="62">
        <f t="shared" si="6"/>
        <v>4000</v>
      </c>
      <c r="K170" s="63">
        <f t="shared" si="1"/>
        <v>1175</v>
      </c>
      <c r="L170" s="63">
        <f>K170*Budget!$B$36</f>
        <v>705</v>
      </c>
      <c r="M170" s="63">
        <f>MAX(0,L170-Calcul!AY168)</f>
        <v>705</v>
      </c>
      <c r="N170" s="63">
        <f t="shared" si="2"/>
        <v>1175</v>
      </c>
      <c r="O170" s="64">
        <f t="shared" si="7"/>
        <v>171352.130164</v>
      </c>
      <c r="P170" s="65">
        <f>Calcul!AZ168</f>
        <v>0</v>
      </c>
      <c r="Q170" s="66" t="str">
        <f t="shared" si="3"/>
        <v/>
      </c>
      <c r="R170" s="67">
        <f>IF(H170&gt;=Budget!$B$29,1,0)</f>
        <v>0</v>
      </c>
      <c r="S170" s="67">
        <f>IF(J170&gt;=Budget!$B$32,1,0)</f>
        <v>1</v>
      </c>
      <c r="T170" s="67">
        <f t="shared" si="4"/>
        <v>1</v>
      </c>
      <c r="U170" s="4"/>
      <c r="V170" s="4"/>
      <c r="AA170" s="68">
        <f>Budget!$B$29</f>
        <v>4000</v>
      </c>
      <c r="AB170" s="68">
        <f>Budget!$B$32</f>
        <v>4000</v>
      </c>
    </row>
    <row r="171" spans="1:28" ht="15" customHeight="1" x14ac:dyDescent="0.25">
      <c r="A171" s="55">
        <v>167</v>
      </c>
      <c r="B171" s="56">
        <f>EDATE(Budget!$B$28,A171-1)</f>
        <v>51441</v>
      </c>
      <c r="C171" s="57">
        <f>Budget!$B$7</f>
        <v>2900</v>
      </c>
      <c r="D171" s="57">
        <f>Budget!$B$18+Budget!$B$25</f>
        <v>1725</v>
      </c>
      <c r="E171" s="57">
        <f>Calcul!AX169</f>
        <v>0</v>
      </c>
      <c r="F171" s="58">
        <f t="shared" si="0"/>
        <v>1175</v>
      </c>
      <c r="G171" s="59">
        <f>IF(B171&lt;=Budget!$B$30,MAX(0,MIN(F171,Budget!$B$29-H170)),0)</f>
        <v>0</v>
      </c>
      <c r="H171" s="60">
        <f t="shared" si="5"/>
        <v>3511.3</v>
      </c>
      <c r="I171" s="61">
        <f>MAX(0,MIN(F171-G171,Budget!$B$32-J170))</f>
        <v>0</v>
      </c>
      <c r="J171" s="62">
        <f t="shared" si="6"/>
        <v>4000</v>
      </c>
      <c r="K171" s="63">
        <f t="shared" si="1"/>
        <v>1175</v>
      </c>
      <c r="L171" s="63">
        <f>K171*Budget!$B$36</f>
        <v>705</v>
      </c>
      <c r="M171" s="63">
        <f>MAX(0,L171-Calcul!AY169)</f>
        <v>705</v>
      </c>
      <c r="N171" s="63">
        <f t="shared" si="2"/>
        <v>1175</v>
      </c>
      <c r="O171" s="64">
        <f t="shared" si="7"/>
        <v>172527.130164</v>
      </c>
      <c r="P171" s="65">
        <f>Calcul!AZ169</f>
        <v>0</v>
      </c>
      <c r="Q171" s="66" t="str">
        <f t="shared" si="3"/>
        <v/>
      </c>
      <c r="R171" s="67">
        <f>IF(H171&gt;=Budget!$B$29,1,0)</f>
        <v>0</v>
      </c>
      <c r="S171" s="67">
        <f>IF(J171&gt;=Budget!$B$32,1,0)</f>
        <v>1</v>
      </c>
      <c r="T171" s="67">
        <f t="shared" si="4"/>
        <v>1</v>
      </c>
      <c r="U171" s="4"/>
      <c r="V171" s="4"/>
      <c r="AA171" s="68">
        <f>Budget!$B$29</f>
        <v>4000</v>
      </c>
      <c r="AB171" s="68">
        <f>Budget!$B$32</f>
        <v>4000</v>
      </c>
    </row>
    <row r="172" spans="1:28" ht="15" customHeight="1" x14ac:dyDescent="0.25">
      <c r="A172" s="55">
        <v>168</v>
      </c>
      <c r="B172" s="56">
        <f>EDATE(Budget!$B$28,A172-1)</f>
        <v>51471</v>
      </c>
      <c r="C172" s="57">
        <f>Budget!$B$7</f>
        <v>2900</v>
      </c>
      <c r="D172" s="57">
        <f>Budget!$B$18+Budget!$B$25</f>
        <v>1725</v>
      </c>
      <c r="E172" s="57">
        <f>Calcul!AX170</f>
        <v>0</v>
      </c>
      <c r="F172" s="58">
        <f t="shared" si="0"/>
        <v>1175</v>
      </c>
      <c r="G172" s="59">
        <f>IF(B172&lt;=Budget!$B$30,MAX(0,MIN(F172,Budget!$B$29-H171)),0)</f>
        <v>0</v>
      </c>
      <c r="H172" s="60">
        <f t="shared" si="5"/>
        <v>3511.3</v>
      </c>
      <c r="I172" s="61">
        <f>MAX(0,MIN(F172-G172,Budget!$B$32-J171))</f>
        <v>0</v>
      </c>
      <c r="J172" s="62">
        <f t="shared" si="6"/>
        <v>4000</v>
      </c>
      <c r="K172" s="63">
        <f t="shared" si="1"/>
        <v>1175</v>
      </c>
      <c r="L172" s="63">
        <f>K172*Budget!$B$36</f>
        <v>705</v>
      </c>
      <c r="M172" s="63">
        <f>MAX(0,L172-Calcul!AY170)</f>
        <v>705</v>
      </c>
      <c r="N172" s="63">
        <f t="shared" si="2"/>
        <v>1175</v>
      </c>
      <c r="O172" s="64">
        <f t="shared" si="7"/>
        <v>173702.130164</v>
      </c>
      <c r="P172" s="65">
        <f>Calcul!AZ170</f>
        <v>0</v>
      </c>
      <c r="Q172" s="66" t="str">
        <f t="shared" si="3"/>
        <v/>
      </c>
      <c r="R172" s="67">
        <f>IF(H172&gt;=Budget!$B$29,1,0)</f>
        <v>0</v>
      </c>
      <c r="S172" s="67">
        <f>IF(J172&gt;=Budget!$B$32,1,0)</f>
        <v>1</v>
      </c>
      <c r="T172" s="67">
        <f t="shared" si="4"/>
        <v>1</v>
      </c>
      <c r="U172" s="4"/>
      <c r="V172" s="4"/>
      <c r="AA172" s="68">
        <f>Budget!$B$29</f>
        <v>4000</v>
      </c>
      <c r="AB172" s="68">
        <f>Budget!$B$32</f>
        <v>4000</v>
      </c>
    </row>
    <row r="173" spans="1:28" ht="15" customHeight="1" x14ac:dyDescent="0.25">
      <c r="A173" s="55">
        <v>169</v>
      </c>
      <c r="B173" s="56">
        <f>EDATE(Budget!$B$28,A173-1)</f>
        <v>51502</v>
      </c>
      <c r="C173" s="57">
        <f>Budget!$B$7</f>
        <v>2900</v>
      </c>
      <c r="D173" s="57">
        <f>Budget!$B$18+Budget!$B$25</f>
        <v>1725</v>
      </c>
      <c r="E173" s="57">
        <f>Calcul!AX171</f>
        <v>0</v>
      </c>
      <c r="F173" s="58">
        <f t="shared" si="0"/>
        <v>1175</v>
      </c>
      <c r="G173" s="59">
        <f>IF(B173&lt;=Budget!$B$30,MAX(0,MIN(F173,Budget!$B$29-H172)),0)</f>
        <v>0</v>
      </c>
      <c r="H173" s="60">
        <f t="shared" si="5"/>
        <v>3511.3</v>
      </c>
      <c r="I173" s="61">
        <f>MAX(0,MIN(F173-G173,Budget!$B$32-J172))</f>
        <v>0</v>
      </c>
      <c r="J173" s="62">
        <f t="shared" si="6"/>
        <v>4000</v>
      </c>
      <c r="K173" s="63">
        <f t="shared" si="1"/>
        <v>1175</v>
      </c>
      <c r="L173" s="63">
        <f>K173*Budget!$B$36</f>
        <v>705</v>
      </c>
      <c r="M173" s="63">
        <f>MAX(0,L173-Calcul!AY171)</f>
        <v>705</v>
      </c>
      <c r="N173" s="63">
        <f t="shared" si="2"/>
        <v>1175</v>
      </c>
      <c r="O173" s="64">
        <f t="shared" si="7"/>
        <v>174877.130164</v>
      </c>
      <c r="P173" s="65">
        <f>Calcul!AZ171</f>
        <v>0</v>
      </c>
      <c r="Q173" s="66" t="str">
        <f t="shared" si="3"/>
        <v/>
      </c>
      <c r="R173" s="67">
        <f>IF(H173&gt;=Budget!$B$29,1,0)</f>
        <v>0</v>
      </c>
      <c r="S173" s="67">
        <f>IF(J173&gt;=Budget!$B$32,1,0)</f>
        <v>1</v>
      </c>
      <c r="T173" s="67">
        <f t="shared" si="4"/>
        <v>1</v>
      </c>
      <c r="U173" s="4"/>
      <c r="V173" s="4"/>
      <c r="AA173" s="68">
        <f>Budget!$B$29</f>
        <v>4000</v>
      </c>
      <c r="AB173" s="68">
        <f>Budget!$B$32</f>
        <v>4000</v>
      </c>
    </row>
    <row r="174" spans="1:28" ht="15" customHeight="1" x14ac:dyDescent="0.25">
      <c r="A174" s="55">
        <v>170</v>
      </c>
      <c r="B174" s="56">
        <f>EDATE(Budget!$B$28,A174-1)</f>
        <v>51533</v>
      </c>
      <c r="C174" s="57">
        <f>Budget!$B$7</f>
        <v>2900</v>
      </c>
      <c r="D174" s="57">
        <f>Budget!$B$18+Budget!$B$25</f>
        <v>1725</v>
      </c>
      <c r="E174" s="57">
        <f>Calcul!AX172</f>
        <v>0</v>
      </c>
      <c r="F174" s="58">
        <f t="shared" si="0"/>
        <v>1175</v>
      </c>
      <c r="G174" s="59">
        <f>IF(B174&lt;=Budget!$B$30,MAX(0,MIN(F174,Budget!$B$29-H173)),0)</f>
        <v>0</v>
      </c>
      <c r="H174" s="60">
        <f t="shared" si="5"/>
        <v>3511.3</v>
      </c>
      <c r="I174" s="61">
        <f>MAX(0,MIN(F174-G174,Budget!$B$32-J173))</f>
        <v>0</v>
      </c>
      <c r="J174" s="62">
        <f t="shared" si="6"/>
        <v>4000</v>
      </c>
      <c r="K174" s="63">
        <f t="shared" si="1"/>
        <v>1175</v>
      </c>
      <c r="L174" s="63">
        <f>K174*Budget!$B$36</f>
        <v>705</v>
      </c>
      <c r="M174" s="63">
        <f>MAX(0,L174-Calcul!AY172)</f>
        <v>705</v>
      </c>
      <c r="N174" s="63">
        <f t="shared" si="2"/>
        <v>1175</v>
      </c>
      <c r="O174" s="64">
        <f t="shared" si="7"/>
        <v>176052.130164</v>
      </c>
      <c r="P174" s="65">
        <f>Calcul!AZ172</f>
        <v>0</v>
      </c>
      <c r="Q174" s="66" t="str">
        <f t="shared" si="3"/>
        <v/>
      </c>
      <c r="R174" s="67">
        <f>IF(H174&gt;=Budget!$B$29,1,0)</f>
        <v>0</v>
      </c>
      <c r="S174" s="67">
        <f>IF(J174&gt;=Budget!$B$32,1,0)</f>
        <v>1</v>
      </c>
      <c r="T174" s="67">
        <f t="shared" si="4"/>
        <v>1</v>
      </c>
      <c r="U174" s="4"/>
      <c r="V174" s="4"/>
      <c r="AA174" s="68">
        <f>Budget!$B$29</f>
        <v>4000</v>
      </c>
      <c r="AB174" s="68">
        <f>Budget!$B$32</f>
        <v>4000</v>
      </c>
    </row>
    <row r="175" spans="1:28" ht="15" customHeight="1" x14ac:dyDescent="0.25">
      <c r="A175" s="55">
        <v>171</v>
      </c>
      <c r="B175" s="56">
        <f>EDATE(Budget!$B$28,A175-1)</f>
        <v>51561</v>
      </c>
      <c r="C175" s="57">
        <f>Budget!$B$7</f>
        <v>2900</v>
      </c>
      <c r="D175" s="57">
        <f>Budget!$B$18+Budget!$B$25</f>
        <v>1725</v>
      </c>
      <c r="E175" s="57">
        <f>Calcul!AX173</f>
        <v>0</v>
      </c>
      <c r="F175" s="58">
        <f t="shared" si="0"/>
        <v>1175</v>
      </c>
      <c r="G175" s="59">
        <f>IF(B175&lt;=Budget!$B$30,MAX(0,MIN(F175,Budget!$B$29-H174)),0)</f>
        <v>0</v>
      </c>
      <c r="H175" s="60">
        <f t="shared" si="5"/>
        <v>3511.3</v>
      </c>
      <c r="I175" s="61">
        <f>MAX(0,MIN(F175-G175,Budget!$B$32-J174))</f>
        <v>0</v>
      </c>
      <c r="J175" s="62">
        <f t="shared" si="6"/>
        <v>4000</v>
      </c>
      <c r="K175" s="63">
        <f t="shared" si="1"/>
        <v>1175</v>
      </c>
      <c r="L175" s="63">
        <f>K175*Budget!$B$36</f>
        <v>705</v>
      </c>
      <c r="M175" s="63">
        <f>MAX(0,L175-Calcul!AY173)</f>
        <v>705</v>
      </c>
      <c r="N175" s="63">
        <f t="shared" si="2"/>
        <v>1175</v>
      </c>
      <c r="O175" s="64">
        <f t="shared" si="7"/>
        <v>177227.130164</v>
      </c>
      <c r="P175" s="65">
        <f>Calcul!AZ173</f>
        <v>0</v>
      </c>
      <c r="Q175" s="66" t="str">
        <f t="shared" si="3"/>
        <v/>
      </c>
      <c r="R175" s="67">
        <f>IF(H175&gt;=Budget!$B$29,1,0)</f>
        <v>0</v>
      </c>
      <c r="S175" s="67">
        <f>IF(J175&gt;=Budget!$B$32,1,0)</f>
        <v>1</v>
      </c>
      <c r="T175" s="67">
        <f t="shared" si="4"/>
        <v>1</v>
      </c>
      <c r="U175" s="4"/>
      <c r="V175" s="4"/>
      <c r="AA175" s="68">
        <f>Budget!$B$29</f>
        <v>4000</v>
      </c>
      <c r="AB175" s="68">
        <f>Budget!$B$32</f>
        <v>4000</v>
      </c>
    </row>
    <row r="176" spans="1:28" ht="15" customHeight="1" x14ac:dyDescent="0.25">
      <c r="A176" s="55">
        <v>172</v>
      </c>
      <c r="B176" s="56">
        <f>EDATE(Budget!$B$28,A176-1)</f>
        <v>51592</v>
      </c>
      <c r="C176" s="57">
        <f>Budget!$B$7</f>
        <v>2900</v>
      </c>
      <c r="D176" s="57">
        <f>Budget!$B$18+Budget!$B$25</f>
        <v>1725</v>
      </c>
      <c r="E176" s="57">
        <f>Calcul!AX174</f>
        <v>0</v>
      </c>
      <c r="F176" s="58">
        <f t="shared" si="0"/>
        <v>1175</v>
      </c>
      <c r="G176" s="59">
        <f>IF(B176&lt;=Budget!$B$30,MAX(0,MIN(F176,Budget!$B$29-H175)),0)</f>
        <v>0</v>
      </c>
      <c r="H176" s="60">
        <f t="shared" si="5"/>
        <v>3511.3</v>
      </c>
      <c r="I176" s="61">
        <f>MAX(0,MIN(F176-G176,Budget!$B$32-J175))</f>
        <v>0</v>
      </c>
      <c r="J176" s="62">
        <f t="shared" si="6"/>
        <v>4000</v>
      </c>
      <c r="K176" s="63">
        <f t="shared" si="1"/>
        <v>1175</v>
      </c>
      <c r="L176" s="63">
        <f>K176*Budget!$B$36</f>
        <v>705</v>
      </c>
      <c r="M176" s="63">
        <f>MAX(0,L176-Calcul!AY174)</f>
        <v>705</v>
      </c>
      <c r="N176" s="63">
        <f t="shared" si="2"/>
        <v>1175</v>
      </c>
      <c r="O176" s="64">
        <f t="shared" si="7"/>
        <v>178402.130164</v>
      </c>
      <c r="P176" s="65">
        <f>Calcul!AZ174</f>
        <v>0</v>
      </c>
      <c r="Q176" s="66" t="str">
        <f t="shared" si="3"/>
        <v/>
      </c>
      <c r="R176" s="67">
        <f>IF(H176&gt;=Budget!$B$29,1,0)</f>
        <v>0</v>
      </c>
      <c r="S176" s="67">
        <f>IF(J176&gt;=Budget!$B$32,1,0)</f>
        <v>1</v>
      </c>
      <c r="T176" s="67">
        <f t="shared" si="4"/>
        <v>1</v>
      </c>
      <c r="U176" s="4"/>
      <c r="V176" s="4"/>
      <c r="AA176" s="68">
        <f>Budget!$B$29</f>
        <v>4000</v>
      </c>
      <c r="AB176" s="68">
        <f>Budget!$B$32</f>
        <v>4000</v>
      </c>
    </row>
    <row r="177" spans="1:28" ht="15" customHeight="1" x14ac:dyDescent="0.25">
      <c r="A177" s="55">
        <v>173</v>
      </c>
      <c r="B177" s="56">
        <f>EDATE(Budget!$B$28,A177-1)</f>
        <v>51622</v>
      </c>
      <c r="C177" s="57">
        <f>Budget!$B$7</f>
        <v>2900</v>
      </c>
      <c r="D177" s="57">
        <f>Budget!$B$18+Budget!$B$25</f>
        <v>1725</v>
      </c>
      <c r="E177" s="57">
        <f>Calcul!AX175</f>
        <v>0</v>
      </c>
      <c r="F177" s="58">
        <f t="shared" si="0"/>
        <v>1175</v>
      </c>
      <c r="G177" s="59">
        <f>IF(B177&lt;=Budget!$B$30,MAX(0,MIN(F177,Budget!$B$29-H176)),0)</f>
        <v>0</v>
      </c>
      <c r="H177" s="60">
        <f t="shared" si="5"/>
        <v>3511.3</v>
      </c>
      <c r="I177" s="61">
        <f>MAX(0,MIN(F177-G177,Budget!$B$32-J176))</f>
        <v>0</v>
      </c>
      <c r="J177" s="62">
        <f t="shared" si="6"/>
        <v>4000</v>
      </c>
      <c r="K177" s="63">
        <f t="shared" si="1"/>
        <v>1175</v>
      </c>
      <c r="L177" s="63">
        <f>K177*Budget!$B$36</f>
        <v>705</v>
      </c>
      <c r="M177" s="63">
        <f>MAX(0,L177-Calcul!AY175)</f>
        <v>705</v>
      </c>
      <c r="N177" s="63">
        <f t="shared" si="2"/>
        <v>1175</v>
      </c>
      <c r="O177" s="64">
        <f t="shared" si="7"/>
        <v>179577.130164</v>
      </c>
      <c r="P177" s="65">
        <f>Calcul!AZ175</f>
        <v>0</v>
      </c>
      <c r="Q177" s="66" t="str">
        <f t="shared" si="3"/>
        <v/>
      </c>
      <c r="R177" s="67">
        <f>IF(H177&gt;=Budget!$B$29,1,0)</f>
        <v>0</v>
      </c>
      <c r="S177" s="67">
        <f>IF(J177&gt;=Budget!$B$32,1,0)</f>
        <v>1</v>
      </c>
      <c r="T177" s="67">
        <f t="shared" si="4"/>
        <v>1</v>
      </c>
      <c r="U177" s="4"/>
      <c r="V177" s="4"/>
      <c r="AA177" s="68">
        <f>Budget!$B$29</f>
        <v>4000</v>
      </c>
      <c r="AB177" s="68">
        <f>Budget!$B$32</f>
        <v>4000</v>
      </c>
    </row>
    <row r="178" spans="1:28" ht="15" customHeight="1" x14ac:dyDescent="0.25">
      <c r="A178" s="55">
        <v>174</v>
      </c>
      <c r="B178" s="56">
        <f>EDATE(Budget!$B$28,A178-1)</f>
        <v>51653</v>
      </c>
      <c r="C178" s="57">
        <f>Budget!$B$7</f>
        <v>2900</v>
      </c>
      <c r="D178" s="57">
        <f>Budget!$B$18+Budget!$B$25</f>
        <v>1725</v>
      </c>
      <c r="E178" s="57">
        <f>Calcul!AX176</f>
        <v>0</v>
      </c>
      <c r="F178" s="58">
        <f t="shared" si="0"/>
        <v>1175</v>
      </c>
      <c r="G178" s="59">
        <f>IF(B178&lt;=Budget!$B$30,MAX(0,MIN(F178,Budget!$B$29-H177)),0)</f>
        <v>0</v>
      </c>
      <c r="H178" s="60">
        <f t="shared" si="5"/>
        <v>3511.3</v>
      </c>
      <c r="I178" s="61">
        <f>MAX(0,MIN(F178-G178,Budget!$B$32-J177))</f>
        <v>0</v>
      </c>
      <c r="J178" s="62">
        <f t="shared" si="6"/>
        <v>4000</v>
      </c>
      <c r="K178" s="63">
        <f t="shared" si="1"/>
        <v>1175</v>
      </c>
      <c r="L178" s="63">
        <f>K178*Budget!$B$36</f>
        <v>705</v>
      </c>
      <c r="M178" s="63">
        <f>MAX(0,L178-Calcul!AY176)</f>
        <v>705</v>
      </c>
      <c r="N178" s="63">
        <f t="shared" si="2"/>
        <v>1175</v>
      </c>
      <c r="O178" s="64">
        <f t="shared" si="7"/>
        <v>180752.130164</v>
      </c>
      <c r="P178" s="65">
        <f>Calcul!AZ176</f>
        <v>0</v>
      </c>
      <c r="Q178" s="66" t="str">
        <f t="shared" si="3"/>
        <v/>
      </c>
      <c r="R178" s="67">
        <f>IF(H178&gt;=Budget!$B$29,1,0)</f>
        <v>0</v>
      </c>
      <c r="S178" s="67">
        <f>IF(J178&gt;=Budget!$B$32,1,0)</f>
        <v>1</v>
      </c>
      <c r="T178" s="67">
        <f t="shared" si="4"/>
        <v>1</v>
      </c>
      <c r="U178" s="4"/>
      <c r="V178" s="4"/>
      <c r="AA178" s="68">
        <f>Budget!$B$29</f>
        <v>4000</v>
      </c>
      <c r="AB178" s="68">
        <f>Budget!$B$32</f>
        <v>4000</v>
      </c>
    </row>
    <row r="179" spans="1:28" ht="15" customHeight="1" x14ac:dyDescent="0.25">
      <c r="A179" s="55">
        <v>175</v>
      </c>
      <c r="B179" s="56">
        <f>EDATE(Budget!$B$28,A179-1)</f>
        <v>51683</v>
      </c>
      <c r="C179" s="57">
        <f>Budget!$B$7</f>
        <v>2900</v>
      </c>
      <c r="D179" s="57">
        <f>Budget!$B$18+Budget!$B$25</f>
        <v>1725</v>
      </c>
      <c r="E179" s="57">
        <f>Calcul!AX177</f>
        <v>0</v>
      </c>
      <c r="F179" s="58">
        <f t="shared" si="0"/>
        <v>1175</v>
      </c>
      <c r="G179" s="59">
        <f>IF(B179&lt;=Budget!$B$30,MAX(0,MIN(F179,Budget!$B$29-H178)),0)</f>
        <v>0</v>
      </c>
      <c r="H179" s="60">
        <f t="shared" si="5"/>
        <v>3511.3</v>
      </c>
      <c r="I179" s="61">
        <f>MAX(0,MIN(F179-G179,Budget!$B$32-J178))</f>
        <v>0</v>
      </c>
      <c r="J179" s="62">
        <f t="shared" si="6"/>
        <v>4000</v>
      </c>
      <c r="K179" s="63">
        <f t="shared" si="1"/>
        <v>1175</v>
      </c>
      <c r="L179" s="63">
        <f>K179*Budget!$B$36</f>
        <v>705</v>
      </c>
      <c r="M179" s="63">
        <f>MAX(0,L179-Calcul!AY177)</f>
        <v>705</v>
      </c>
      <c r="N179" s="63">
        <f t="shared" si="2"/>
        <v>1175</v>
      </c>
      <c r="O179" s="64">
        <f t="shared" si="7"/>
        <v>181927.130164</v>
      </c>
      <c r="P179" s="65">
        <f>Calcul!AZ177</f>
        <v>0</v>
      </c>
      <c r="Q179" s="66" t="str">
        <f t="shared" si="3"/>
        <v/>
      </c>
      <c r="R179" s="67">
        <f>IF(H179&gt;=Budget!$B$29,1,0)</f>
        <v>0</v>
      </c>
      <c r="S179" s="67">
        <f>IF(J179&gt;=Budget!$B$32,1,0)</f>
        <v>1</v>
      </c>
      <c r="T179" s="67">
        <f t="shared" si="4"/>
        <v>1</v>
      </c>
      <c r="U179" s="4"/>
      <c r="V179" s="4"/>
      <c r="AA179" s="68">
        <f>Budget!$B$29</f>
        <v>4000</v>
      </c>
      <c r="AB179" s="68">
        <f>Budget!$B$32</f>
        <v>4000</v>
      </c>
    </row>
    <row r="180" spans="1:28" ht="15" customHeight="1" x14ac:dyDescent="0.25">
      <c r="A180" s="55">
        <v>176</v>
      </c>
      <c r="B180" s="56">
        <f>EDATE(Budget!$B$28,A180-1)</f>
        <v>51714</v>
      </c>
      <c r="C180" s="57">
        <f>Budget!$B$7</f>
        <v>2900</v>
      </c>
      <c r="D180" s="57">
        <f>Budget!$B$18+Budget!$B$25</f>
        <v>1725</v>
      </c>
      <c r="E180" s="57">
        <f>Calcul!AX178</f>
        <v>0</v>
      </c>
      <c r="F180" s="58">
        <f t="shared" si="0"/>
        <v>1175</v>
      </c>
      <c r="G180" s="59">
        <f>IF(B180&lt;=Budget!$B$30,MAX(0,MIN(F180,Budget!$B$29-H179)),0)</f>
        <v>0</v>
      </c>
      <c r="H180" s="60">
        <f t="shared" si="5"/>
        <v>3511.3</v>
      </c>
      <c r="I180" s="61">
        <f>MAX(0,MIN(F180-G180,Budget!$B$32-J179))</f>
        <v>0</v>
      </c>
      <c r="J180" s="62">
        <f t="shared" si="6"/>
        <v>4000</v>
      </c>
      <c r="K180" s="63">
        <f t="shared" si="1"/>
        <v>1175</v>
      </c>
      <c r="L180" s="63">
        <f>K180*Budget!$B$36</f>
        <v>705</v>
      </c>
      <c r="M180" s="63">
        <f>MAX(0,L180-Calcul!AY178)</f>
        <v>705</v>
      </c>
      <c r="N180" s="63">
        <f t="shared" si="2"/>
        <v>1175</v>
      </c>
      <c r="O180" s="64">
        <f t="shared" si="7"/>
        <v>183102.130164</v>
      </c>
      <c r="P180" s="65">
        <f>Calcul!AZ178</f>
        <v>0</v>
      </c>
      <c r="Q180" s="66" t="str">
        <f t="shared" si="3"/>
        <v/>
      </c>
      <c r="R180" s="67">
        <f>IF(H180&gt;=Budget!$B$29,1,0)</f>
        <v>0</v>
      </c>
      <c r="S180" s="67">
        <f>IF(J180&gt;=Budget!$B$32,1,0)</f>
        <v>1</v>
      </c>
      <c r="T180" s="67">
        <f t="shared" si="4"/>
        <v>1</v>
      </c>
      <c r="U180" s="4"/>
      <c r="V180" s="4"/>
      <c r="AA180" s="68">
        <f>Budget!$B$29</f>
        <v>4000</v>
      </c>
      <c r="AB180" s="68">
        <f>Budget!$B$32</f>
        <v>4000</v>
      </c>
    </row>
    <row r="181" spans="1:28" ht="15" customHeight="1" x14ac:dyDescent="0.25">
      <c r="A181" s="55">
        <v>177</v>
      </c>
      <c r="B181" s="56">
        <f>EDATE(Budget!$B$28,A181-1)</f>
        <v>51745</v>
      </c>
      <c r="C181" s="57">
        <f>Budget!$B$7</f>
        <v>2900</v>
      </c>
      <c r="D181" s="57">
        <f>Budget!$B$18+Budget!$B$25</f>
        <v>1725</v>
      </c>
      <c r="E181" s="57">
        <f>Calcul!AX179</f>
        <v>0</v>
      </c>
      <c r="F181" s="58">
        <f t="shared" si="0"/>
        <v>1175</v>
      </c>
      <c r="G181" s="59">
        <f>IF(B181&lt;=Budget!$B$30,MAX(0,MIN(F181,Budget!$B$29-H180)),0)</f>
        <v>0</v>
      </c>
      <c r="H181" s="60">
        <f t="shared" si="5"/>
        <v>3511.3</v>
      </c>
      <c r="I181" s="61">
        <f>MAX(0,MIN(F181-G181,Budget!$B$32-J180))</f>
        <v>0</v>
      </c>
      <c r="J181" s="62">
        <f t="shared" si="6"/>
        <v>4000</v>
      </c>
      <c r="K181" s="63">
        <f t="shared" si="1"/>
        <v>1175</v>
      </c>
      <c r="L181" s="63">
        <f>K181*Budget!$B$36</f>
        <v>705</v>
      </c>
      <c r="M181" s="63">
        <f>MAX(0,L181-Calcul!AY179)</f>
        <v>705</v>
      </c>
      <c r="N181" s="63">
        <f t="shared" si="2"/>
        <v>1175</v>
      </c>
      <c r="O181" s="64">
        <f t="shared" si="7"/>
        <v>184277.130164</v>
      </c>
      <c r="P181" s="65">
        <f>Calcul!AZ179</f>
        <v>0</v>
      </c>
      <c r="Q181" s="66" t="str">
        <f t="shared" si="3"/>
        <v/>
      </c>
      <c r="R181" s="67">
        <f>IF(H181&gt;=Budget!$B$29,1,0)</f>
        <v>0</v>
      </c>
      <c r="S181" s="67">
        <f>IF(J181&gt;=Budget!$B$32,1,0)</f>
        <v>1</v>
      </c>
      <c r="T181" s="67">
        <f t="shared" si="4"/>
        <v>1</v>
      </c>
      <c r="U181" s="4"/>
      <c r="V181" s="4"/>
      <c r="AA181" s="68">
        <f>Budget!$B$29</f>
        <v>4000</v>
      </c>
      <c r="AB181" s="68">
        <f>Budget!$B$32</f>
        <v>4000</v>
      </c>
    </row>
    <row r="182" spans="1:28" ht="15" customHeight="1" x14ac:dyDescent="0.25">
      <c r="A182" s="55">
        <v>178</v>
      </c>
      <c r="B182" s="56">
        <f>EDATE(Budget!$B$28,A182-1)</f>
        <v>51775</v>
      </c>
      <c r="C182" s="57">
        <f>Budget!$B$7</f>
        <v>2900</v>
      </c>
      <c r="D182" s="57">
        <f>Budget!$B$18+Budget!$B$25</f>
        <v>1725</v>
      </c>
      <c r="E182" s="57">
        <f>Calcul!AX180</f>
        <v>0</v>
      </c>
      <c r="F182" s="58">
        <f t="shared" si="0"/>
        <v>1175</v>
      </c>
      <c r="G182" s="59">
        <f>IF(B182&lt;=Budget!$B$30,MAX(0,MIN(F182,Budget!$B$29-H181)),0)</f>
        <v>0</v>
      </c>
      <c r="H182" s="60">
        <f t="shared" si="5"/>
        <v>3511.3</v>
      </c>
      <c r="I182" s="61">
        <f>MAX(0,MIN(F182-G182,Budget!$B$32-J181))</f>
        <v>0</v>
      </c>
      <c r="J182" s="62">
        <f t="shared" si="6"/>
        <v>4000</v>
      </c>
      <c r="K182" s="63">
        <f t="shared" si="1"/>
        <v>1175</v>
      </c>
      <c r="L182" s="63">
        <f>K182*Budget!$B$36</f>
        <v>705</v>
      </c>
      <c r="M182" s="63">
        <f>MAX(0,L182-Calcul!AY180)</f>
        <v>705</v>
      </c>
      <c r="N182" s="63">
        <f t="shared" si="2"/>
        <v>1175</v>
      </c>
      <c r="O182" s="64">
        <f t="shared" si="7"/>
        <v>185452.130164</v>
      </c>
      <c r="P182" s="65">
        <f>Calcul!AZ180</f>
        <v>0</v>
      </c>
      <c r="Q182" s="66" t="str">
        <f t="shared" si="3"/>
        <v/>
      </c>
      <c r="R182" s="67">
        <f>IF(H182&gt;=Budget!$B$29,1,0)</f>
        <v>0</v>
      </c>
      <c r="S182" s="67">
        <f>IF(J182&gt;=Budget!$B$32,1,0)</f>
        <v>1</v>
      </c>
      <c r="T182" s="67">
        <f t="shared" si="4"/>
        <v>1</v>
      </c>
      <c r="U182" s="4"/>
      <c r="V182" s="4"/>
      <c r="AA182" s="68">
        <f>Budget!$B$29</f>
        <v>4000</v>
      </c>
      <c r="AB182" s="68">
        <f>Budget!$B$32</f>
        <v>4000</v>
      </c>
    </row>
    <row r="183" spans="1:28" ht="15" customHeight="1" x14ac:dyDescent="0.25">
      <c r="A183" s="55">
        <v>179</v>
      </c>
      <c r="B183" s="56">
        <f>EDATE(Budget!$B$28,A183-1)</f>
        <v>51806</v>
      </c>
      <c r="C183" s="57">
        <f>Budget!$B$7</f>
        <v>2900</v>
      </c>
      <c r="D183" s="57">
        <f>Budget!$B$18+Budget!$B$25</f>
        <v>1725</v>
      </c>
      <c r="E183" s="57">
        <f>Calcul!AX181</f>
        <v>0</v>
      </c>
      <c r="F183" s="58">
        <f t="shared" si="0"/>
        <v>1175</v>
      </c>
      <c r="G183" s="59">
        <f>IF(B183&lt;=Budget!$B$30,MAX(0,MIN(F183,Budget!$B$29-H182)),0)</f>
        <v>0</v>
      </c>
      <c r="H183" s="60">
        <f t="shared" si="5"/>
        <v>3511.3</v>
      </c>
      <c r="I183" s="61">
        <f>MAX(0,MIN(F183-G183,Budget!$B$32-J182))</f>
        <v>0</v>
      </c>
      <c r="J183" s="62">
        <f t="shared" si="6"/>
        <v>4000</v>
      </c>
      <c r="K183" s="63">
        <f t="shared" si="1"/>
        <v>1175</v>
      </c>
      <c r="L183" s="63">
        <f>K183*Budget!$B$36</f>
        <v>705</v>
      </c>
      <c r="M183" s="63">
        <f>MAX(0,L183-Calcul!AY181)</f>
        <v>705</v>
      </c>
      <c r="N183" s="63">
        <f t="shared" si="2"/>
        <v>1175</v>
      </c>
      <c r="O183" s="64">
        <f t="shared" si="7"/>
        <v>186627.130164</v>
      </c>
      <c r="P183" s="65">
        <f>Calcul!AZ181</f>
        <v>0</v>
      </c>
      <c r="Q183" s="66" t="str">
        <f t="shared" si="3"/>
        <v/>
      </c>
      <c r="R183" s="67">
        <f>IF(H183&gt;=Budget!$B$29,1,0)</f>
        <v>0</v>
      </c>
      <c r="S183" s="67">
        <f>IF(J183&gt;=Budget!$B$32,1,0)</f>
        <v>1</v>
      </c>
      <c r="T183" s="67">
        <f t="shared" si="4"/>
        <v>1</v>
      </c>
      <c r="U183" s="4"/>
      <c r="V183" s="4"/>
      <c r="AA183" s="68">
        <f>Budget!$B$29</f>
        <v>4000</v>
      </c>
      <c r="AB183" s="68">
        <f>Budget!$B$32</f>
        <v>4000</v>
      </c>
    </row>
    <row r="184" spans="1:28" ht="15" customHeight="1" x14ac:dyDescent="0.25">
      <c r="A184" s="55">
        <v>180</v>
      </c>
      <c r="B184" s="56">
        <f>EDATE(Budget!$B$28,A184-1)</f>
        <v>51836</v>
      </c>
      <c r="C184" s="57">
        <f>Budget!$B$7</f>
        <v>2900</v>
      </c>
      <c r="D184" s="57">
        <f>Budget!$B$18+Budget!$B$25</f>
        <v>1725</v>
      </c>
      <c r="E184" s="57">
        <f>Calcul!AX182</f>
        <v>0</v>
      </c>
      <c r="F184" s="58">
        <f t="shared" si="0"/>
        <v>1175</v>
      </c>
      <c r="G184" s="59">
        <f>IF(B184&lt;=Budget!$B$30,MAX(0,MIN(F184,Budget!$B$29-H183)),0)</f>
        <v>0</v>
      </c>
      <c r="H184" s="60">
        <f t="shared" si="5"/>
        <v>3511.3</v>
      </c>
      <c r="I184" s="61">
        <f>MAX(0,MIN(F184-G184,Budget!$B$32-J183))</f>
        <v>0</v>
      </c>
      <c r="J184" s="62">
        <f t="shared" si="6"/>
        <v>4000</v>
      </c>
      <c r="K184" s="63">
        <f t="shared" si="1"/>
        <v>1175</v>
      </c>
      <c r="L184" s="63">
        <f>K184*Budget!$B$36</f>
        <v>705</v>
      </c>
      <c r="M184" s="63">
        <f>MAX(0,L184-Calcul!AY182)</f>
        <v>705</v>
      </c>
      <c r="N184" s="63">
        <f t="shared" si="2"/>
        <v>1175</v>
      </c>
      <c r="O184" s="64">
        <f t="shared" si="7"/>
        <v>187802.130164</v>
      </c>
      <c r="P184" s="65">
        <f>Calcul!AZ182</f>
        <v>0</v>
      </c>
      <c r="Q184" s="66" t="str">
        <f t="shared" si="3"/>
        <v/>
      </c>
      <c r="R184" s="67">
        <f>IF(H184&gt;=Budget!$B$29,1,0)</f>
        <v>0</v>
      </c>
      <c r="S184" s="67">
        <f>IF(J184&gt;=Budget!$B$32,1,0)</f>
        <v>1</v>
      </c>
      <c r="T184" s="67">
        <f t="shared" si="4"/>
        <v>1</v>
      </c>
      <c r="U184" s="4"/>
      <c r="V184" s="4"/>
      <c r="AA184" s="68">
        <f>Budget!$B$29</f>
        <v>4000</v>
      </c>
      <c r="AB184" s="68">
        <f>Budget!$B$32</f>
        <v>4000</v>
      </c>
    </row>
    <row r="185" spans="1:28" ht="15" customHeight="1" x14ac:dyDescent="0.25">
      <c r="A185" s="55">
        <v>181</v>
      </c>
      <c r="B185" s="56">
        <f>EDATE(Budget!$B$28,A185-1)</f>
        <v>51867</v>
      </c>
      <c r="C185" s="57">
        <f>Budget!$B$7</f>
        <v>2900</v>
      </c>
      <c r="D185" s="57">
        <f>Budget!$B$18+Budget!$B$25</f>
        <v>1725</v>
      </c>
      <c r="E185" s="57">
        <f>Calcul!AX183</f>
        <v>0</v>
      </c>
      <c r="F185" s="58">
        <f t="shared" si="0"/>
        <v>1175</v>
      </c>
      <c r="G185" s="59">
        <f>IF(B185&lt;=Budget!$B$30,MAX(0,MIN(F185,Budget!$B$29-H184)),0)</f>
        <v>0</v>
      </c>
      <c r="H185" s="60">
        <f t="shared" si="5"/>
        <v>3511.3</v>
      </c>
      <c r="I185" s="61">
        <f>MAX(0,MIN(F185-G185,Budget!$B$32-J184))</f>
        <v>0</v>
      </c>
      <c r="J185" s="62">
        <f t="shared" si="6"/>
        <v>4000</v>
      </c>
      <c r="K185" s="63">
        <f t="shared" si="1"/>
        <v>1175</v>
      </c>
      <c r="L185" s="63">
        <f>K185*Budget!$B$36</f>
        <v>705</v>
      </c>
      <c r="M185" s="63">
        <f>MAX(0,L185-Calcul!AY183)</f>
        <v>705</v>
      </c>
      <c r="N185" s="63">
        <f t="shared" si="2"/>
        <v>1175</v>
      </c>
      <c r="O185" s="64">
        <f t="shared" si="7"/>
        <v>188977.130164</v>
      </c>
      <c r="P185" s="65">
        <f>Calcul!AZ183</f>
        <v>0</v>
      </c>
      <c r="Q185" s="66" t="str">
        <f t="shared" si="3"/>
        <v/>
      </c>
      <c r="R185" s="67">
        <f>IF(H185&gt;=Budget!$B$29,1,0)</f>
        <v>0</v>
      </c>
      <c r="S185" s="67">
        <f>IF(J185&gt;=Budget!$B$32,1,0)</f>
        <v>1</v>
      </c>
      <c r="T185" s="67">
        <f t="shared" si="4"/>
        <v>1</v>
      </c>
      <c r="U185" s="4"/>
      <c r="V185" s="4"/>
      <c r="AA185" s="68">
        <f>Budget!$B$29</f>
        <v>4000</v>
      </c>
      <c r="AB185" s="68">
        <f>Budget!$B$32</f>
        <v>4000</v>
      </c>
    </row>
    <row r="186" spans="1:28" ht="15" customHeight="1" x14ac:dyDescent="0.25">
      <c r="A186" s="55">
        <v>182</v>
      </c>
      <c r="B186" s="56">
        <f>EDATE(Budget!$B$28,A186-1)</f>
        <v>51898</v>
      </c>
      <c r="C186" s="57">
        <f>Budget!$B$7</f>
        <v>2900</v>
      </c>
      <c r="D186" s="57">
        <f>Budget!$B$18+Budget!$B$25</f>
        <v>1725</v>
      </c>
      <c r="E186" s="57">
        <f>Calcul!AX184</f>
        <v>0</v>
      </c>
      <c r="F186" s="58">
        <f t="shared" si="0"/>
        <v>1175</v>
      </c>
      <c r="G186" s="59">
        <f>IF(B186&lt;=Budget!$B$30,MAX(0,MIN(F186,Budget!$B$29-H185)),0)</f>
        <v>0</v>
      </c>
      <c r="H186" s="60">
        <f t="shared" si="5"/>
        <v>3511.3</v>
      </c>
      <c r="I186" s="61">
        <f>MAX(0,MIN(F186-G186,Budget!$B$32-J185))</f>
        <v>0</v>
      </c>
      <c r="J186" s="62">
        <f t="shared" si="6"/>
        <v>4000</v>
      </c>
      <c r="K186" s="63">
        <f t="shared" si="1"/>
        <v>1175</v>
      </c>
      <c r="L186" s="63">
        <f>K186*Budget!$B$36</f>
        <v>705</v>
      </c>
      <c r="M186" s="63">
        <f>MAX(0,L186-Calcul!AY184)</f>
        <v>705</v>
      </c>
      <c r="N186" s="63">
        <f t="shared" si="2"/>
        <v>1175</v>
      </c>
      <c r="O186" s="64">
        <f t="shared" si="7"/>
        <v>190152.130164</v>
      </c>
      <c r="P186" s="65">
        <f>Calcul!AZ184</f>
        <v>0</v>
      </c>
      <c r="Q186" s="66" t="str">
        <f t="shared" si="3"/>
        <v/>
      </c>
      <c r="R186" s="67">
        <f>IF(H186&gt;=Budget!$B$29,1,0)</f>
        <v>0</v>
      </c>
      <c r="S186" s="67">
        <f>IF(J186&gt;=Budget!$B$32,1,0)</f>
        <v>1</v>
      </c>
      <c r="T186" s="67">
        <f t="shared" si="4"/>
        <v>1</v>
      </c>
      <c r="U186" s="4"/>
      <c r="V186" s="4"/>
      <c r="AA186" s="68">
        <f>Budget!$B$29</f>
        <v>4000</v>
      </c>
      <c r="AB186" s="68">
        <f>Budget!$B$32</f>
        <v>4000</v>
      </c>
    </row>
    <row r="187" spans="1:28" ht="15" customHeight="1" x14ac:dyDescent="0.25">
      <c r="A187" s="55">
        <v>183</v>
      </c>
      <c r="B187" s="56">
        <f>EDATE(Budget!$B$28,A187-1)</f>
        <v>51926</v>
      </c>
      <c r="C187" s="57">
        <f>Budget!$B$7</f>
        <v>2900</v>
      </c>
      <c r="D187" s="57">
        <f>Budget!$B$18+Budget!$B$25</f>
        <v>1725</v>
      </c>
      <c r="E187" s="57">
        <f>Calcul!AX185</f>
        <v>0</v>
      </c>
      <c r="F187" s="58">
        <f t="shared" si="0"/>
        <v>1175</v>
      </c>
      <c r="G187" s="59">
        <f>IF(B187&lt;=Budget!$B$30,MAX(0,MIN(F187,Budget!$B$29-H186)),0)</f>
        <v>0</v>
      </c>
      <c r="H187" s="60">
        <f t="shared" si="5"/>
        <v>3511.3</v>
      </c>
      <c r="I187" s="61">
        <f>MAX(0,MIN(F187-G187,Budget!$B$32-J186))</f>
        <v>0</v>
      </c>
      <c r="J187" s="62">
        <f t="shared" si="6"/>
        <v>4000</v>
      </c>
      <c r="K187" s="63">
        <f t="shared" si="1"/>
        <v>1175</v>
      </c>
      <c r="L187" s="63">
        <f>K187*Budget!$B$36</f>
        <v>705</v>
      </c>
      <c r="M187" s="63">
        <f>MAX(0,L187-Calcul!AY185)</f>
        <v>705</v>
      </c>
      <c r="N187" s="63">
        <f t="shared" si="2"/>
        <v>1175</v>
      </c>
      <c r="O187" s="64">
        <f t="shared" si="7"/>
        <v>191327.130164</v>
      </c>
      <c r="P187" s="65">
        <f>Calcul!AZ185</f>
        <v>0</v>
      </c>
      <c r="Q187" s="66" t="str">
        <f t="shared" si="3"/>
        <v/>
      </c>
      <c r="R187" s="67">
        <f>IF(H187&gt;=Budget!$B$29,1,0)</f>
        <v>0</v>
      </c>
      <c r="S187" s="67">
        <f>IF(J187&gt;=Budget!$B$32,1,0)</f>
        <v>1</v>
      </c>
      <c r="T187" s="67">
        <f t="shared" si="4"/>
        <v>1</v>
      </c>
      <c r="U187" s="4"/>
      <c r="V187" s="4"/>
      <c r="AA187" s="68">
        <f>Budget!$B$29</f>
        <v>4000</v>
      </c>
      <c r="AB187" s="68">
        <f>Budget!$B$32</f>
        <v>4000</v>
      </c>
    </row>
    <row r="188" spans="1:28" ht="15" customHeight="1" x14ac:dyDescent="0.25">
      <c r="A188" s="55">
        <v>184</v>
      </c>
      <c r="B188" s="56">
        <f>EDATE(Budget!$B$28,A188-1)</f>
        <v>51957</v>
      </c>
      <c r="C188" s="57">
        <f>Budget!$B$7</f>
        <v>2900</v>
      </c>
      <c r="D188" s="57">
        <f>Budget!$B$18+Budget!$B$25</f>
        <v>1725</v>
      </c>
      <c r="E188" s="57">
        <f>Calcul!AX186</f>
        <v>0</v>
      </c>
      <c r="F188" s="58">
        <f t="shared" si="0"/>
        <v>1175</v>
      </c>
      <c r="G188" s="59">
        <f>IF(B188&lt;=Budget!$B$30,MAX(0,MIN(F188,Budget!$B$29-H187)),0)</f>
        <v>0</v>
      </c>
      <c r="H188" s="60">
        <f t="shared" si="5"/>
        <v>3511.3</v>
      </c>
      <c r="I188" s="61">
        <f>MAX(0,MIN(F188-G188,Budget!$B$32-J187))</f>
        <v>0</v>
      </c>
      <c r="J188" s="62">
        <f t="shared" si="6"/>
        <v>4000</v>
      </c>
      <c r="K188" s="63">
        <f t="shared" si="1"/>
        <v>1175</v>
      </c>
      <c r="L188" s="63">
        <f>K188*Budget!$B$36</f>
        <v>705</v>
      </c>
      <c r="M188" s="63">
        <f>MAX(0,L188-Calcul!AY186)</f>
        <v>705</v>
      </c>
      <c r="N188" s="63">
        <f t="shared" si="2"/>
        <v>1175</v>
      </c>
      <c r="O188" s="64">
        <f t="shared" si="7"/>
        <v>192502.130164</v>
      </c>
      <c r="P188" s="65">
        <f>Calcul!AZ186</f>
        <v>0</v>
      </c>
      <c r="Q188" s="66" t="str">
        <f t="shared" si="3"/>
        <v/>
      </c>
      <c r="R188" s="67">
        <f>IF(H188&gt;=Budget!$B$29,1,0)</f>
        <v>0</v>
      </c>
      <c r="S188" s="67">
        <f>IF(J188&gt;=Budget!$B$32,1,0)</f>
        <v>1</v>
      </c>
      <c r="T188" s="67">
        <f t="shared" si="4"/>
        <v>1</v>
      </c>
      <c r="U188" s="4"/>
      <c r="V188" s="4"/>
      <c r="AA188" s="68">
        <f>Budget!$B$29</f>
        <v>4000</v>
      </c>
      <c r="AB188" s="68">
        <f>Budget!$B$32</f>
        <v>4000</v>
      </c>
    </row>
    <row r="189" spans="1:28" ht="15" customHeight="1" x14ac:dyDescent="0.25">
      <c r="A189" s="55">
        <v>185</v>
      </c>
      <c r="B189" s="56">
        <f>EDATE(Budget!$B$28,A189-1)</f>
        <v>51987</v>
      </c>
      <c r="C189" s="57">
        <f>Budget!$B$7</f>
        <v>2900</v>
      </c>
      <c r="D189" s="57">
        <f>Budget!$B$18+Budget!$B$25</f>
        <v>1725</v>
      </c>
      <c r="E189" s="57">
        <f>Calcul!AX187</f>
        <v>0</v>
      </c>
      <c r="F189" s="58">
        <f t="shared" si="0"/>
        <v>1175</v>
      </c>
      <c r="G189" s="59">
        <f>IF(B189&lt;=Budget!$B$30,MAX(0,MIN(F189,Budget!$B$29-H188)),0)</f>
        <v>0</v>
      </c>
      <c r="H189" s="60">
        <f t="shared" si="5"/>
        <v>3511.3</v>
      </c>
      <c r="I189" s="61">
        <f>MAX(0,MIN(F189-G189,Budget!$B$32-J188))</f>
        <v>0</v>
      </c>
      <c r="J189" s="62">
        <f t="shared" si="6"/>
        <v>4000</v>
      </c>
      <c r="K189" s="63">
        <f t="shared" si="1"/>
        <v>1175</v>
      </c>
      <c r="L189" s="63">
        <f>K189*Budget!$B$36</f>
        <v>705</v>
      </c>
      <c r="M189" s="63">
        <f>MAX(0,L189-Calcul!AY187)</f>
        <v>705</v>
      </c>
      <c r="N189" s="63">
        <f t="shared" si="2"/>
        <v>1175</v>
      </c>
      <c r="O189" s="64">
        <f t="shared" si="7"/>
        <v>193677.130164</v>
      </c>
      <c r="P189" s="65">
        <f>Calcul!AZ187</f>
        <v>0</v>
      </c>
      <c r="Q189" s="66" t="str">
        <f t="shared" si="3"/>
        <v/>
      </c>
      <c r="R189" s="67">
        <f>IF(H189&gt;=Budget!$B$29,1,0)</f>
        <v>0</v>
      </c>
      <c r="S189" s="67">
        <f>IF(J189&gt;=Budget!$B$32,1,0)</f>
        <v>1</v>
      </c>
      <c r="T189" s="67">
        <f t="shared" si="4"/>
        <v>1</v>
      </c>
      <c r="U189" s="4"/>
      <c r="V189" s="4"/>
      <c r="AA189" s="68">
        <f>Budget!$B$29</f>
        <v>4000</v>
      </c>
      <c r="AB189" s="68">
        <f>Budget!$B$32</f>
        <v>4000</v>
      </c>
    </row>
    <row r="190" spans="1:28" ht="15" customHeight="1" x14ac:dyDescent="0.25">
      <c r="A190" s="55">
        <v>186</v>
      </c>
      <c r="B190" s="56">
        <f>EDATE(Budget!$B$28,A190-1)</f>
        <v>52018</v>
      </c>
      <c r="C190" s="57">
        <f>Budget!$B$7</f>
        <v>2900</v>
      </c>
      <c r="D190" s="57">
        <f>Budget!$B$18+Budget!$B$25</f>
        <v>1725</v>
      </c>
      <c r="E190" s="57">
        <f>Calcul!AX188</f>
        <v>0</v>
      </c>
      <c r="F190" s="58">
        <f t="shared" si="0"/>
        <v>1175</v>
      </c>
      <c r="G190" s="59">
        <f>IF(B190&lt;=Budget!$B$30,MAX(0,MIN(F190,Budget!$B$29-H189)),0)</f>
        <v>0</v>
      </c>
      <c r="H190" s="60">
        <f t="shared" si="5"/>
        <v>3511.3</v>
      </c>
      <c r="I190" s="61">
        <f>MAX(0,MIN(F190-G190,Budget!$B$32-J189))</f>
        <v>0</v>
      </c>
      <c r="J190" s="62">
        <f t="shared" si="6"/>
        <v>4000</v>
      </c>
      <c r="K190" s="63">
        <f t="shared" si="1"/>
        <v>1175</v>
      </c>
      <c r="L190" s="63">
        <f>K190*Budget!$B$36</f>
        <v>705</v>
      </c>
      <c r="M190" s="63">
        <f>MAX(0,L190-Calcul!AY188)</f>
        <v>705</v>
      </c>
      <c r="N190" s="63">
        <f t="shared" si="2"/>
        <v>1175</v>
      </c>
      <c r="O190" s="64">
        <f t="shared" si="7"/>
        <v>194852.130164</v>
      </c>
      <c r="P190" s="65">
        <f>Calcul!AZ188</f>
        <v>0</v>
      </c>
      <c r="Q190" s="66" t="str">
        <f t="shared" si="3"/>
        <v/>
      </c>
      <c r="R190" s="67">
        <f>IF(H190&gt;=Budget!$B$29,1,0)</f>
        <v>0</v>
      </c>
      <c r="S190" s="67">
        <f>IF(J190&gt;=Budget!$B$32,1,0)</f>
        <v>1</v>
      </c>
      <c r="T190" s="67">
        <f t="shared" si="4"/>
        <v>1</v>
      </c>
      <c r="U190" s="4"/>
      <c r="V190" s="4"/>
      <c r="AA190" s="68">
        <f>Budget!$B$29</f>
        <v>4000</v>
      </c>
      <c r="AB190" s="68">
        <f>Budget!$B$32</f>
        <v>4000</v>
      </c>
    </row>
    <row r="191" spans="1:28" ht="15" customHeight="1" x14ac:dyDescent="0.25">
      <c r="A191" s="55">
        <v>187</v>
      </c>
      <c r="B191" s="56">
        <f>EDATE(Budget!$B$28,A191-1)</f>
        <v>52048</v>
      </c>
      <c r="C191" s="57">
        <f>Budget!$B$7</f>
        <v>2900</v>
      </c>
      <c r="D191" s="57">
        <f>Budget!$B$18+Budget!$B$25</f>
        <v>1725</v>
      </c>
      <c r="E191" s="57">
        <f>Calcul!AX189</f>
        <v>0</v>
      </c>
      <c r="F191" s="58">
        <f t="shared" si="0"/>
        <v>1175</v>
      </c>
      <c r="G191" s="59">
        <f>IF(B191&lt;=Budget!$B$30,MAX(0,MIN(F191,Budget!$B$29-H190)),0)</f>
        <v>0</v>
      </c>
      <c r="H191" s="60">
        <f t="shared" si="5"/>
        <v>3511.3</v>
      </c>
      <c r="I191" s="61">
        <f>MAX(0,MIN(F191-G191,Budget!$B$32-J190))</f>
        <v>0</v>
      </c>
      <c r="J191" s="62">
        <f t="shared" si="6"/>
        <v>4000</v>
      </c>
      <c r="K191" s="63">
        <f t="shared" si="1"/>
        <v>1175</v>
      </c>
      <c r="L191" s="63">
        <f>K191*Budget!$B$36</f>
        <v>705</v>
      </c>
      <c r="M191" s="63">
        <f>MAX(0,L191-Calcul!AY189)</f>
        <v>705</v>
      </c>
      <c r="N191" s="63">
        <f t="shared" si="2"/>
        <v>1175</v>
      </c>
      <c r="O191" s="64">
        <f t="shared" si="7"/>
        <v>196027.130164</v>
      </c>
      <c r="P191" s="65">
        <f>Calcul!AZ189</f>
        <v>0</v>
      </c>
      <c r="Q191" s="66" t="str">
        <f t="shared" si="3"/>
        <v/>
      </c>
      <c r="R191" s="67">
        <f>IF(H191&gt;=Budget!$B$29,1,0)</f>
        <v>0</v>
      </c>
      <c r="S191" s="67">
        <f>IF(J191&gt;=Budget!$B$32,1,0)</f>
        <v>1</v>
      </c>
      <c r="T191" s="67">
        <f t="shared" si="4"/>
        <v>1</v>
      </c>
      <c r="U191" s="4"/>
      <c r="V191" s="4"/>
      <c r="AA191" s="68">
        <f>Budget!$B$29</f>
        <v>4000</v>
      </c>
      <c r="AB191" s="68">
        <f>Budget!$B$32</f>
        <v>4000</v>
      </c>
    </row>
    <row r="192" spans="1:28" ht="15" customHeight="1" x14ac:dyDescent="0.25">
      <c r="A192" s="55">
        <v>188</v>
      </c>
      <c r="B192" s="56">
        <f>EDATE(Budget!$B$28,A192-1)</f>
        <v>52079</v>
      </c>
      <c r="C192" s="57">
        <f>Budget!$B$7</f>
        <v>2900</v>
      </c>
      <c r="D192" s="57">
        <f>Budget!$B$18+Budget!$B$25</f>
        <v>1725</v>
      </c>
      <c r="E192" s="57">
        <f>Calcul!AX190</f>
        <v>0</v>
      </c>
      <c r="F192" s="58">
        <f t="shared" si="0"/>
        <v>1175</v>
      </c>
      <c r="G192" s="59">
        <f>IF(B192&lt;=Budget!$B$30,MAX(0,MIN(F192,Budget!$B$29-H191)),0)</f>
        <v>0</v>
      </c>
      <c r="H192" s="60">
        <f t="shared" si="5"/>
        <v>3511.3</v>
      </c>
      <c r="I192" s="61">
        <f>MAX(0,MIN(F192-G192,Budget!$B$32-J191))</f>
        <v>0</v>
      </c>
      <c r="J192" s="62">
        <f t="shared" si="6"/>
        <v>4000</v>
      </c>
      <c r="K192" s="63">
        <f t="shared" si="1"/>
        <v>1175</v>
      </c>
      <c r="L192" s="63">
        <f>K192*Budget!$B$36</f>
        <v>705</v>
      </c>
      <c r="M192" s="63">
        <f>MAX(0,L192-Calcul!AY190)</f>
        <v>705</v>
      </c>
      <c r="N192" s="63">
        <f t="shared" si="2"/>
        <v>1175</v>
      </c>
      <c r="O192" s="64">
        <f t="shared" si="7"/>
        <v>197202.130164</v>
      </c>
      <c r="P192" s="65">
        <f>Calcul!AZ190</f>
        <v>0</v>
      </c>
      <c r="Q192" s="66" t="str">
        <f t="shared" si="3"/>
        <v/>
      </c>
      <c r="R192" s="67">
        <f>IF(H192&gt;=Budget!$B$29,1,0)</f>
        <v>0</v>
      </c>
      <c r="S192" s="67">
        <f>IF(J192&gt;=Budget!$B$32,1,0)</f>
        <v>1</v>
      </c>
      <c r="T192" s="67">
        <f t="shared" si="4"/>
        <v>1</v>
      </c>
      <c r="U192" s="4"/>
      <c r="V192" s="4"/>
      <c r="AA192" s="68">
        <f>Budget!$B$29</f>
        <v>4000</v>
      </c>
      <c r="AB192" s="68">
        <f>Budget!$B$32</f>
        <v>4000</v>
      </c>
    </row>
    <row r="193" spans="1:28" ht="15" customHeight="1" x14ac:dyDescent="0.25">
      <c r="A193" s="55">
        <v>189</v>
      </c>
      <c r="B193" s="56">
        <f>EDATE(Budget!$B$28,A193-1)</f>
        <v>52110</v>
      </c>
      <c r="C193" s="57">
        <f>Budget!$B$7</f>
        <v>2900</v>
      </c>
      <c r="D193" s="57">
        <f>Budget!$B$18+Budget!$B$25</f>
        <v>1725</v>
      </c>
      <c r="E193" s="57">
        <f>Calcul!AX191</f>
        <v>0</v>
      </c>
      <c r="F193" s="58">
        <f t="shared" si="0"/>
        <v>1175</v>
      </c>
      <c r="G193" s="59">
        <f>IF(B193&lt;=Budget!$B$30,MAX(0,MIN(F193,Budget!$B$29-H192)),0)</f>
        <v>0</v>
      </c>
      <c r="H193" s="60">
        <f t="shared" si="5"/>
        <v>3511.3</v>
      </c>
      <c r="I193" s="61">
        <f>MAX(0,MIN(F193-G193,Budget!$B$32-J192))</f>
        <v>0</v>
      </c>
      <c r="J193" s="62">
        <f t="shared" si="6"/>
        <v>4000</v>
      </c>
      <c r="K193" s="63">
        <f t="shared" si="1"/>
        <v>1175</v>
      </c>
      <c r="L193" s="63">
        <f>K193*Budget!$B$36</f>
        <v>705</v>
      </c>
      <c r="M193" s="63">
        <f>MAX(0,L193-Calcul!AY191)</f>
        <v>705</v>
      </c>
      <c r="N193" s="63">
        <f t="shared" si="2"/>
        <v>1175</v>
      </c>
      <c r="O193" s="64">
        <f t="shared" si="7"/>
        <v>198377.130164</v>
      </c>
      <c r="P193" s="65">
        <f>Calcul!AZ191</f>
        <v>0</v>
      </c>
      <c r="Q193" s="66" t="str">
        <f t="shared" si="3"/>
        <v/>
      </c>
      <c r="R193" s="67">
        <f>IF(H193&gt;=Budget!$B$29,1,0)</f>
        <v>0</v>
      </c>
      <c r="S193" s="67">
        <f>IF(J193&gt;=Budget!$B$32,1,0)</f>
        <v>1</v>
      </c>
      <c r="T193" s="67">
        <f t="shared" si="4"/>
        <v>1</v>
      </c>
      <c r="U193" s="4"/>
      <c r="V193" s="4"/>
      <c r="AA193" s="68">
        <f>Budget!$B$29</f>
        <v>4000</v>
      </c>
      <c r="AB193" s="68">
        <f>Budget!$B$32</f>
        <v>4000</v>
      </c>
    </row>
    <row r="194" spans="1:28" ht="15" customHeight="1" x14ac:dyDescent="0.25">
      <c r="A194" s="55">
        <v>190</v>
      </c>
      <c r="B194" s="56">
        <f>EDATE(Budget!$B$28,A194-1)</f>
        <v>52140</v>
      </c>
      <c r="C194" s="57">
        <f>Budget!$B$7</f>
        <v>2900</v>
      </c>
      <c r="D194" s="57">
        <f>Budget!$B$18+Budget!$B$25</f>
        <v>1725</v>
      </c>
      <c r="E194" s="57">
        <f>Calcul!AX192</f>
        <v>0</v>
      </c>
      <c r="F194" s="58">
        <f t="shared" si="0"/>
        <v>1175</v>
      </c>
      <c r="G194" s="59">
        <f>IF(B194&lt;=Budget!$B$30,MAX(0,MIN(F194,Budget!$B$29-H193)),0)</f>
        <v>0</v>
      </c>
      <c r="H194" s="60">
        <f t="shared" si="5"/>
        <v>3511.3</v>
      </c>
      <c r="I194" s="61">
        <f>MAX(0,MIN(F194-G194,Budget!$B$32-J193))</f>
        <v>0</v>
      </c>
      <c r="J194" s="62">
        <f t="shared" si="6"/>
        <v>4000</v>
      </c>
      <c r="K194" s="63">
        <f t="shared" si="1"/>
        <v>1175</v>
      </c>
      <c r="L194" s="63">
        <f>K194*Budget!$B$36</f>
        <v>705</v>
      </c>
      <c r="M194" s="63">
        <f>MAX(0,L194-Calcul!AY192)</f>
        <v>705</v>
      </c>
      <c r="N194" s="63">
        <f t="shared" si="2"/>
        <v>1175</v>
      </c>
      <c r="O194" s="64">
        <f t="shared" si="7"/>
        <v>199552.130164</v>
      </c>
      <c r="P194" s="65">
        <f>Calcul!AZ192</f>
        <v>0</v>
      </c>
      <c r="Q194" s="66" t="str">
        <f t="shared" si="3"/>
        <v/>
      </c>
      <c r="R194" s="67">
        <f>IF(H194&gt;=Budget!$B$29,1,0)</f>
        <v>0</v>
      </c>
      <c r="S194" s="67">
        <f>IF(J194&gt;=Budget!$B$32,1,0)</f>
        <v>1</v>
      </c>
      <c r="T194" s="67">
        <f t="shared" si="4"/>
        <v>1</v>
      </c>
      <c r="U194" s="4"/>
      <c r="V194" s="4"/>
      <c r="AA194" s="68">
        <f>Budget!$B$29</f>
        <v>4000</v>
      </c>
      <c r="AB194" s="68">
        <f>Budget!$B$32</f>
        <v>4000</v>
      </c>
    </row>
    <row r="195" spans="1:28" ht="15" customHeight="1" x14ac:dyDescent="0.25">
      <c r="A195" s="55">
        <v>191</v>
      </c>
      <c r="B195" s="56">
        <f>EDATE(Budget!$B$28,A195-1)</f>
        <v>52171</v>
      </c>
      <c r="C195" s="57">
        <f>Budget!$B$7</f>
        <v>2900</v>
      </c>
      <c r="D195" s="57">
        <f>Budget!$B$18+Budget!$B$25</f>
        <v>1725</v>
      </c>
      <c r="E195" s="57">
        <f>Calcul!AX193</f>
        <v>0</v>
      </c>
      <c r="F195" s="58">
        <f t="shared" si="0"/>
        <v>1175</v>
      </c>
      <c r="G195" s="59">
        <f>IF(B195&lt;=Budget!$B$30,MAX(0,MIN(F195,Budget!$B$29-H194)),0)</f>
        <v>0</v>
      </c>
      <c r="H195" s="60">
        <f t="shared" si="5"/>
        <v>3511.3</v>
      </c>
      <c r="I195" s="61">
        <f>MAX(0,MIN(F195-G195,Budget!$B$32-J194))</f>
        <v>0</v>
      </c>
      <c r="J195" s="62">
        <f t="shared" si="6"/>
        <v>4000</v>
      </c>
      <c r="K195" s="63">
        <f t="shared" si="1"/>
        <v>1175</v>
      </c>
      <c r="L195" s="63">
        <f>K195*Budget!$B$36</f>
        <v>705</v>
      </c>
      <c r="M195" s="63">
        <f>MAX(0,L195-Calcul!AY193)</f>
        <v>705</v>
      </c>
      <c r="N195" s="63">
        <f t="shared" si="2"/>
        <v>1175</v>
      </c>
      <c r="O195" s="64">
        <f t="shared" si="7"/>
        <v>200727.130164</v>
      </c>
      <c r="P195" s="65">
        <f>Calcul!AZ193</f>
        <v>0</v>
      </c>
      <c r="Q195" s="66" t="str">
        <f t="shared" si="3"/>
        <v/>
      </c>
      <c r="R195" s="67">
        <f>IF(H195&gt;=Budget!$B$29,1,0)</f>
        <v>0</v>
      </c>
      <c r="S195" s="67">
        <f>IF(J195&gt;=Budget!$B$32,1,0)</f>
        <v>1</v>
      </c>
      <c r="T195" s="67">
        <f t="shared" si="4"/>
        <v>1</v>
      </c>
      <c r="U195" s="4"/>
      <c r="V195" s="4"/>
      <c r="AA195" s="68">
        <f>Budget!$B$29</f>
        <v>4000</v>
      </c>
      <c r="AB195" s="68">
        <f>Budget!$B$32</f>
        <v>4000</v>
      </c>
    </row>
    <row r="196" spans="1:28" ht="15" customHeight="1" x14ac:dyDescent="0.25">
      <c r="A196" s="55">
        <v>192</v>
      </c>
      <c r="B196" s="56">
        <f>EDATE(Budget!$B$28,A196-1)</f>
        <v>52201</v>
      </c>
      <c r="C196" s="57">
        <f>Budget!$B$7</f>
        <v>2900</v>
      </c>
      <c r="D196" s="57">
        <f>Budget!$B$18+Budget!$B$25</f>
        <v>1725</v>
      </c>
      <c r="E196" s="57">
        <f>Calcul!AX194</f>
        <v>0</v>
      </c>
      <c r="F196" s="58">
        <f t="shared" si="0"/>
        <v>1175</v>
      </c>
      <c r="G196" s="59">
        <f>IF(B196&lt;=Budget!$B$30,MAX(0,MIN(F196,Budget!$B$29-H195)),0)</f>
        <v>0</v>
      </c>
      <c r="H196" s="60">
        <f t="shared" si="5"/>
        <v>3511.3</v>
      </c>
      <c r="I196" s="61">
        <f>MAX(0,MIN(F196-G196,Budget!$B$32-J195))</f>
        <v>0</v>
      </c>
      <c r="J196" s="62">
        <f t="shared" si="6"/>
        <v>4000</v>
      </c>
      <c r="K196" s="63">
        <f t="shared" si="1"/>
        <v>1175</v>
      </c>
      <c r="L196" s="63">
        <f>K196*Budget!$B$36</f>
        <v>705</v>
      </c>
      <c r="M196" s="63">
        <f>MAX(0,L196-Calcul!AY194)</f>
        <v>705</v>
      </c>
      <c r="N196" s="63">
        <f t="shared" si="2"/>
        <v>1175</v>
      </c>
      <c r="O196" s="64">
        <f t="shared" si="7"/>
        <v>201902.130164</v>
      </c>
      <c r="P196" s="65">
        <f>Calcul!AZ194</f>
        <v>0</v>
      </c>
      <c r="Q196" s="66" t="str">
        <f t="shared" si="3"/>
        <v/>
      </c>
      <c r="R196" s="67">
        <f>IF(H196&gt;=Budget!$B$29,1,0)</f>
        <v>0</v>
      </c>
      <c r="S196" s="67">
        <f>IF(J196&gt;=Budget!$B$32,1,0)</f>
        <v>1</v>
      </c>
      <c r="T196" s="67">
        <f t="shared" si="4"/>
        <v>1</v>
      </c>
      <c r="U196" s="4"/>
      <c r="V196" s="4"/>
      <c r="AA196" s="68">
        <f>Budget!$B$29</f>
        <v>4000</v>
      </c>
      <c r="AB196" s="68">
        <f>Budget!$B$32</f>
        <v>4000</v>
      </c>
    </row>
    <row r="197" spans="1:28" ht="15" customHeight="1" x14ac:dyDescent="0.25">
      <c r="A197" s="55">
        <v>193</v>
      </c>
      <c r="B197" s="56">
        <f>EDATE(Budget!$B$28,A197-1)</f>
        <v>52232</v>
      </c>
      <c r="C197" s="57">
        <f>Budget!$B$7</f>
        <v>2900</v>
      </c>
      <c r="D197" s="57">
        <f>Budget!$B$18+Budget!$B$25</f>
        <v>1725</v>
      </c>
      <c r="E197" s="57">
        <f>Calcul!AX195</f>
        <v>0</v>
      </c>
      <c r="F197" s="58">
        <f t="shared" si="0"/>
        <v>1175</v>
      </c>
      <c r="G197" s="59">
        <f>IF(B197&lt;=Budget!$B$30,MAX(0,MIN(F197,Budget!$B$29-H196)),0)</f>
        <v>0</v>
      </c>
      <c r="H197" s="60">
        <f t="shared" si="5"/>
        <v>3511.3</v>
      </c>
      <c r="I197" s="61">
        <f>MAX(0,MIN(F197-G197,Budget!$B$32-J196))</f>
        <v>0</v>
      </c>
      <c r="J197" s="62">
        <f t="shared" si="6"/>
        <v>4000</v>
      </c>
      <c r="K197" s="63">
        <f t="shared" si="1"/>
        <v>1175</v>
      </c>
      <c r="L197" s="63">
        <f>K197*Budget!$B$36</f>
        <v>705</v>
      </c>
      <c r="M197" s="63">
        <f>MAX(0,L197-Calcul!AY195)</f>
        <v>705</v>
      </c>
      <c r="N197" s="63">
        <f t="shared" si="2"/>
        <v>1175</v>
      </c>
      <c r="O197" s="64">
        <f t="shared" si="7"/>
        <v>203077.130164</v>
      </c>
      <c r="P197" s="65">
        <f>Calcul!AZ195</f>
        <v>0</v>
      </c>
      <c r="Q197" s="66" t="str">
        <f t="shared" si="3"/>
        <v/>
      </c>
      <c r="R197" s="67">
        <f>IF(H197&gt;=Budget!$B$29,1,0)</f>
        <v>0</v>
      </c>
      <c r="S197" s="67">
        <f>IF(J197&gt;=Budget!$B$32,1,0)</f>
        <v>1</v>
      </c>
      <c r="T197" s="67">
        <f t="shared" si="4"/>
        <v>1</v>
      </c>
      <c r="U197" s="4"/>
      <c r="V197" s="4"/>
      <c r="AA197" s="68">
        <f>Budget!$B$29</f>
        <v>4000</v>
      </c>
      <c r="AB197" s="68">
        <f>Budget!$B$32</f>
        <v>4000</v>
      </c>
    </row>
    <row r="198" spans="1:28" ht="15" customHeight="1" x14ac:dyDescent="0.25">
      <c r="A198" s="55">
        <v>194</v>
      </c>
      <c r="B198" s="56">
        <f>EDATE(Budget!$B$28,A198-1)</f>
        <v>52263</v>
      </c>
      <c r="C198" s="57">
        <f>Budget!$B$7</f>
        <v>2900</v>
      </c>
      <c r="D198" s="57">
        <f>Budget!$B$18+Budget!$B$25</f>
        <v>1725</v>
      </c>
      <c r="E198" s="57">
        <f>Calcul!AX196</f>
        <v>0</v>
      </c>
      <c r="F198" s="58">
        <f t="shared" si="0"/>
        <v>1175</v>
      </c>
      <c r="G198" s="59">
        <f>IF(B198&lt;=Budget!$B$30,MAX(0,MIN(F198,Budget!$B$29-H197)),0)</f>
        <v>0</v>
      </c>
      <c r="H198" s="60">
        <f t="shared" si="5"/>
        <v>3511.3</v>
      </c>
      <c r="I198" s="61">
        <f>MAX(0,MIN(F198-G198,Budget!$B$32-J197))</f>
        <v>0</v>
      </c>
      <c r="J198" s="62">
        <f t="shared" si="6"/>
        <v>4000</v>
      </c>
      <c r="K198" s="63">
        <f t="shared" si="1"/>
        <v>1175</v>
      </c>
      <c r="L198" s="63">
        <f>K198*Budget!$B$36</f>
        <v>705</v>
      </c>
      <c r="M198" s="63">
        <f>MAX(0,L198-Calcul!AY196)</f>
        <v>705</v>
      </c>
      <c r="N198" s="63">
        <f t="shared" si="2"/>
        <v>1175</v>
      </c>
      <c r="O198" s="64">
        <f t="shared" si="7"/>
        <v>204252.130164</v>
      </c>
      <c r="P198" s="65">
        <f>Calcul!AZ196</f>
        <v>0</v>
      </c>
      <c r="Q198" s="66" t="str">
        <f t="shared" si="3"/>
        <v/>
      </c>
      <c r="R198" s="67">
        <f>IF(H198&gt;=Budget!$B$29,1,0)</f>
        <v>0</v>
      </c>
      <c r="S198" s="67">
        <f>IF(J198&gt;=Budget!$B$32,1,0)</f>
        <v>1</v>
      </c>
      <c r="T198" s="67">
        <f t="shared" si="4"/>
        <v>1</v>
      </c>
      <c r="U198" s="4"/>
      <c r="V198" s="4"/>
      <c r="AA198" s="68">
        <f>Budget!$B$29</f>
        <v>4000</v>
      </c>
      <c r="AB198" s="68">
        <f>Budget!$B$32</f>
        <v>4000</v>
      </c>
    </row>
    <row r="199" spans="1:28" ht="15" customHeight="1" x14ac:dyDescent="0.25">
      <c r="A199" s="55">
        <v>195</v>
      </c>
      <c r="B199" s="56">
        <f>EDATE(Budget!$B$28,A199-1)</f>
        <v>52291</v>
      </c>
      <c r="C199" s="57">
        <f>Budget!$B$7</f>
        <v>2900</v>
      </c>
      <c r="D199" s="57">
        <f>Budget!$B$18+Budget!$B$25</f>
        <v>1725</v>
      </c>
      <c r="E199" s="57">
        <f>Calcul!AX197</f>
        <v>0</v>
      </c>
      <c r="F199" s="58">
        <f t="shared" si="0"/>
        <v>1175</v>
      </c>
      <c r="G199" s="59">
        <f>IF(B199&lt;=Budget!$B$30,MAX(0,MIN(F199,Budget!$B$29-H198)),0)</f>
        <v>0</v>
      </c>
      <c r="H199" s="60">
        <f t="shared" si="5"/>
        <v>3511.3</v>
      </c>
      <c r="I199" s="61">
        <f>MAX(0,MIN(F199-G199,Budget!$B$32-J198))</f>
        <v>0</v>
      </c>
      <c r="J199" s="62">
        <f t="shared" si="6"/>
        <v>4000</v>
      </c>
      <c r="K199" s="63">
        <f t="shared" si="1"/>
        <v>1175</v>
      </c>
      <c r="L199" s="63">
        <f>K199*Budget!$B$36</f>
        <v>705</v>
      </c>
      <c r="M199" s="63">
        <f>MAX(0,L199-Calcul!AY197)</f>
        <v>705</v>
      </c>
      <c r="N199" s="63">
        <f t="shared" si="2"/>
        <v>1175</v>
      </c>
      <c r="O199" s="64">
        <f t="shared" si="7"/>
        <v>205427.130164</v>
      </c>
      <c r="P199" s="65">
        <f>Calcul!AZ197</f>
        <v>0</v>
      </c>
      <c r="Q199" s="66" t="str">
        <f t="shared" si="3"/>
        <v/>
      </c>
      <c r="R199" s="67">
        <f>IF(H199&gt;=Budget!$B$29,1,0)</f>
        <v>0</v>
      </c>
      <c r="S199" s="67">
        <f>IF(J199&gt;=Budget!$B$32,1,0)</f>
        <v>1</v>
      </c>
      <c r="T199" s="67">
        <f t="shared" si="4"/>
        <v>1</v>
      </c>
      <c r="U199" s="4"/>
      <c r="V199" s="4"/>
      <c r="AA199" s="68">
        <f>Budget!$B$29</f>
        <v>4000</v>
      </c>
      <c r="AB199" s="68">
        <f>Budget!$B$32</f>
        <v>4000</v>
      </c>
    </row>
    <row r="200" spans="1:28" ht="15" customHeight="1" x14ac:dyDescent="0.25">
      <c r="A200" s="55">
        <v>196</v>
      </c>
      <c r="B200" s="56">
        <f>EDATE(Budget!$B$28,A200-1)</f>
        <v>52322</v>
      </c>
      <c r="C200" s="57">
        <f>Budget!$B$7</f>
        <v>2900</v>
      </c>
      <c r="D200" s="57">
        <f>Budget!$B$18+Budget!$B$25</f>
        <v>1725</v>
      </c>
      <c r="E200" s="57">
        <f>Calcul!AX198</f>
        <v>0</v>
      </c>
      <c r="F200" s="58">
        <f t="shared" si="0"/>
        <v>1175</v>
      </c>
      <c r="G200" s="59">
        <f>IF(B200&lt;=Budget!$B$30,MAX(0,MIN(F200,Budget!$B$29-H199)),0)</f>
        <v>0</v>
      </c>
      <c r="H200" s="60">
        <f t="shared" si="5"/>
        <v>3511.3</v>
      </c>
      <c r="I200" s="61">
        <f>MAX(0,MIN(F200-G200,Budget!$B$32-J199))</f>
        <v>0</v>
      </c>
      <c r="J200" s="62">
        <f t="shared" si="6"/>
        <v>4000</v>
      </c>
      <c r="K200" s="63">
        <f t="shared" si="1"/>
        <v>1175</v>
      </c>
      <c r="L200" s="63">
        <f>K200*Budget!$B$36</f>
        <v>705</v>
      </c>
      <c r="M200" s="63">
        <f>MAX(0,L200-Calcul!AY198)</f>
        <v>705</v>
      </c>
      <c r="N200" s="63">
        <f t="shared" si="2"/>
        <v>1175</v>
      </c>
      <c r="O200" s="64">
        <f t="shared" si="7"/>
        <v>206602.130164</v>
      </c>
      <c r="P200" s="65">
        <f>Calcul!AZ198</f>
        <v>0</v>
      </c>
      <c r="Q200" s="66" t="str">
        <f t="shared" si="3"/>
        <v/>
      </c>
      <c r="R200" s="67">
        <f>IF(H200&gt;=Budget!$B$29,1,0)</f>
        <v>0</v>
      </c>
      <c r="S200" s="67">
        <f>IF(J200&gt;=Budget!$B$32,1,0)</f>
        <v>1</v>
      </c>
      <c r="T200" s="67">
        <f t="shared" si="4"/>
        <v>1</v>
      </c>
      <c r="U200" s="4"/>
      <c r="V200" s="4"/>
      <c r="AA200" s="68">
        <f>Budget!$B$29</f>
        <v>4000</v>
      </c>
      <c r="AB200" s="68">
        <f>Budget!$B$32</f>
        <v>4000</v>
      </c>
    </row>
    <row r="201" spans="1:28" ht="15" customHeight="1" x14ac:dyDescent="0.25">
      <c r="A201" s="55">
        <v>197</v>
      </c>
      <c r="B201" s="56">
        <f>EDATE(Budget!$B$28,A201-1)</f>
        <v>52352</v>
      </c>
      <c r="C201" s="57">
        <f>Budget!$B$7</f>
        <v>2900</v>
      </c>
      <c r="D201" s="57">
        <f>Budget!$B$18+Budget!$B$25</f>
        <v>1725</v>
      </c>
      <c r="E201" s="57">
        <f>Calcul!AX199</f>
        <v>0</v>
      </c>
      <c r="F201" s="58">
        <f t="shared" si="0"/>
        <v>1175</v>
      </c>
      <c r="G201" s="59">
        <f>IF(B201&lt;=Budget!$B$30,MAX(0,MIN(F201,Budget!$B$29-H200)),0)</f>
        <v>0</v>
      </c>
      <c r="H201" s="60">
        <f t="shared" si="5"/>
        <v>3511.3</v>
      </c>
      <c r="I201" s="61">
        <f>MAX(0,MIN(F201-G201,Budget!$B$32-J200))</f>
        <v>0</v>
      </c>
      <c r="J201" s="62">
        <f t="shared" si="6"/>
        <v>4000</v>
      </c>
      <c r="K201" s="63">
        <f t="shared" si="1"/>
        <v>1175</v>
      </c>
      <c r="L201" s="63">
        <f>K201*Budget!$B$36</f>
        <v>705</v>
      </c>
      <c r="M201" s="63">
        <f>MAX(0,L201-Calcul!AY199)</f>
        <v>705</v>
      </c>
      <c r="N201" s="63">
        <f t="shared" si="2"/>
        <v>1175</v>
      </c>
      <c r="O201" s="64">
        <f t="shared" si="7"/>
        <v>207777.130164</v>
      </c>
      <c r="P201" s="65">
        <f>Calcul!AZ199</f>
        <v>0</v>
      </c>
      <c r="Q201" s="66" t="str">
        <f t="shared" si="3"/>
        <v/>
      </c>
      <c r="R201" s="67">
        <f>IF(H201&gt;=Budget!$B$29,1,0)</f>
        <v>0</v>
      </c>
      <c r="S201" s="67">
        <f>IF(J201&gt;=Budget!$B$32,1,0)</f>
        <v>1</v>
      </c>
      <c r="T201" s="67">
        <f t="shared" si="4"/>
        <v>1</v>
      </c>
      <c r="U201" s="4"/>
      <c r="V201" s="4"/>
      <c r="AA201" s="68">
        <f>Budget!$B$29</f>
        <v>4000</v>
      </c>
      <c r="AB201" s="68">
        <f>Budget!$B$32</f>
        <v>4000</v>
      </c>
    </row>
    <row r="202" spans="1:28" ht="15" customHeight="1" x14ac:dyDescent="0.25">
      <c r="A202" s="55">
        <v>198</v>
      </c>
      <c r="B202" s="56">
        <f>EDATE(Budget!$B$28,A202-1)</f>
        <v>52383</v>
      </c>
      <c r="C202" s="57">
        <f>Budget!$B$7</f>
        <v>2900</v>
      </c>
      <c r="D202" s="57">
        <f>Budget!$B$18+Budget!$B$25</f>
        <v>1725</v>
      </c>
      <c r="E202" s="57">
        <f>Calcul!AX200</f>
        <v>0</v>
      </c>
      <c r="F202" s="58">
        <f t="shared" si="0"/>
        <v>1175</v>
      </c>
      <c r="G202" s="59">
        <f>IF(B202&lt;=Budget!$B$30,MAX(0,MIN(F202,Budget!$B$29-H201)),0)</f>
        <v>0</v>
      </c>
      <c r="H202" s="60">
        <f t="shared" si="5"/>
        <v>3511.3</v>
      </c>
      <c r="I202" s="61">
        <f>MAX(0,MIN(F202-G202,Budget!$B$32-J201))</f>
        <v>0</v>
      </c>
      <c r="J202" s="62">
        <f t="shared" si="6"/>
        <v>4000</v>
      </c>
      <c r="K202" s="63">
        <f t="shared" si="1"/>
        <v>1175</v>
      </c>
      <c r="L202" s="63">
        <f>K202*Budget!$B$36</f>
        <v>705</v>
      </c>
      <c r="M202" s="63">
        <f>MAX(0,L202-Calcul!AY200)</f>
        <v>705</v>
      </c>
      <c r="N202" s="63">
        <f t="shared" si="2"/>
        <v>1175</v>
      </c>
      <c r="O202" s="64">
        <f t="shared" si="7"/>
        <v>208952.130164</v>
      </c>
      <c r="P202" s="65">
        <f>Calcul!AZ200</f>
        <v>0</v>
      </c>
      <c r="Q202" s="66" t="str">
        <f t="shared" si="3"/>
        <v/>
      </c>
      <c r="R202" s="67">
        <f>IF(H202&gt;=Budget!$B$29,1,0)</f>
        <v>0</v>
      </c>
      <c r="S202" s="67">
        <f>IF(J202&gt;=Budget!$B$32,1,0)</f>
        <v>1</v>
      </c>
      <c r="T202" s="67">
        <f t="shared" si="4"/>
        <v>1</v>
      </c>
      <c r="U202" s="4"/>
      <c r="V202" s="4"/>
      <c r="AA202" s="68">
        <f>Budget!$B$29</f>
        <v>4000</v>
      </c>
      <c r="AB202" s="68">
        <f>Budget!$B$32</f>
        <v>4000</v>
      </c>
    </row>
    <row r="203" spans="1:28" ht="15" customHeight="1" x14ac:dyDescent="0.25">
      <c r="A203" s="55">
        <v>199</v>
      </c>
      <c r="B203" s="56">
        <f>EDATE(Budget!$B$28,A203-1)</f>
        <v>52413</v>
      </c>
      <c r="C203" s="57">
        <f>Budget!$B$7</f>
        <v>2900</v>
      </c>
      <c r="D203" s="57">
        <f>Budget!$B$18+Budget!$B$25</f>
        <v>1725</v>
      </c>
      <c r="E203" s="57">
        <f>Calcul!AX201</f>
        <v>0</v>
      </c>
      <c r="F203" s="58">
        <f t="shared" si="0"/>
        <v>1175</v>
      </c>
      <c r="G203" s="59">
        <f>IF(B203&lt;=Budget!$B$30,MAX(0,MIN(F203,Budget!$B$29-H202)),0)</f>
        <v>0</v>
      </c>
      <c r="H203" s="60">
        <f t="shared" si="5"/>
        <v>3511.3</v>
      </c>
      <c r="I203" s="61">
        <f>MAX(0,MIN(F203-G203,Budget!$B$32-J202))</f>
        <v>0</v>
      </c>
      <c r="J203" s="62">
        <f t="shared" si="6"/>
        <v>4000</v>
      </c>
      <c r="K203" s="63">
        <f t="shared" si="1"/>
        <v>1175</v>
      </c>
      <c r="L203" s="63">
        <f>K203*Budget!$B$36</f>
        <v>705</v>
      </c>
      <c r="M203" s="63">
        <f>MAX(0,L203-Calcul!AY201)</f>
        <v>705</v>
      </c>
      <c r="N203" s="63">
        <f t="shared" si="2"/>
        <v>1175</v>
      </c>
      <c r="O203" s="64">
        <f t="shared" si="7"/>
        <v>210127.130164</v>
      </c>
      <c r="P203" s="65">
        <f>Calcul!AZ201</f>
        <v>0</v>
      </c>
      <c r="Q203" s="66" t="str">
        <f t="shared" si="3"/>
        <v/>
      </c>
      <c r="R203" s="67">
        <f>IF(H203&gt;=Budget!$B$29,1,0)</f>
        <v>0</v>
      </c>
      <c r="S203" s="67">
        <f>IF(J203&gt;=Budget!$B$32,1,0)</f>
        <v>1</v>
      </c>
      <c r="T203" s="67">
        <f t="shared" si="4"/>
        <v>1</v>
      </c>
      <c r="U203" s="4"/>
      <c r="V203" s="4"/>
      <c r="AA203" s="68">
        <f>Budget!$B$29</f>
        <v>4000</v>
      </c>
      <c r="AB203" s="68">
        <f>Budget!$B$32</f>
        <v>4000</v>
      </c>
    </row>
    <row r="204" spans="1:28" ht="15" customHeight="1" x14ac:dyDescent="0.25">
      <c r="A204" s="55">
        <v>200</v>
      </c>
      <c r="B204" s="56">
        <f>EDATE(Budget!$B$28,A204-1)</f>
        <v>52444</v>
      </c>
      <c r="C204" s="57">
        <f>Budget!$B$7</f>
        <v>2900</v>
      </c>
      <c r="D204" s="57">
        <f>Budget!$B$18+Budget!$B$25</f>
        <v>1725</v>
      </c>
      <c r="E204" s="57">
        <f>Calcul!AX202</f>
        <v>0</v>
      </c>
      <c r="F204" s="58">
        <f t="shared" si="0"/>
        <v>1175</v>
      </c>
      <c r="G204" s="59">
        <f>IF(B204&lt;=Budget!$B$30,MAX(0,MIN(F204,Budget!$B$29-H203)),0)</f>
        <v>0</v>
      </c>
      <c r="H204" s="60">
        <f t="shared" si="5"/>
        <v>3511.3</v>
      </c>
      <c r="I204" s="61">
        <f>MAX(0,MIN(F204-G204,Budget!$B$32-J203))</f>
        <v>0</v>
      </c>
      <c r="J204" s="62">
        <f t="shared" si="6"/>
        <v>4000</v>
      </c>
      <c r="K204" s="63">
        <f t="shared" si="1"/>
        <v>1175</v>
      </c>
      <c r="L204" s="63">
        <f>K204*Budget!$B$36</f>
        <v>705</v>
      </c>
      <c r="M204" s="63">
        <f>MAX(0,L204-Calcul!AY202)</f>
        <v>705</v>
      </c>
      <c r="N204" s="63">
        <f t="shared" si="2"/>
        <v>1175</v>
      </c>
      <c r="O204" s="64">
        <f t="shared" si="7"/>
        <v>211302.130164</v>
      </c>
      <c r="P204" s="65">
        <f>Calcul!AZ202</f>
        <v>0</v>
      </c>
      <c r="Q204" s="66" t="str">
        <f t="shared" si="3"/>
        <v/>
      </c>
      <c r="R204" s="67">
        <f>IF(H204&gt;=Budget!$B$29,1,0)</f>
        <v>0</v>
      </c>
      <c r="S204" s="67">
        <f>IF(J204&gt;=Budget!$B$32,1,0)</f>
        <v>1</v>
      </c>
      <c r="T204" s="67">
        <f t="shared" si="4"/>
        <v>1</v>
      </c>
      <c r="U204" s="4"/>
      <c r="V204" s="4"/>
      <c r="AA204" s="68">
        <f>Budget!$B$29</f>
        <v>4000</v>
      </c>
      <c r="AB204" s="68">
        <f>Budget!$B$32</f>
        <v>4000</v>
      </c>
    </row>
    <row r="205" spans="1:28" ht="15" customHeight="1" x14ac:dyDescent="0.25">
      <c r="A205" s="55">
        <v>201</v>
      </c>
      <c r="B205" s="56">
        <f>EDATE(Budget!$B$28,A205-1)</f>
        <v>52475</v>
      </c>
      <c r="C205" s="57">
        <f>Budget!$B$7</f>
        <v>2900</v>
      </c>
      <c r="D205" s="57">
        <f>Budget!$B$18+Budget!$B$25</f>
        <v>1725</v>
      </c>
      <c r="E205" s="57">
        <f>Calcul!AX203</f>
        <v>0</v>
      </c>
      <c r="F205" s="58">
        <f t="shared" si="0"/>
        <v>1175</v>
      </c>
      <c r="G205" s="59">
        <f>IF(B205&lt;=Budget!$B$30,MAX(0,MIN(F205,Budget!$B$29-H204)),0)</f>
        <v>0</v>
      </c>
      <c r="H205" s="60">
        <f t="shared" si="5"/>
        <v>3511.3</v>
      </c>
      <c r="I205" s="61">
        <f>MAX(0,MIN(F205-G205,Budget!$B$32-J204))</f>
        <v>0</v>
      </c>
      <c r="J205" s="62">
        <f t="shared" si="6"/>
        <v>4000</v>
      </c>
      <c r="K205" s="63">
        <f t="shared" si="1"/>
        <v>1175</v>
      </c>
      <c r="L205" s="63">
        <f>K205*Budget!$B$36</f>
        <v>705</v>
      </c>
      <c r="M205" s="63">
        <f>MAX(0,L205-Calcul!AY203)</f>
        <v>705</v>
      </c>
      <c r="N205" s="63">
        <f t="shared" si="2"/>
        <v>1175</v>
      </c>
      <c r="O205" s="64">
        <f t="shared" si="7"/>
        <v>212477.130164</v>
      </c>
      <c r="P205" s="65">
        <f>Calcul!AZ203</f>
        <v>0</v>
      </c>
      <c r="Q205" s="66" t="str">
        <f t="shared" si="3"/>
        <v/>
      </c>
      <c r="R205" s="67">
        <f>IF(H205&gt;=Budget!$B$29,1,0)</f>
        <v>0</v>
      </c>
      <c r="S205" s="67">
        <f>IF(J205&gt;=Budget!$B$32,1,0)</f>
        <v>1</v>
      </c>
      <c r="T205" s="67">
        <f t="shared" si="4"/>
        <v>1</v>
      </c>
      <c r="U205" s="4"/>
      <c r="V205" s="4"/>
      <c r="AA205" s="68">
        <f>Budget!$B$29</f>
        <v>4000</v>
      </c>
      <c r="AB205" s="68">
        <f>Budget!$B$32</f>
        <v>4000</v>
      </c>
    </row>
    <row r="206" spans="1:28" ht="15" customHeight="1" x14ac:dyDescent="0.25">
      <c r="A206" s="55">
        <v>202</v>
      </c>
      <c r="B206" s="56">
        <f>EDATE(Budget!$B$28,A206-1)</f>
        <v>52505</v>
      </c>
      <c r="C206" s="57">
        <f>Budget!$B$7</f>
        <v>2900</v>
      </c>
      <c r="D206" s="57">
        <f>Budget!$B$18+Budget!$B$25</f>
        <v>1725</v>
      </c>
      <c r="E206" s="57">
        <f>Calcul!AX204</f>
        <v>0</v>
      </c>
      <c r="F206" s="58">
        <f t="shared" si="0"/>
        <v>1175</v>
      </c>
      <c r="G206" s="59">
        <f>IF(B206&lt;=Budget!$B$30,MAX(0,MIN(F206,Budget!$B$29-H205)),0)</f>
        <v>0</v>
      </c>
      <c r="H206" s="60">
        <f t="shared" si="5"/>
        <v>3511.3</v>
      </c>
      <c r="I206" s="61">
        <f>MAX(0,MIN(F206-G206,Budget!$B$32-J205))</f>
        <v>0</v>
      </c>
      <c r="J206" s="62">
        <f t="shared" si="6"/>
        <v>4000</v>
      </c>
      <c r="K206" s="63">
        <f t="shared" si="1"/>
        <v>1175</v>
      </c>
      <c r="L206" s="63">
        <f>K206*Budget!$B$36</f>
        <v>705</v>
      </c>
      <c r="M206" s="63">
        <f>MAX(0,L206-Calcul!AY204)</f>
        <v>705</v>
      </c>
      <c r="N206" s="63">
        <f t="shared" si="2"/>
        <v>1175</v>
      </c>
      <c r="O206" s="64">
        <f t="shared" si="7"/>
        <v>213652.130164</v>
      </c>
      <c r="P206" s="65">
        <f>Calcul!AZ204</f>
        <v>0</v>
      </c>
      <c r="Q206" s="66" t="str">
        <f t="shared" si="3"/>
        <v/>
      </c>
      <c r="R206" s="67">
        <f>IF(H206&gt;=Budget!$B$29,1,0)</f>
        <v>0</v>
      </c>
      <c r="S206" s="67">
        <f>IF(J206&gt;=Budget!$B$32,1,0)</f>
        <v>1</v>
      </c>
      <c r="T206" s="67">
        <f t="shared" si="4"/>
        <v>1</v>
      </c>
      <c r="U206" s="4"/>
      <c r="V206" s="4"/>
      <c r="AA206" s="68">
        <f>Budget!$B$29</f>
        <v>4000</v>
      </c>
      <c r="AB206" s="68">
        <f>Budget!$B$32</f>
        <v>4000</v>
      </c>
    </row>
    <row r="207" spans="1:28" ht="15" customHeight="1" x14ac:dyDescent="0.25">
      <c r="A207" s="55">
        <v>203</v>
      </c>
      <c r="B207" s="56">
        <f>EDATE(Budget!$B$28,A207-1)</f>
        <v>52536</v>
      </c>
      <c r="C207" s="57">
        <f>Budget!$B$7</f>
        <v>2900</v>
      </c>
      <c r="D207" s="57">
        <f>Budget!$B$18+Budget!$B$25</f>
        <v>1725</v>
      </c>
      <c r="E207" s="57">
        <f>Calcul!AX205</f>
        <v>0</v>
      </c>
      <c r="F207" s="58">
        <f t="shared" si="0"/>
        <v>1175</v>
      </c>
      <c r="G207" s="59">
        <f>IF(B207&lt;=Budget!$B$30,MAX(0,MIN(F207,Budget!$B$29-H206)),0)</f>
        <v>0</v>
      </c>
      <c r="H207" s="60">
        <f t="shared" si="5"/>
        <v>3511.3</v>
      </c>
      <c r="I207" s="61">
        <f>MAX(0,MIN(F207-G207,Budget!$B$32-J206))</f>
        <v>0</v>
      </c>
      <c r="J207" s="62">
        <f t="shared" si="6"/>
        <v>4000</v>
      </c>
      <c r="K207" s="63">
        <f t="shared" si="1"/>
        <v>1175</v>
      </c>
      <c r="L207" s="63">
        <f>K207*Budget!$B$36</f>
        <v>705</v>
      </c>
      <c r="M207" s="63">
        <f>MAX(0,L207-Calcul!AY205)</f>
        <v>705</v>
      </c>
      <c r="N207" s="63">
        <f t="shared" si="2"/>
        <v>1175</v>
      </c>
      <c r="O207" s="64">
        <f t="shared" si="7"/>
        <v>214827.130164</v>
      </c>
      <c r="P207" s="65">
        <f>Calcul!AZ205</f>
        <v>0</v>
      </c>
      <c r="Q207" s="66" t="str">
        <f t="shared" si="3"/>
        <v/>
      </c>
      <c r="R207" s="67">
        <f>IF(H207&gt;=Budget!$B$29,1,0)</f>
        <v>0</v>
      </c>
      <c r="S207" s="67">
        <f>IF(J207&gt;=Budget!$B$32,1,0)</f>
        <v>1</v>
      </c>
      <c r="T207" s="67">
        <f t="shared" si="4"/>
        <v>1</v>
      </c>
      <c r="U207" s="4"/>
      <c r="V207" s="4"/>
      <c r="AA207" s="68">
        <f>Budget!$B$29</f>
        <v>4000</v>
      </c>
      <c r="AB207" s="68">
        <f>Budget!$B$32</f>
        <v>4000</v>
      </c>
    </row>
    <row r="208" spans="1:28" ht="15" customHeight="1" x14ac:dyDescent="0.25">
      <c r="A208" s="55">
        <v>204</v>
      </c>
      <c r="B208" s="56">
        <f>EDATE(Budget!$B$28,A208-1)</f>
        <v>52566</v>
      </c>
      <c r="C208" s="57">
        <f>Budget!$B$7</f>
        <v>2900</v>
      </c>
      <c r="D208" s="57">
        <f>Budget!$B$18+Budget!$B$25</f>
        <v>1725</v>
      </c>
      <c r="E208" s="57">
        <f>Calcul!AX206</f>
        <v>0</v>
      </c>
      <c r="F208" s="58">
        <f t="shared" si="0"/>
        <v>1175</v>
      </c>
      <c r="G208" s="59">
        <f>IF(B208&lt;=Budget!$B$30,MAX(0,MIN(F208,Budget!$B$29-H207)),0)</f>
        <v>0</v>
      </c>
      <c r="H208" s="60">
        <f t="shared" si="5"/>
        <v>3511.3</v>
      </c>
      <c r="I208" s="61">
        <f>MAX(0,MIN(F208-G208,Budget!$B$32-J207))</f>
        <v>0</v>
      </c>
      <c r="J208" s="62">
        <f t="shared" si="6"/>
        <v>4000</v>
      </c>
      <c r="K208" s="63">
        <f t="shared" si="1"/>
        <v>1175</v>
      </c>
      <c r="L208" s="63">
        <f>K208*Budget!$B$36</f>
        <v>705</v>
      </c>
      <c r="M208" s="63">
        <f>MAX(0,L208-Calcul!AY206)</f>
        <v>705</v>
      </c>
      <c r="N208" s="63">
        <f t="shared" si="2"/>
        <v>1175</v>
      </c>
      <c r="O208" s="64">
        <f t="shared" si="7"/>
        <v>216002.130164</v>
      </c>
      <c r="P208" s="65">
        <f>Calcul!AZ206</f>
        <v>0</v>
      </c>
      <c r="Q208" s="66" t="str">
        <f t="shared" si="3"/>
        <v/>
      </c>
      <c r="R208" s="67">
        <f>IF(H208&gt;=Budget!$B$29,1,0)</f>
        <v>0</v>
      </c>
      <c r="S208" s="67">
        <f>IF(J208&gt;=Budget!$B$32,1,0)</f>
        <v>1</v>
      </c>
      <c r="T208" s="67">
        <f t="shared" si="4"/>
        <v>1</v>
      </c>
      <c r="U208" s="4"/>
      <c r="V208" s="4"/>
      <c r="AA208" s="68">
        <f>Budget!$B$29</f>
        <v>4000</v>
      </c>
      <c r="AB208" s="68">
        <f>Budget!$B$32</f>
        <v>4000</v>
      </c>
    </row>
    <row r="209" spans="1:28" ht="15" customHeight="1" x14ac:dyDescent="0.25">
      <c r="A209" s="55">
        <v>205</v>
      </c>
      <c r="B209" s="56">
        <f>EDATE(Budget!$B$28,A209-1)</f>
        <v>52597</v>
      </c>
      <c r="C209" s="57">
        <f>Budget!$B$7</f>
        <v>2900</v>
      </c>
      <c r="D209" s="57">
        <f>Budget!$B$18+Budget!$B$25</f>
        <v>1725</v>
      </c>
      <c r="E209" s="57">
        <f>Calcul!AX207</f>
        <v>0</v>
      </c>
      <c r="F209" s="58">
        <f t="shared" si="0"/>
        <v>1175</v>
      </c>
      <c r="G209" s="59">
        <f>IF(B209&lt;=Budget!$B$30,MAX(0,MIN(F209,Budget!$B$29-H208)),0)</f>
        <v>0</v>
      </c>
      <c r="H209" s="60">
        <f t="shared" si="5"/>
        <v>3511.3</v>
      </c>
      <c r="I209" s="61">
        <f>MAX(0,MIN(F209-G209,Budget!$B$32-J208))</f>
        <v>0</v>
      </c>
      <c r="J209" s="62">
        <f t="shared" si="6"/>
        <v>4000</v>
      </c>
      <c r="K209" s="63">
        <f t="shared" si="1"/>
        <v>1175</v>
      </c>
      <c r="L209" s="63">
        <f>K209*Budget!$B$36</f>
        <v>705</v>
      </c>
      <c r="M209" s="63">
        <f>MAX(0,L209-Calcul!AY207)</f>
        <v>705</v>
      </c>
      <c r="N209" s="63">
        <f t="shared" si="2"/>
        <v>1175</v>
      </c>
      <c r="O209" s="64">
        <f t="shared" si="7"/>
        <v>217177.130164</v>
      </c>
      <c r="P209" s="65">
        <f>Calcul!AZ207</f>
        <v>0</v>
      </c>
      <c r="Q209" s="66" t="str">
        <f t="shared" si="3"/>
        <v/>
      </c>
      <c r="R209" s="67">
        <f>IF(H209&gt;=Budget!$B$29,1,0)</f>
        <v>0</v>
      </c>
      <c r="S209" s="67">
        <f>IF(J209&gt;=Budget!$B$32,1,0)</f>
        <v>1</v>
      </c>
      <c r="T209" s="67">
        <f t="shared" si="4"/>
        <v>1</v>
      </c>
      <c r="U209" s="4"/>
      <c r="V209" s="4"/>
      <c r="AA209" s="68">
        <f>Budget!$B$29</f>
        <v>4000</v>
      </c>
      <c r="AB209" s="68">
        <f>Budget!$B$32</f>
        <v>4000</v>
      </c>
    </row>
    <row r="210" spans="1:28" ht="15" customHeight="1" x14ac:dyDescent="0.25">
      <c r="A210" s="55">
        <v>206</v>
      </c>
      <c r="B210" s="56">
        <f>EDATE(Budget!$B$28,A210-1)</f>
        <v>52628</v>
      </c>
      <c r="C210" s="57">
        <f>Budget!$B$7</f>
        <v>2900</v>
      </c>
      <c r="D210" s="57">
        <f>Budget!$B$18+Budget!$B$25</f>
        <v>1725</v>
      </c>
      <c r="E210" s="57">
        <f>Calcul!AX208</f>
        <v>0</v>
      </c>
      <c r="F210" s="58">
        <f t="shared" si="0"/>
        <v>1175</v>
      </c>
      <c r="G210" s="59">
        <f>IF(B210&lt;=Budget!$B$30,MAX(0,MIN(F210,Budget!$B$29-H209)),0)</f>
        <v>0</v>
      </c>
      <c r="H210" s="60">
        <f t="shared" si="5"/>
        <v>3511.3</v>
      </c>
      <c r="I210" s="61">
        <f>MAX(0,MIN(F210-G210,Budget!$B$32-J209))</f>
        <v>0</v>
      </c>
      <c r="J210" s="62">
        <f t="shared" si="6"/>
        <v>4000</v>
      </c>
      <c r="K210" s="63">
        <f t="shared" si="1"/>
        <v>1175</v>
      </c>
      <c r="L210" s="63">
        <f>K210*Budget!$B$36</f>
        <v>705</v>
      </c>
      <c r="M210" s="63">
        <f>MAX(0,L210-Calcul!AY208)</f>
        <v>705</v>
      </c>
      <c r="N210" s="63">
        <f t="shared" si="2"/>
        <v>1175</v>
      </c>
      <c r="O210" s="64">
        <f t="shared" si="7"/>
        <v>218352.130164</v>
      </c>
      <c r="P210" s="65">
        <f>Calcul!AZ208</f>
        <v>0</v>
      </c>
      <c r="Q210" s="66" t="str">
        <f t="shared" si="3"/>
        <v/>
      </c>
      <c r="R210" s="67">
        <f>IF(H210&gt;=Budget!$B$29,1,0)</f>
        <v>0</v>
      </c>
      <c r="S210" s="67">
        <f>IF(J210&gt;=Budget!$B$32,1,0)</f>
        <v>1</v>
      </c>
      <c r="T210" s="67">
        <f t="shared" si="4"/>
        <v>1</v>
      </c>
      <c r="U210" s="4"/>
      <c r="V210" s="4"/>
      <c r="AA210" s="68">
        <f>Budget!$B$29</f>
        <v>4000</v>
      </c>
      <c r="AB210" s="68">
        <f>Budget!$B$32</f>
        <v>4000</v>
      </c>
    </row>
    <row r="211" spans="1:28" ht="15" customHeight="1" x14ac:dyDescent="0.25">
      <c r="A211" s="55">
        <v>207</v>
      </c>
      <c r="B211" s="56">
        <f>EDATE(Budget!$B$28,A211-1)</f>
        <v>52657</v>
      </c>
      <c r="C211" s="57">
        <f>Budget!$B$7</f>
        <v>2900</v>
      </c>
      <c r="D211" s="57">
        <f>Budget!$B$18+Budget!$B$25</f>
        <v>1725</v>
      </c>
      <c r="E211" s="57">
        <f>Calcul!AX209</f>
        <v>0</v>
      </c>
      <c r="F211" s="58">
        <f t="shared" si="0"/>
        <v>1175</v>
      </c>
      <c r="G211" s="59">
        <f>IF(B211&lt;=Budget!$B$30,MAX(0,MIN(F211,Budget!$B$29-H210)),0)</f>
        <v>0</v>
      </c>
      <c r="H211" s="60">
        <f t="shared" si="5"/>
        <v>3511.3</v>
      </c>
      <c r="I211" s="61">
        <f>MAX(0,MIN(F211-G211,Budget!$B$32-J210))</f>
        <v>0</v>
      </c>
      <c r="J211" s="62">
        <f t="shared" si="6"/>
        <v>4000</v>
      </c>
      <c r="K211" s="63">
        <f t="shared" si="1"/>
        <v>1175</v>
      </c>
      <c r="L211" s="63">
        <f>K211*Budget!$B$36</f>
        <v>705</v>
      </c>
      <c r="M211" s="63">
        <f>MAX(0,L211-Calcul!AY209)</f>
        <v>705</v>
      </c>
      <c r="N211" s="63">
        <f t="shared" si="2"/>
        <v>1175</v>
      </c>
      <c r="O211" s="64">
        <f t="shared" si="7"/>
        <v>219527.130164</v>
      </c>
      <c r="P211" s="65">
        <f>Calcul!AZ209</f>
        <v>0</v>
      </c>
      <c r="Q211" s="66" t="str">
        <f t="shared" si="3"/>
        <v/>
      </c>
      <c r="R211" s="67">
        <f>IF(H211&gt;=Budget!$B$29,1,0)</f>
        <v>0</v>
      </c>
      <c r="S211" s="67">
        <f>IF(J211&gt;=Budget!$B$32,1,0)</f>
        <v>1</v>
      </c>
      <c r="T211" s="67">
        <f t="shared" si="4"/>
        <v>1</v>
      </c>
      <c r="U211" s="4"/>
      <c r="V211" s="4"/>
      <c r="AA211" s="68">
        <f>Budget!$B$29</f>
        <v>4000</v>
      </c>
      <c r="AB211" s="68">
        <f>Budget!$B$32</f>
        <v>4000</v>
      </c>
    </row>
    <row r="212" spans="1:28" ht="15" customHeight="1" x14ac:dyDescent="0.25">
      <c r="A212" s="55">
        <v>208</v>
      </c>
      <c r="B212" s="56">
        <f>EDATE(Budget!$B$28,A212-1)</f>
        <v>52688</v>
      </c>
      <c r="C212" s="57">
        <f>Budget!$B$7</f>
        <v>2900</v>
      </c>
      <c r="D212" s="57">
        <f>Budget!$B$18+Budget!$B$25</f>
        <v>1725</v>
      </c>
      <c r="E212" s="57">
        <f>Calcul!AX210</f>
        <v>0</v>
      </c>
      <c r="F212" s="58">
        <f t="shared" si="0"/>
        <v>1175</v>
      </c>
      <c r="G212" s="59">
        <f>IF(B212&lt;=Budget!$B$30,MAX(0,MIN(F212,Budget!$B$29-H211)),0)</f>
        <v>0</v>
      </c>
      <c r="H212" s="60">
        <f t="shared" si="5"/>
        <v>3511.3</v>
      </c>
      <c r="I212" s="61">
        <f>MAX(0,MIN(F212-G212,Budget!$B$32-J211))</f>
        <v>0</v>
      </c>
      <c r="J212" s="62">
        <f t="shared" si="6"/>
        <v>4000</v>
      </c>
      <c r="K212" s="63">
        <f t="shared" si="1"/>
        <v>1175</v>
      </c>
      <c r="L212" s="63">
        <f>K212*Budget!$B$36</f>
        <v>705</v>
      </c>
      <c r="M212" s="63">
        <f>MAX(0,L212-Calcul!AY210)</f>
        <v>705</v>
      </c>
      <c r="N212" s="63">
        <f t="shared" si="2"/>
        <v>1175</v>
      </c>
      <c r="O212" s="64">
        <f t="shared" si="7"/>
        <v>220702.130164</v>
      </c>
      <c r="P212" s="65">
        <f>Calcul!AZ210</f>
        <v>0</v>
      </c>
      <c r="Q212" s="66" t="str">
        <f t="shared" si="3"/>
        <v/>
      </c>
      <c r="R212" s="67">
        <f>IF(H212&gt;=Budget!$B$29,1,0)</f>
        <v>0</v>
      </c>
      <c r="S212" s="67">
        <f>IF(J212&gt;=Budget!$B$32,1,0)</f>
        <v>1</v>
      </c>
      <c r="T212" s="67">
        <f t="shared" si="4"/>
        <v>1</v>
      </c>
      <c r="U212" s="4"/>
      <c r="V212" s="4"/>
      <c r="AA212" s="68">
        <f>Budget!$B$29</f>
        <v>4000</v>
      </c>
      <c r="AB212" s="68">
        <f>Budget!$B$32</f>
        <v>4000</v>
      </c>
    </row>
    <row r="213" spans="1:28" ht="15" customHeight="1" x14ac:dyDescent="0.25">
      <c r="A213" s="55">
        <v>209</v>
      </c>
      <c r="B213" s="56">
        <f>EDATE(Budget!$B$28,A213-1)</f>
        <v>52718</v>
      </c>
      <c r="C213" s="57">
        <f>Budget!$B$7</f>
        <v>2900</v>
      </c>
      <c r="D213" s="57">
        <f>Budget!$B$18+Budget!$B$25</f>
        <v>1725</v>
      </c>
      <c r="E213" s="57">
        <f>Calcul!AX211</f>
        <v>0</v>
      </c>
      <c r="F213" s="58">
        <f t="shared" si="0"/>
        <v>1175</v>
      </c>
      <c r="G213" s="59">
        <f>IF(B213&lt;=Budget!$B$30,MAX(0,MIN(F213,Budget!$B$29-H212)),0)</f>
        <v>0</v>
      </c>
      <c r="H213" s="60">
        <f t="shared" si="5"/>
        <v>3511.3</v>
      </c>
      <c r="I213" s="61">
        <f>MAX(0,MIN(F213-G213,Budget!$B$32-J212))</f>
        <v>0</v>
      </c>
      <c r="J213" s="62">
        <f t="shared" si="6"/>
        <v>4000</v>
      </c>
      <c r="K213" s="63">
        <f t="shared" si="1"/>
        <v>1175</v>
      </c>
      <c r="L213" s="63">
        <f>K213*Budget!$B$36</f>
        <v>705</v>
      </c>
      <c r="M213" s="63">
        <f>MAX(0,L213-Calcul!AY211)</f>
        <v>705</v>
      </c>
      <c r="N213" s="63">
        <f t="shared" si="2"/>
        <v>1175</v>
      </c>
      <c r="O213" s="64">
        <f t="shared" si="7"/>
        <v>221877.130164</v>
      </c>
      <c r="P213" s="65">
        <f>Calcul!AZ211</f>
        <v>0</v>
      </c>
      <c r="Q213" s="66" t="str">
        <f t="shared" si="3"/>
        <v/>
      </c>
      <c r="R213" s="67">
        <f>IF(H213&gt;=Budget!$B$29,1,0)</f>
        <v>0</v>
      </c>
      <c r="S213" s="67">
        <f>IF(J213&gt;=Budget!$B$32,1,0)</f>
        <v>1</v>
      </c>
      <c r="T213" s="67">
        <f t="shared" si="4"/>
        <v>1</v>
      </c>
      <c r="U213" s="4"/>
      <c r="V213" s="4"/>
      <c r="AA213" s="68">
        <f>Budget!$B$29</f>
        <v>4000</v>
      </c>
      <c r="AB213" s="68">
        <f>Budget!$B$32</f>
        <v>4000</v>
      </c>
    </row>
    <row r="214" spans="1:28" ht="15" customHeight="1" x14ac:dyDescent="0.25">
      <c r="A214" s="55">
        <v>210</v>
      </c>
      <c r="B214" s="56">
        <f>EDATE(Budget!$B$28,A214-1)</f>
        <v>52749</v>
      </c>
      <c r="C214" s="57">
        <f>Budget!$B$7</f>
        <v>2900</v>
      </c>
      <c r="D214" s="57">
        <f>Budget!$B$18+Budget!$B$25</f>
        <v>1725</v>
      </c>
      <c r="E214" s="57">
        <f>Calcul!AX212</f>
        <v>0</v>
      </c>
      <c r="F214" s="58">
        <f t="shared" si="0"/>
        <v>1175</v>
      </c>
      <c r="G214" s="59">
        <f>IF(B214&lt;=Budget!$B$30,MAX(0,MIN(F214,Budget!$B$29-H213)),0)</f>
        <v>0</v>
      </c>
      <c r="H214" s="60">
        <f t="shared" si="5"/>
        <v>3511.3</v>
      </c>
      <c r="I214" s="61">
        <f>MAX(0,MIN(F214-G214,Budget!$B$32-J213))</f>
        <v>0</v>
      </c>
      <c r="J214" s="62">
        <f t="shared" si="6"/>
        <v>4000</v>
      </c>
      <c r="K214" s="63">
        <f t="shared" si="1"/>
        <v>1175</v>
      </c>
      <c r="L214" s="63">
        <f>K214*Budget!$B$36</f>
        <v>705</v>
      </c>
      <c r="M214" s="63">
        <f>MAX(0,L214-Calcul!AY212)</f>
        <v>705</v>
      </c>
      <c r="N214" s="63">
        <f t="shared" si="2"/>
        <v>1175</v>
      </c>
      <c r="O214" s="64">
        <f t="shared" si="7"/>
        <v>223052.130164</v>
      </c>
      <c r="P214" s="65">
        <f>Calcul!AZ212</f>
        <v>0</v>
      </c>
      <c r="Q214" s="66" t="str">
        <f t="shared" si="3"/>
        <v/>
      </c>
      <c r="R214" s="67">
        <f>IF(H214&gt;=Budget!$B$29,1,0)</f>
        <v>0</v>
      </c>
      <c r="S214" s="67">
        <f>IF(J214&gt;=Budget!$B$32,1,0)</f>
        <v>1</v>
      </c>
      <c r="T214" s="67">
        <f t="shared" si="4"/>
        <v>1</v>
      </c>
      <c r="U214" s="4"/>
      <c r="V214" s="4"/>
      <c r="AA214" s="68">
        <f>Budget!$B$29</f>
        <v>4000</v>
      </c>
      <c r="AB214" s="68">
        <f>Budget!$B$32</f>
        <v>4000</v>
      </c>
    </row>
    <row r="215" spans="1:28" ht="15" customHeight="1" x14ac:dyDescent="0.25">
      <c r="A215" s="55">
        <v>211</v>
      </c>
      <c r="B215" s="56">
        <f>EDATE(Budget!$B$28,A215-1)</f>
        <v>52779</v>
      </c>
      <c r="C215" s="57">
        <f>Budget!$B$7</f>
        <v>2900</v>
      </c>
      <c r="D215" s="57">
        <f>Budget!$B$18+Budget!$B$25</f>
        <v>1725</v>
      </c>
      <c r="E215" s="57">
        <f>Calcul!AX213</f>
        <v>0</v>
      </c>
      <c r="F215" s="58">
        <f t="shared" si="0"/>
        <v>1175</v>
      </c>
      <c r="G215" s="59">
        <f>IF(B215&lt;=Budget!$B$30,MAX(0,MIN(F215,Budget!$B$29-H214)),0)</f>
        <v>0</v>
      </c>
      <c r="H215" s="60">
        <f t="shared" si="5"/>
        <v>3511.3</v>
      </c>
      <c r="I215" s="61">
        <f>MAX(0,MIN(F215-G215,Budget!$B$32-J214))</f>
        <v>0</v>
      </c>
      <c r="J215" s="62">
        <f t="shared" si="6"/>
        <v>4000</v>
      </c>
      <c r="K215" s="63">
        <f t="shared" si="1"/>
        <v>1175</v>
      </c>
      <c r="L215" s="63">
        <f>K215*Budget!$B$36</f>
        <v>705</v>
      </c>
      <c r="M215" s="63">
        <f>MAX(0,L215-Calcul!AY213)</f>
        <v>705</v>
      </c>
      <c r="N215" s="63">
        <f t="shared" si="2"/>
        <v>1175</v>
      </c>
      <c r="O215" s="64">
        <f t="shared" si="7"/>
        <v>224227.130164</v>
      </c>
      <c r="P215" s="65">
        <f>Calcul!AZ213</f>
        <v>0</v>
      </c>
      <c r="Q215" s="66" t="str">
        <f t="shared" si="3"/>
        <v/>
      </c>
      <c r="R215" s="67">
        <f>IF(H215&gt;=Budget!$B$29,1,0)</f>
        <v>0</v>
      </c>
      <c r="S215" s="67">
        <f>IF(J215&gt;=Budget!$B$32,1,0)</f>
        <v>1</v>
      </c>
      <c r="T215" s="67">
        <f t="shared" si="4"/>
        <v>1</v>
      </c>
      <c r="U215" s="4"/>
      <c r="V215" s="4"/>
      <c r="AA215" s="68">
        <f>Budget!$B$29</f>
        <v>4000</v>
      </c>
      <c r="AB215" s="68">
        <f>Budget!$B$32</f>
        <v>4000</v>
      </c>
    </row>
    <row r="216" spans="1:28" ht="15" customHeight="1" x14ac:dyDescent="0.25">
      <c r="A216" s="55">
        <v>212</v>
      </c>
      <c r="B216" s="56">
        <f>EDATE(Budget!$B$28,A216-1)</f>
        <v>52810</v>
      </c>
      <c r="C216" s="57">
        <f>Budget!$B$7</f>
        <v>2900</v>
      </c>
      <c r="D216" s="57">
        <f>Budget!$B$18+Budget!$B$25</f>
        <v>1725</v>
      </c>
      <c r="E216" s="57">
        <f>Calcul!AX214</f>
        <v>0</v>
      </c>
      <c r="F216" s="58">
        <f t="shared" si="0"/>
        <v>1175</v>
      </c>
      <c r="G216" s="59">
        <f>IF(B216&lt;=Budget!$B$30,MAX(0,MIN(F216,Budget!$B$29-H215)),0)</f>
        <v>0</v>
      </c>
      <c r="H216" s="60">
        <f t="shared" si="5"/>
        <v>3511.3</v>
      </c>
      <c r="I216" s="61">
        <f>MAX(0,MIN(F216-G216,Budget!$B$32-J215))</f>
        <v>0</v>
      </c>
      <c r="J216" s="62">
        <f t="shared" si="6"/>
        <v>4000</v>
      </c>
      <c r="K216" s="63">
        <f t="shared" si="1"/>
        <v>1175</v>
      </c>
      <c r="L216" s="63">
        <f>K216*Budget!$B$36</f>
        <v>705</v>
      </c>
      <c r="M216" s="63">
        <f>MAX(0,L216-Calcul!AY214)</f>
        <v>705</v>
      </c>
      <c r="N216" s="63">
        <f t="shared" si="2"/>
        <v>1175</v>
      </c>
      <c r="O216" s="64">
        <f t="shared" si="7"/>
        <v>225402.130164</v>
      </c>
      <c r="P216" s="65">
        <f>Calcul!AZ214</f>
        <v>0</v>
      </c>
      <c r="Q216" s="66" t="str">
        <f t="shared" si="3"/>
        <v/>
      </c>
      <c r="R216" s="67">
        <f>IF(H216&gt;=Budget!$B$29,1,0)</f>
        <v>0</v>
      </c>
      <c r="S216" s="67">
        <f>IF(J216&gt;=Budget!$B$32,1,0)</f>
        <v>1</v>
      </c>
      <c r="T216" s="67">
        <f t="shared" si="4"/>
        <v>1</v>
      </c>
      <c r="U216" s="4"/>
      <c r="V216" s="4"/>
      <c r="AA216" s="68">
        <f>Budget!$B$29</f>
        <v>4000</v>
      </c>
      <c r="AB216" s="68">
        <f>Budget!$B$32</f>
        <v>4000</v>
      </c>
    </row>
    <row r="217" spans="1:28" ht="15" customHeight="1" x14ac:dyDescent="0.25">
      <c r="A217" s="55">
        <v>213</v>
      </c>
      <c r="B217" s="56">
        <f>EDATE(Budget!$B$28,A217-1)</f>
        <v>52841</v>
      </c>
      <c r="C217" s="57">
        <f>Budget!$B$7</f>
        <v>2900</v>
      </c>
      <c r="D217" s="57">
        <f>Budget!$B$18+Budget!$B$25</f>
        <v>1725</v>
      </c>
      <c r="E217" s="57">
        <f>Calcul!AX215</f>
        <v>0</v>
      </c>
      <c r="F217" s="58">
        <f t="shared" si="0"/>
        <v>1175</v>
      </c>
      <c r="G217" s="59">
        <f>IF(B217&lt;=Budget!$B$30,MAX(0,MIN(F217,Budget!$B$29-H216)),0)</f>
        <v>0</v>
      </c>
      <c r="H217" s="60">
        <f t="shared" si="5"/>
        <v>3511.3</v>
      </c>
      <c r="I217" s="61">
        <f>MAX(0,MIN(F217-G217,Budget!$B$32-J216))</f>
        <v>0</v>
      </c>
      <c r="J217" s="62">
        <f t="shared" si="6"/>
        <v>4000</v>
      </c>
      <c r="K217" s="63">
        <f t="shared" si="1"/>
        <v>1175</v>
      </c>
      <c r="L217" s="63">
        <f>K217*Budget!$B$36</f>
        <v>705</v>
      </c>
      <c r="M217" s="63">
        <f>MAX(0,L217-Calcul!AY215)</f>
        <v>705</v>
      </c>
      <c r="N217" s="63">
        <f t="shared" si="2"/>
        <v>1175</v>
      </c>
      <c r="O217" s="64">
        <f t="shared" si="7"/>
        <v>226577.130164</v>
      </c>
      <c r="P217" s="65">
        <f>Calcul!AZ215</f>
        <v>0</v>
      </c>
      <c r="Q217" s="66" t="str">
        <f t="shared" si="3"/>
        <v/>
      </c>
      <c r="R217" s="67">
        <f>IF(H217&gt;=Budget!$B$29,1,0)</f>
        <v>0</v>
      </c>
      <c r="S217" s="67">
        <f>IF(J217&gt;=Budget!$B$32,1,0)</f>
        <v>1</v>
      </c>
      <c r="T217" s="67">
        <f t="shared" si="4"/>
        <v>1</v>
      </c>
      <c r="U217" s="4"/>
      <c r="V217" s="4"/>
      <c r="AA217" s="68">
        <f>Budget!$B$29</f>
        <v>4000</v>
      </c>
      <c r="AB217" s="68">
        <f>Budget!$B$32</f>
        <v>4000</v>
      </c>
    </row>
    <row r="218" spans="1:28" ht="15" customHeight="1" x14ac:dyDescent="0.25">
      <c r="A218" s="55">
        <v>214</v>
      </c>
      <c r="B218" s="56">
        <f>EDATE(Budget!$B$28,A218-1)</f>
        <v>52871</v>
      </c>
      <c r="C218" s="57">
        <f>Budget!$B$7</f>
        <v>2900</v>
      </c>
      <c r="D218" s="57">
        <f>Budget!$B$18+Budget!$B$25</f>
        <v>1725</v>
      </c>
      <c r="E218" s="57">
        <f>Calcul!AX216</f>
        <v>0</v>
      </c>
      <c r="F218" s="58">
        <f t="shared" si="0"/>
        <v>1175</v>
      </c>
      <c r="G218" s="59">
        <f>IF(B218&lt;=Budget!$B$30,MAX(0,MIN(F218,Budget!$B$29-H217)),0)</f>
        <v>0</v>
      </c>
      <c r="H218" s="60">
        <f t="shared" si="5"/>
        <v>3511.3</v>
      </c>
      <c r="I218" s="61">
        <f>MAX(0,MIN(F218-G218,Budget!$B$32-J217))</f>
        <v>0</v>
      </c>
      <c r="J218" s="62">
        <f t="shared" si="6"/>
        <v>4000</v>
      </c>
      <c r="K218" s="63">
        <f t="shared" si="1"/>
        <v>1175</v>
      </c>
      <c r="L218" s="63">
        <f>K218*Budget!$B$36</f>
        <v>705</v>
      </c>
      <c r="M218" s="63">
        <f>MAX(0,L218-Calcul!AY216)</f>
        <v>705</v>
      </c>
      <c r="N218" s="63">
        <f t="shared" si="2"/>
        <v>1175</v>
      </c>
      <c r="O218" s="64">
        <f t="shared" si="7"/>
        <v>227752.130164</v>
      </c>
      <c r="P218" s="65">
        <f>Calcul!AZ216</f>
        <v>0</v>
      </c>
      <c r="Q218" s="66" t="str">
        <f t="shared" si="3"/>
        <v/>
      </c>
      <c r="R218" s="67">
        <f>IF(H218&gt;=Budget!$B$29,1,0)</f>
        <v>0</v>
      </c>
      <c r="S218" s="67">
        <f>IF(J218&gt;=Budget!$B$32,1,0)</f>
        <v>1</v>
      </c>
      <c r="T218" s="67">
        <f t="shared" si="4"/>
        <v>1</v>
      </c>
      <c r="U218" s="4"/>
      <c r="V218" s="4"/>
      <c r="AA218" s="68">
        <f>Budget!$B$29</f>
        <v>4000</v>
      </c>
      <c r="AB218" s="68">
        <f>Budget!$B$32</f>
        <v>4000</v>
      </c>
    </row>
    <row r="219" spans="1:28" ht="15" customHeight="1" x14ac:dyDescent="0.25">
      <c r="A219" s="55">
        <v>215</v>
      </c>
      <c r="B219" s="56">
        <f>EDATE(Budget!$B$28,A219-1)</f>
        <v>52902</v>
      </c>
      <c r="C219" s="57">
        <f>Budget!$B$7</f>
        <v>2900</v>
      </c>
      <c r="D219" s="57">
        <f>Budget!$B$18+Budget!$B$25</f>
        <v>1725</v>
      </c>
      <c r="E219" s="57">
        <f>Calcul!AX217</f>
        <v>0</v>
      </c>
      <c r="F219" s="58">
        <f t="shared" si="0"/>
        <v>1175</v>
      </c>
      <c r="G219" s="59">
        <f>IF(B219&lt;=Budget!$B$30,MAX(0,MIN(F219,Budget!$B$29-H218)),0)</f>
        <v>0</v>
      </c>
      <c r="H219" s="60">
        <f t="shared" si="5"/>
        <v>3511.3</v>
      </c>
      <c r="I219" s="61">
        <f>MAX(0,MIN(F219-G219,Budget!$B$32-J218))</f>
        <v>0</v>
      </c>
      <c r="J219" s="62">
        <f t="shared" si="6"/>
        <v>4000</v>
      </c>
      <c r="K219" s="63">
        <f t="shared" si="1"/>
        <v>1175</v>
      </c>
      <c r="L219" s="63">
        <f>K219*Budget!$B$36</f>
        <v>705</v>
      </c>
      <c r="M219" s="63">
        <f>MAX(0,L219-Calcul!AY217)</f>
        <v>705</v>
      </c>
      <c r="N219" s="63">
        <f t="shared" si="2"/>
        <v>1175</v>
      </c>
      <c r="O219" s="64">
        <f t="shared" si="7"/>
        <v>228927.130164</v>
      </c>
      <c r="P219" s="65">
        <f>Calcul!AZ217</f>
        <v>0</v>
      </c>
      <c r="Q219" s="66" t="str">
        <f t="shared" si="3"/>
        <v/>
      </c>
      <c r="R219" s="67">
        <f>IF(H219&gt;=Budget!$B$29,1,0)</f>
        <v>0</v>
      </c>
      <c r="S219" s="67">
        <f>IF(J219&gt;=Budget!$B$32,1,0)</f>
        <v>1</v>
      </c>
      <c r="T219" s="67">
        <f t="shared" si="4"/>
        <v>1</v>
      </c>
      <c r="U219" s="4"/>
      <c r="V219" s="4"/>
      <c r="AA219" s="68">
        <f>Budget!$B$29</f>
        <v>4000</v>
      </c>
      <c r="AB219" s="68">
        <f>Budget!$B$32</f>
        <v>4000</v>
      </c>
    </row>
    <row r="220" spans="1:28" ht="15" customHeight="1" x14ac:dyDescent="0.25">
      <c r="A220" s="55">
        <v>216</v>
      </c>
      <c r="B220" s="56">
        <f>EDATE(Budget!$B$28,A220-1)</f>
        <v>52932</v>
      </c>
      <c r="C220" s="57">
        <f>Budget!$B$7</f>
        <v>2900</v>
      </c>
      <c r="D220" s="57">
        <f>Budget!$B$18+Budget!$B$25</f>
        <v>1725</v>
      </c>
      <c r="E220" s="57">
        <f>Calcul!AX218</f>
        <v>0</v>
      </c>
      <c r="F220" s="58">
        <f t="shared" si="0"/>
        <v>1175</v>
      </c>
      <c r="G220" s="59">
        <f>IF(B220&lt;=Budget!$B$30,MAX(0,MIN(F220,Budget!$B$29-H219)),0)</f>
        <v>0</v>
      </c>
      <c r="H220" s="60">
        <f t="shared" si="5"/>
        <v>3511.3</v>
      </c>
      <c r="I220" s="61">
        <f>MAX(0,MIN(F220-G220,Budget!$B$32-J219))</f>
        <v>0</v>
      </c>
      <c r="J220" s="62">
        <f t="shared" si="6"/>
        <v>4000</v>
      </c>
      <c r="K220" s="63">
        <f t="shared" si="1"/>
        <v>1175</v>
      </c>
      <c r="L220" s="63">
        <f>K220*Budget!$B$36</f>
        <v>705</v>
      </c>
      <c r="M220" s="63">
        <f>MAX(0,L220-Calcul!AY218)</f>
        <v>705</v>
      </c>
      <c r="N220" s="63">
        <f t="shared" si="2"/>
        <v>1175</v>
      </c>
      <c r="O220" s="64">
        <f t="shared" si="7"/>
        <v>230102.130164</v>
      </c>
      <c r="P220" s="65">
        <f>Calcul!AZ218</f>
        <v>0</v>
      </c>
      <c r="Q220" s="66" t="str">
        <f t="shared" si="3"/>
        <v/>
      </c>
      <c r="R220" s="67">
        <f>IF(H220&gt;=Budget!$B$29,1,0)</f>
        <v>0</v>
      </c>
      <c r="S220" s="67">
        <f>IF(J220&gt;=Budget!$B$32,1,0)</f>
        <v>1</v>
      </c>
      <c r="T220" s="67">
        <f t="shared" si="4"/>
        <v>1</v>
      </c>
      <c r="U220" s="4"/>
      <c r="V220" s="4"/>
      <c r="AA220" s="68">
        <f>Budget!$B$29</f>
        <v>4000</v>
      </c>
      <c r="AB220" s="68">
        <f>Budget!$B$32</f>
        <v>4000</v>
      </c>
    </row>
    <row r="221" spans="1:28" ht="15" customHeight="1" x14ac:dyDescent="0.25">
      <c r="A221" s="55">
        <v>217</v>
      </c>
      <c r="B221" s="56">
        <f>EDATE(Budget!$B$28,A221-1)</f>
        <v>52963</v>
      </c>
      <c r="C221" s="57">
        <f>Budget!$B$7</f>
        <v>2900</v>
      </c>
      <c r="D221" s="57">
        <f>Budget!$B$18+Budget!$B$25</f>
        <v>1725</v>
      </c>
      <c r="E221" s="57">
        <f>Calcul!AX219</f>
        <v>0</v>
      </c>
      <c r="F221" s="58">
        <f t="shared" si="0"/>
        <v>1175</v>
      </c>
      <c r="G221" s="59">
        <f>IF(B221&lt;=Budget!$B$30,MAX(0,MIN(F221,Budget!$B$29-H220)),0)</f>
        <v>0</v>
      </c>
      <c r="H221" s="60">
        <f t="shared" si="5"/>
        <v>3511.3</v>
      </c>
      <c r="I221" s="61">
        <f>MAX(0,MIN(F221-G221,Budget!$B$32-J220))</f>
        <v>0</v>
      </c>
      <c r="J221" s="62">
        <f t="shared" si="6"/>
        <v>4000</v>
      </c>
      <c r="K221" s="63">
        <f t="shared" si="1"/>
        <v>1175</v>
      </c>
      <c r="L221" s="63">
        <f>K221*Budget!$B$36</f>
        <v>705</v>
      </c>
      <c r="M221" s="63">
        <f>MAX(0,L221-Calcul!AY219)</f>
        <v>705</v>
      </c>
      <c r="N221" s="63">
        <f t="shared" si="2"/>
        <v>1175</v>
      </c>
      <c r="O221" s="64">
        <f t="shared" si="7"/>
        <v>231277.130164</v>
      </c>
      <c r="P221" s="65">
        <f>Calcul!AZ219</f>
        <v>0</v>
      </c>
      <c r="Q221" s="66" t="str">
        <f t="shared" si="3"/>
        <v/>
      </c>
      <c r="R221" s="67">
        <f>IF(H221&gt;=Budget!$B$29,1,0)</f>
        <v>0</v>
      </c>
      <c r="S221" s="67">
        <f>IF(J221&gt;=Budget!$B$32,1,0)</f>
        <v>1</v>
      </c>
      <c r="T221" s="67">
        <f t="shared" si="4"/>
        <v>1</v>
      </c>
      <c r="U221" s="4"/>
      <c r="V221" s="4"/>
      <c r="AA221" s="68">
        <f>Budget!$B$29</f>
        <v>4000</v>
      </c>
      <c r="AB221" s="68">
        <f>Budget!$B$32</f>
        <v>4000</v>
      </c>
    </row>
    <row r="222" spans="1:28" ht="15" customHeight="1" x14ac:dyDescent="0.25">
      <c r="A222" s="55">
        <v>218</v>
      </c>
      <c r="B222" s="56">
        <f>EDATE(Budget!$B$28,A222-1)</f>
        <v>52994</v>
      </c>
      <c r="C222" s="57">
        <f>Budget!$B$7</f>
        <v>2900</v>
      </c>
      <c r="D222" s="57">
        <f>Budget!$B$18+Budget!$B$25</f>
        <v>1725</v>
      </c>
      <c r="E222" s="57">
        <f>Calcul!AX220</f>
        <v>0</v>
      </c>
      <c r="F222" s="58">
        <f t="shared" si="0"/>
        <v>1175</v>
      </c>
      <c r="G222" s="59">
        <f>IF(B222&lt;=Budget!$B$30,MAX(0,MIN(F222,Budget!$B$29-H221)),0)</f>
        <v>0</v>
      </c>
      <c r="H222" s="60">
        <f t="shared" si="5"/>
        <v>3511.3</v>
      </c>
      <c r="I222" s="61">
        <f>MAX(0,MIN(F222-G222,Budget!$B$32-J221))</f>
        <v>0</v>
      </c>
      <c r="J222" s="62">
        <f t="shared" si="6"/>
        <v>4000</v>
      </c>
      <c r="K222" s="63">
        <f t="shared" si="1"/>
        <v>1175</v>
      </c>
      <c r="L222" s="63">
        <f>K222*Budget!$B$36</f>
        <v>705</v>
      </c>
      <c r="M222" s="63">
        <f>MAX(0,L222-Calcul!AY220)</f>
        <v>705</v>
      </c>
      <c r="N222" s="63">
        <f t="shared" si="2"/>
        <v>1175</v>
      </c>
      <c r="O222" s="64">
        <f t="shared" si="7"/>
        <v>232452.130164</v>
      </c>
      <c r="P222" s="65">
        <f>Calcul!AZ220</f>
        <v>0</v>
      </c>
      <c r="Q222" s="66" t="str">
        <f t="shared" si="3"/>
        <v/>
      </c>
      <c r="R222" s="67">
        <f>IF(H222&gt;=Budget!$B$29,1,0)</f>
        <v>0</v>
      </c>
      <c r="S222" s="67">
        <f>IF(J222&gt;=Budget!$B$32,1,0)</f>
        <v>1</v>
      </c>
      <c r="T222" s="67">
        <f t="shared" si="4"/>
        <v>1</v>
      </c>
      <c r="U222" s="4"/>
      <c r="V222" s="4"/>
      <c r="AA222" s="68">
        <f>Budget!$B$29</f>
        <v>4000</v>
      </c>
      <c r="AB222" s="68">
        <f>Budget!$B$32</f>
        <v>4000</v>
      </c>
    </row>
    <row r="223" spans="1:28" ht="15" customHeight="1" x14ac:dyDescent="0.25">
      <c r="A223" s="55">
        <v>219</v>
      </c>
      <c r="B223" s="56">
        <f>EDATE(Budget!$B$28,A223-1)</f>
        <v>53022</v>
      </c>
      <c r="C223" s="57">
        <f>Budget!$B$7</f>
        <v>2900</v>
      </c>
      <c r="D223" s="57">
        <f>Budget!$B$18+Budget!$B$25</f>
        <v>1725</v>
      </c>
      <c r="E223" s="57">
        <f>Calcul!AX221</f>
        <v>0</v>
      </c>
      <c r="F223" s="58">
        <f t="shared" si="0"/>
        <v>1175</v>
      </c>
      <c r="G223" s="59">
        <f>IF(B223&lt;=Budget!$B$30,MAX(0,MIN(F223,Budget!$B$29-H222)),0)</f>
        <v>0</v>
      </c>
      <c r="H223" s="60">
        <f t="shared" si="5"/>
        <v>3511.3</v>
      </c>
      <c r="I223" s="61">
        <f>MAX(0,MIN(F223-G223,Budget!$B$32-J222))</f>
        <v>0</v>
      </c>
      <c r="J223" s="62">
        <f t="shared" si="6"/>
        <v>4000</v>
      </c>
      <c r="K223" s="63">
        <f t="shared" si="1"/>
        <v>1175</v>
      </c>
      <c r="L223" s="63">
        <f>K223*Budget!$B$36</f>
        <v>705</v>
      </c>
      <c r="M223" s="63">
        <f>MAX(0,L223-Calcul!AY221)</f>
        <v>705</v>
      </c>
      <c r="N223" s="63">
        <f t="shared" si="2"/>
        <v>1175</v>
      </c>
      <c r="O223" s="64">
        <f t="shared" si="7"/>
        <v>233627.130164</v>
      </c>
      <c r="P223" s="65">
        <f>Calcul!AZ221</f>
        <v>0</v>
      </c>
      <c r="Q223" s="66" t="str">
        <f t="shared" si="3"/>
        <v/>
      </c>
      <c r="R223" s="67">
        <f>IF(H223&gt;=Budget!$B$29,1,0)</f>
        <v>0</v>
      </c>
      <c r="S223" s="67">
        <f>IF(J223&gt;=Budget!$B$32,1,0)</f>
        <v>1</v>
      </c>
      <c r="T223" s="67">
        <f t="shared" si="4"/>
        <v>1</v>
      </c>
      <c r="U223" s="4"/>
      <c r="V223" s="4"/>
      <c r="AA223" s="68">
        <f>Budget!$B$29</f>
        <v>4000</v>
      </c>
      <c r="AB223" s="68">
        <f>Budget!$B$32</f>
        <v>4000</v>
      </c>
    </row>
    <row r="224" spans="1:28" ht="15" customHeight="1" x14ac:dyDescent="0.25">
      <c r="A224" s="55">
        <v>220</v>
      </c>
      <c r="B224" s="56">
        <f>EDATE(Budget!$B$28,A224-1)</f>
        <v>53053</v>
      </c>
      <c r="C224" s="57">
        <f>Budget!$B$7</f>
        <v>2900</v>
      </c>
      <c r="D224" s="57">
        <f>Budget!$B$18+Budget!$B$25</f>
        <v>1725</v>
      </c>
      <c r="E224" s="57">
        <f>Calcul!AX222</f>
        <v>0</v>
      </c>
      <c r="F224" s="58">
        <f t="shared" si="0"/>
        <v>1175</v>
      </c>
      <c r="G224" s="59">
        <f>IF(B224&lt;=Budget!$B$30,MAX(0,MIN(F224,Budget!$B$29-H223)),0)</f>
        <v>0</v>
      </c>
      <c r="H224" s="60">
        <f t="shared" si="5"/>
        <v>3511.3</v>
      </c>
      <c r="I224" s="61">
        <f>MAX(0,MIN(F224-G224,Budget!$B$32-J223))</f>
        <v>0</v>
      </c>
      <c r="J224" s="62">
        <f t="shared" si="6"/>
        <v>4000</v>
      </c>
      <c r="K224" s="63">
        <f t="shared" si="1"/>
        <v>1175</v>
      </c>
      <c r="L224" s="63">
        <f>K224*Budget!$B$36</f>
        <v>705</v>
      </c>
      <c r="M224" s="63">
        <f>MAX(0,L224-Calcul!AY222)</f>
        <v>705</v>
      </c>
      <c r="N224" s="63">
        <f t="shared" si="2"/>
        <v>1175</v>
      </c>
      <c r="O224" s="64">
        <f t="shared" si="7"/>
        <v>234802.130164</v>
      </c>
      <c r="P224" s="65">
        <f>Calcul!AZ222</f>
        <v>0</v>
      </c>
      <c r="Q224" s="66" t="str">
        <f t="shared" si="3"/>
        <v/>
      </c>
      <c r="R224" s="67">
        <f>IF(H224&gt;=Budget!$B$29,1,0)</f>
        <v>0</v>
      </c>
      <c r="S224" s="67">
        <f>IF(J224&gt;=Budget!$B$32,1,0)</f>
        <v>1</v>
      </c>
      <c r="T224" s="67">
        <f t="shared" si="4"/>
        <v>1</v>
      </c>
      <c r="U224" s="4"/>
      <c r="V224" s="4"/>
      <c r="AA224" s="68">
        <f>Budget!$B$29</f>
        <v>4000</v>
      </c>
      <c r="AB224" s="68">
        <f>Budget!$B$32</f>
        <v>4000</v>
      </c>
    </row>
    <row r="225" spans="1:28" ht="15" customHeight="1" x14ac:dyDescent="0.25">
      <c r="A225" s="55">
        <v>221</v>
      </c>
      <c r="B225" s="56">
        <f>EDATE(Budget!$B$28,A225-1)</f>
        <v>53083</v>
      </c>
      <c r="C225" s="57">
        <f>Budget!$B$7</f>
        <v>2900</v>
      </c>
      <c r="D225" s="57">
        <f>Budget!$B$18+Budget!$B$25</f>
        <v>1725</v>
      </c>
      <c r="E225" s="57">
        <f>Calcul!AX223</f>
        <v>0</v>
      </c>
      <c r="F225" s="58">
        <f t="shared" si="0"/>
        <v>1175</v>
      </c>
      <c r="G225" s="59">
        <f>IF(B225&lt;=Budget!$B$30,MAX(0,MIN(F225,Budget!$B$29-H224)),0)</f>
        <v>0</v>
      </c>
      <c r="H225" s="60">
        <f t="shared" si="5"/>
        <v>3511.3</v>
      </c>
      <c r="I225" s="61">
        <f>MAX(0,MIN(F225-G225,Budget!$B$32-J224))</f>
        <v>0</v>
      </c>
      <c r="J225" s="62">
        <f t="shared" si="6"/>
        <v>4000</v>
      </c>
      <c r="K225" s="63">
        <f t="shared" si="1"/>
        <v>1175</v>
      </c>
      <c r="L225" s="63">
        <f>K225*Budget!$B$36</f>
        <v>705</v>
      </c>
      <c r="M225" s="63">
        <f>MAX(0,L225-Calcul!AY223)</f>
        <v>705</v>
      </c>
      <c r="N225" s="63">
        <f t="shared" si="2"/>
        <v>1175</v>
      </c>
      <c r="O225" s="64">
        <f t="shared" si="7"/>
        <v>235977.130164</v>
      </c>
      <c r="P225" s="65">
        <f>Calcul!AZ223</f>
        <v>0</v>
      </c>
      <c r="Q225" s="66" t="str">
        <f t="shared" si="3"/>
        <v/>
      </c>
      <c r="R225" s="67">
        <f>IF(H225&gt;=Budget!$B$29,1,0)</f>
        <v>0</v>
      </c>
      <c r="S225" s="67">
        <f>IF(J225&gt;=Budget!$B$32,1,0)</f>
        <v>1</v>
      </c>
      <c r="T225" s="67">
        <f t="shared" si="4"/>
        <v>1</v>
      </c>
      <c r="U225" s="4"/>
      <c r="V225" s="4"/>
      <c r="AA225" s="68">
        <f>Budget!$B$29</f>
        <v>4000</v>
      </c>
      <c r="AB225" s="68">
        <f>Budget!$B$32</f>
        <v>4000</v>
      </c>
    </row>
    <row r="226" spans="1:28" ht="15" customHeight="1" x14ac:dyDescent="0.25">
      <c r="A226" s="55">
        <v>222</v>
      </c>
      <c r="B226" s="56">
        <f>EDATE(Budget!$B$28,A226-1)</f>
        <v>53114</v>
      </c>
      <c r="C226" s="57">
        <f>Budget!$B$7</f>
        <v>2900</v>
      </c>
      <c r="D226" s="57">
        <f>Budget!$B$18+Budget!$B$25</f>
        <v>1725</v>
      </c>
      <c r="E226" s="57">
        <f>Calcul!AX224</f>
        <v>0</v>
      </c>
      <c r="F226" s="58">
        <f t="shared" si="0"/>
        <v>1175</v>
      </c>
      <c r="G226" s="59">
        <f>IF(B226&lt;=Budget!$B$30,MAX(0,MIN(F226,Budget!$B$29-H225)),0)</f>
        <v>0</v>
      </c>
      <c r="H226" s="60">
        <f t="shared" si="5"/>
        <v>3511.3</v>
      </c>
      <c r="I226" s="61">
        <f>MAX(0,MIN(F226-G226,Budget!$B$32-J225))</f>
        <v>0</v>
      </c>
      <c r="J226" s="62">
        <f t="shared" si="6"/>
        <v>4000</v>
      </c>
      <c r="K226" s="63">
        <f t="shared" si="1"/>
        <v>1175</v>
      </c>
      <c r="L226" s="63">
        <f>K226*Budget!$B$36</f>
        <v>705</v>
      </c>
      <c r="M226" s="63">
        <f>MAX(0,L226-Calcul!AY224)</f>
        <v>705</v>
      </c>
      <c r="N226" s="63">
        <f t="shared" si="2"/>
        <v>1175</v>
      </c>
      <c r="O226" s="64">
        <f t="shared" si="7"/>
        <v>237152.130164</v>
      </c>
      <c r="P226" s="65">
        <f>Calcul!AZ224</f>
        <v>0</v>
      </c>
      <c r="Q226" s="66" t="str">
        <f t="shared" si="3"/>
        <v/>
      </c>
      <c r="R226" s="67">
        <f>IF(H226&gt;=Budget!$B$29,1,0)</f>
        <v>0</v>
      </c>
      <c r="S226" s="67">
        <f>IF(J226&gt;=Budget!$B$32,1,0)</f>
        <v>1</v>
      </c>
      <c r="T226" s="67">
        <f t="shared" si="4"/>
        <v>1</v>
      </c>
      <c r="U226" s="4"/>
      <c r="V226" s="4"/>
      <c r="AA226" s="68">
        <f>Budget!$B$29</f>
        <v>4000</v>
      </c>
      <c r="AB226" s="68">
        <f>Budget!$B$32</f>
        <v>4000</v>
      </c>
    </row>
    <row r="227" spans="1:28" ht="15" customHeight="1" x14ac:dyDescent="0.25">
      <c r="A227" s="55">
        <v>223</v>
      </c>
      <c r="B227" s="56">
        <f>EDATE(Budget!$B$28,A227-1)</f>
        <v>53144</v>
      </c>
      <c r="C227" s="57">
        <f>Budget!$B$7</f>
        <v>2900</v>
      </c>
      <c r="D227" s="57">
        <f>Budget!$B$18+Budget!$B$25</f>
        <v>1725</v>
      </c>
      <c r="E227" s="57">
        <f>Calcul!AX225</f>
        <v>0</v>
      </c>
      <c r="F227" s="58">
        <f t="shared" si="0"/>
        <v>1175</v>
      </c>
      <c r="G227" s="59">
        <f>IF(B227&lt;=Budget!$B$30,MAX(0,MIN(F227,Budget!$B$29-H226)),0)</f>
        <v>0</v>
      </c>
      <c r="H227" s="60">
        <f t="shared" si="5"/>
        <v>3511.3</v>
      </c>
      <c r="I227" s="61">
        <f>MAX(0,MIN(F227-G227,Budget!$B$32-J226))</f>
        <v>0</v>
      </c>
      <c r="J227" s="62">
        <f t="shared" si="6"/>
        <v>4000</v>
      </c>
      <c r="K227" s="63">
        <f t="shared" si="1"/>
        <v>1175</v>
      </c>
      <c r="L227" s="63">
        <f>K227*Budget!$B$36</f>
        <v>705</v>
      </c>
      <c r="M227" s="63">
        <f>MAX(0,L227-Calcul!AY225)</f>
        <v>705</v>
      </c>
      <c r="N227" s="63">
        <f t="shared" si="2"/>
        <v>1175</v>
      </c>
      <c r="O227" s="64">
        <f t="shared" si="7"/>
        <v>238327.130164</v>
      </c>
      <c r="P227" s="65">
        <f>Calcul!AZ225</f>
        <v>0</v>
      </c>
      <c r="Q227" s="66" t="str">
        <f t="shared" si="3"/>
        <v/>
      </c>
      <c r="R227" s="67">
        <f>IF(H227&gt;=Budget!$B$29,1,0)</f>
        <v>0</v>
      </c>
      <c r="S227" s="67">
        <f>IF(J227&gt;=Budget!$B$32,1,0)</f>
        <v>1</v>
      </c>
      <c r="T227" s="67">
        <f t="shared" si="4"/>
        <v>1</v>
      </c>
      <c r="U227" s="4"/>
      <c r="V227" s="4"/>
      <c r="AA227" s="68">
        <f>Budget!$B$29</f>
        <v>4000</v>
      </c>
      <c r="AB227" s="68">
        <f>Budget!$B$32</f>
        <v>4000</v>
      </c>
    </row>
    <row r="228" spans="1:28" ht="15" customHeight="1" x14ac:dyDescent="0.25">
      <c r="A228" s="55">
        <v>224</v>
      </c>
      <c r="B228" s="56">
        <f>EDATE(Budget!$B$28,A228-1)</f>
        <v>53175</v>
      </c>
      <c r="C228" s="57">
        <f>Budget!$B$7</f>
        <v>2900</v>
      </c>
      <c r="D228" s="57">
        <f>Budget!$B$18+Budget!$B$25</f>
        <v>1725</v>
      </c>
      <c r="E228" s="57">
        <f>Calcul!AX226</f>
        <v>0</v>
      </c>
      <c r="F228" s="58">
        <f t="shared" si="0"/>
        <v>1175</v>
      </c>
      <c r="G228" s="59">
        <f>IF(B228&lt;=Budget!$B$30,MAX(0,MIN(F228,Budget!$B$29-H227)),0)</f>
        <v>0</v>
      </c>
      <c r="H228" s="60">
        <f t="shared" si="5"/>
        <v>3511.3</v>
      </c>
      <c r="I228" s="61">
        <f>MAX(0,MIN(F228-G228,Budget!$B$32-J227))</f>
        <v>0</v>
      </c>
      <c r="J228" s="62">
        <f t="shared" si="6"/>
        <v>4000</v>
      </c>
      <c r="K228" s="63">
        <f t="shared" si="1"/>
        <v>1175</v>
      </c>
      <c r="L228" s="63">
        <f>K228*Budget!$B$36</f>
        <v>705</v>
      </c>
      <c r="M228" s="63">
        <f>MAX(0,L228-Calcul!AY226)</f>
        <v>705</v>
      </c>
      <c r="N228" s="63">
        <f t="shared" si="2"/>
        <v>1175</v>
      </c>
      <c r="O228" s="64">
        <f t="shared" si="7"/>
        <v>239502.130164</v>
      </c>
      <c r="P228" s="65">
        <f>Calcul!AZ226</f>
        <v>0</v>
      </c>
      <c r="Q228" s="66" t="str">
        <f t="shared" si="3"/>
        <v/>
      </c>
      <c r="R228" s="67">
        <f>IF(H228&gt;=Budget!$B$29,1,0)</f>
        <v>0</v>
      </c>
      <c r="S228" s="67">
        <f>IF(J228&gt;=Budget!$B$32,1,0)</f>
        <v>1</v>
      </c>
      <c r="T228" s="67">
        <f t="shared" si="4"/>
        <v>1</v>
      </c>
      <c r="U228" s="4"/>
      <c r="V228" s="4"/>
      <c r="AA228" s="68">
        <f>Budget!$B$29</f>
        <v>4000</v>
      </c>
      <c r="AB228" s="68">
        <f>Budget!$B$32</f>
        <v>4000</v>
      </c>
    </row>
    <row r="229" spans="1:28" ht="15" customHeight="1" x14ac:dyDescent="0.25">
      <c r="A229" s="55">
        <v>225</v>
      </c>
      <c r="B229" s="56">
        <f>EDATE(Budget!$B$28,A229-1)</f>
        <v>53206</v>
      </c>
      <c r="C229" s="57">
        <f>Budget!$B$7</f>
        <v>2900</v>
      </c>
      <c r="D229" s="57">
        <f>Budget!$B$18+Budget!$B$25</f>
        <v>1725</v>
      </c>
      <c r="E229" s="57">
        <f>Calcul!AX227</f>
        <v>0</v>
      </c>
      <c r="F229" s="58">
        <f t="shared" si="0"/>
        <v>1175</v>
      </c>
      <c r="G229" s="59">
        <f>IF(B229&lt;=Budget!$B$30,MAX(0,MIN(F229,Budget!$B$29-H228)),0)</f>
        <v>0</v>
      </c>
      <c r="H229" s="60">
        <f t="shared" si="5"/>
        <v>3511.3</v>
      </c>
      <c r="I229" s="61">
        <f>MAX(0,MIN(F229-G229,Budget!$B$32-J228))</f>
        <v>0</v>
      </c>
      <c r="J229" s="62">
        <f t="shared" si="6"/>
        <v>4000</v>
      </c>
      <c r="K229" s="63">
        <f t="shared" si="1"/>
        <v>1175</v>
      </c>
      <c r="L229" s="63">
        <f>K229*Budget!$B$36</f>
        <v>705</v>
      </c>
      <c r="M229" s="63">
        <f>MAX(0,L229-Calcul!AY227)</f>
        <v>705</v>
      </c>
      <c r="N229" s="63">
        <f t="shared" si="2"/>
        <v>1175</v>
      </c>
      <c r="O229" s="64">
        <f t="shared" si="7"/>
        <v>240677.130164</v>
      </c>
      <c r="P229" s="65">
        <f>Calcul!AZ227</f>
        <v>0</v>
      </c>
      <c r="Q229" s="66" t="str">
        <f t="shared" si="3"/>
        <v/>
      </c>
      <c r="R229" s="67">
        <f>IF(H229&gt;=Budget!$B$29,1,0)</f>
        <v>0</v>
      </c>
      <c r="S229" s="67">
        <f>IF(J229&gt;=Budget!$B$32,1,0)</f>
        <v>1</v>
      </c>
      <c r="T229" s="67">
        <f t="shared" si="4"/>
        <v>1</v>
      </c>
      <c r="U229" s="4"/>
      <c r="V229" s="4"/>
      <c r="AA229" s="68">
        <f>Budget!$B$29</f>
        <v>4000</v>
      </c>
      <c r="AB229" s="68">
        <f>Budget!$B$32</f>
        <v>4000</v>
      </c>
    </row>
    <row r="230" spans="1:28" ht="15" customHeight="1" x14ac:dyDescent="0.25">
      <c r="A230" s="55">
        <v>226</v>
      </c>
      <c r="B230" s="56">
        <f>EDATE(Budget!$B$28,A230-1)</f>
        <v>53236</v>
      </c>
      <c r="C230" s="57">
        <f>Budget!$B$7</f>
        <v>2900</v>
      </c>
      <c r="D230" s="57">
        <f>Budget!$B$18+Budget!$B$25</f>
        <v>1725</v>
      </c>
      <c r="E230" s="57">
        <f>Calcul!AX228</f>
        <v>0</v>
      </c>
      <c r="F230" s="58">
        <f t="shared" si="0"/>
        <v>1175</v>
      </c>
      <c r="G230" s="59">
        <f>IF(B230&lt;=Budget!$B$30,MAX(0,MIN(F230,Budget!$B$29-H229)),0)</f>
        <v>0</v>
      </c>
      <c r="H230" s="60">
        <f t="shared" si="5"/>
        <v>3511.3</v>
      </c>
      <c r="I230" s="61">
        <f>MAX(0,MIN(F230-G230,Budget!$B$32-J229))</f>
        <v>0</v>
      </c>
      <c r="J230" s="62">
        <f t="shared" si="6"/>
        <v>4000</v>
      </c>
      <c r="K230" s="63">
        <f t="shared" si="1"/>
        <v>1175</v>
      </c>
      <c r="L230" s="63">
        <f>K230*Budget!$B$36</f>
        <v>705</v>
      </c>
      <c r="M230" s="63">
        <f>MAX(0,L230-Calcul!AY228)</f>
        <v>705</v>
      </c>
      <c r="N230" s="63">
        <f t="shared" si="2"/>
        <v>1175</v>
      </c>
      <c r="O230" s="64">
        <f t="shared" si="7"/>
        <v>241852.130164</v>
      </c>
      <c r="P230" s="65">
        <f>Calcul!AZ228</f>
        <v>0</v>
      </c>
      <c r="Q230" s="66" t="str">
        <f t="shared" si="3"/>
        <v/>
      </c>
      <c r="R230" s="67">
        <f>IF(H230&gt;=Budget!$B$29,1,0)</f>
        <v>0</v>
      </c>
      <c r="S230" s="67">
        <f>IF(J230&gt;=Budget!$B$32,1,0)</f>
        <v>1</v>
      </c>
      <c r="T230" s="67">
        <f t="shared" si="4"/>
        <v>1</v>
      </c>
      <c r="U230" s="4"/>
      <c r="V230" s="4"/>
      <c r="AA230" s="68">
        <f>Budget!$B$29</f>
        <v>4000</v>
      </c>
      <c r="AB230" s="68">
        <f>Budget!$B$32</f>
        <v>4000</v>
      </c>
    </row>
    <row r="231" spans="1:28" ht="15" customHeight="1" x14ac:dyDescent="0.25">
      <c r="A231" s="55">
        <v>227</v>
      </c>
      <c r="B231" s="56">
        <f>EDATE(Budget!$B$28,A231-1)</f>
        <v>53267</v>
      </c>
      <c r="C231" s="57">
        <f>Budget!$B$7</f>
        <v>2900</v>
      </c>
      <c r="D231" s="57">
        <f>Budget!$B$18+Budget!$B$25</f>
        <v>1725</v>
      </c>
      <c r="E231" s="57">
        <f>Calcul!AX229</f>
        <v>0</v>
      </c>
      <c r="F231" s="58">
        <f t="shared" si="0"/>
        <v>1175</v>
      </c>
      <c r="G231" s="59">
        <f>IF(B231&lt;=Budget!$B$30,MAX(0,MIN(F231,Budget!$B$29-H230)),0)</f>
        <v>0</v>
      </c>
      <c r="H231" s="60">
        <f t="shared" si="5"/>
        <v>3511.3</v>
      </c>
      <c r="I231" s="61">
        <f>MAX(0,MIN(F231-G231,Budget!$B$32-J230))</f>
        <v>0</v>
      </c>
      <c r="J231" s="62">
        <f t="shared" si="6"/>
        <v>4000</v>
      </c>
      <c r="K231" s="63">
        <f t="shared" si="1"/>
        <v>1175</v>
      </c>
      <c r="L231" s="63">
        <f>K231*Budget!$B$36</f>
        <v>705</v>
      </c>
      <c r="M231" s="63">
        <f>MAX(0,L231-Calcul!AY229)</f>
        <v>705</v>
      </c>
      <c r="N231" s="63">
        <f t="shared" si="2"/>
        <v>1175</v>
      </c>
      <c r="O231" s="64">
        <f t="shared" si="7"/>
        <v>243027.130164</v>
      </c>
      <c r="P231" s="65">
        <f>Calcul!AZ229</f>
        <v>0</v>
      </c>
      <c r="Q231" s="66" t="str">
        <f t="shared" si="3"/>
        <v/>
      </c>
      <c r="R231" s="67">
        <f>IF(H231&gt;=Budget!$B$29,1,0)</f>
        <v>0</v>
      </c>
      <c r="S231" s="67">
        <f>IF(J231&gt;=Budget!$B$32,1,0)</f>
        <v>1</v>
      </c>
      <c r="T231" s="67">
        <f t="shared" si="4"/>
        <v>1</v>
      </c>
      <c r="U231" s="4"/>
      <c r="V231" s="4"/>
      <c r="AA231" s="68">
        <f>Budget!$B$29</f>
        <v>4000</v>
      </c>
      <c r="AB231" s="68">
        <f>Budget!$B$32</f>
        <v>4000</v>
      </c>
    </row>
    <row r="232" spans="1:28" ht="15" customHeight="1" x14ac:dyDescent="0.25">
      <c r="A232" s="55">
        <v>228</v>
      </c>
      <c r="B232" s="56">
        <f>EDATE(Budget!$B$28,A232-1)</f>
        <v>53297</v>
      </c>
      <c r="C232" s="57">
        <f>Budget!$B$7</f>
        <v>2900</v>
      </c>
      <c r="D232" s="57">
        <f>Budget!$B$18+Budget!$B$25</f>
        <v>1725</v>
      </c>
      <c r="E232" s="57">
        <f>Calcul!AX230</f>
        <v>0</v>
      </c>
      <c r="F232" s="58">
        <f t="shared" si="0"/>
        <v>1175</v>
      </c>
      <c r="G232" s="59">
        <f>IF(B232&lt;=Budget!$B$30,MAX(0,MIN(F232,Budget!$B$29-H231)),0)</f>
        <v>0</v>
      </c>
      <c r="H232" s="60">
        <f t="shared" si="5"/>
        <v>3511.3</v>
      </c>
      <c r="I232" s="61">
        <f>MAX(0,MIN(F232-G232,Budget!$B$32-J231))</f>
        <v>0</v>
      </c>
      <c r="J232" s="62">
        <f t="shared" si="6"/>
        <v>4000</v>
      </c>
      <c r="K232" s="63">
        <f t="shared" si="1"/>
        <v>1175</v>
      </c>
      <c r="L232" s="63">
        <f>K232*Budget!$B$36</f>
        <v>705</v>
      </c>
      <c r="M232" s="63">
        <f>MAX(0,L232-Calcul!AY230)</f>
        <v>705</v>
      </c>
      <c r="N232" s="63">
        <f t="shared" si="2"/>
        <v>1175</v>
      </c>
      <c r="O232" s="64">
        <f t="shared" si="7"/>
        <v>244202.130164</v>
      </c>
      <c r="P232" s="65">
        <f>Calcul!AZ230</f>
        <v>0</v>
      </c>
      <c r="Q232" s="66" t="str">
        <f t="shared" si="3"/>
        <v/>
      </c>
      <c r="R232" s="67">
        <f>IF(H232&gt;=Budget!$B$29,1,0)</f>
        <v>0</v>
      </c>
      <c r="S232" s="67">
        <f>IF(J232&gt;=Budget!$B$32,1,0)</f>
        <v>1</v>
      </c>
      <c r="T232" s="67">
        <f t="shared" si="4"/>
        <v>1</v>
      </c>
      <c r="U232" s="4"/>
      <c r="V232" s="4"/>
      <c r="AA232" s="68">
        <f>Budget!$B$29</f>
        <v>4000</v>
      </c>
      <c r="AB232" s="68">
        <f>Budget!$B$32</f>
        <v>4000</v>
      </c>
    </row>
    <row r="233" spans="1:28" ht="15" customHeight="1" x14ac:dyDescent="0.25">
      <c r="A233" s="55">
        <v>229</v>
      </c>
      <c r="B233" s="56">
        <f>EDATE(Budget!$B$28,A233-1)</f>
        <v>53328</v>
      </c>
      <c r="C233" s="57">
        <f>Budget!$B$7</f>
        <v>2900</v>
      </c>
      <c r="D233" s="57">
        <f>Budget!$B$18+Budget!$B$25</f>
        <v>1725</v>
      </c>
      <c r="E233" s="57">
        <f>Calcul!AX231</f>
        <v>0</v>
      </c>
      <c r="F233" s="58">
        <f t="shared" si="0"/>
        <v>1175</v>
      </c>
      <c r="G233" s="59">
        <f>IF(B233&lt;=Budget!$B$30,MAX(0,MIN(F233,Budget!$B$29-H232)),0)</f>
        <v>0</v>
      </c>
      <c r="H233" s="60">
        <f t="shared" si="5"/>
        <v>3511.3</v>
      </c>
      <c r="I233" s="61">
        <f>MAX(0,MIN(F233-G233,Budget!$B$32-J232))</f>
        <v>0</v>
      </c>
      <c r="J233" s="62">
        <f t="shared" si="6"/>
        <v>4000</v>
      </c>
      <c r="K233" s="63">
        <f t="shared" si="1"/>
        <v>1175</v>
      </c>
      <c r="L233" s="63">
        <f>K233*Budget!$B$36</f>
        <v>705</v>
      </c>
      <c r="M233" s="63">
        <f>MAX(0,L233-Calcul!AY231)</f>
        <v>705</v>
      </c>
      <c r="N233" s="63">
        <f t="shared" si="2"/>
        <v>1175</v>
      </c>
      <c r="O233" s="64">
        <f t="shared" si="7"/>
        <v>245377.130164</v>
      </c>
      <c r="P233" s="65">
        <f>Calcul!AZ231</f>
        <v>0</v>
      </c>
      <c r="Q233" s="66" t="str">
        <f t="shared" si="3"/>
        <v/>
      </c>
      <c r="R233" s="67">
        <f>IF(H233&gt;=Budget!$B$29,1,0)</f>
        <v>0</v>
      </c>
      <c r="S233" s="67">
        <f>IF(J233&gt;=Budget!$B$32,1,0)</f>
        <v>1</v>
      </c>
      <c r="T233" s="67">
        <f t="shared" si="4"/>
        <v>1</v>
      </c>
      <c r="U233" s="4"/>
      <c r="V233" s="4"/>
      <c r="AA233" s="68">
        <f>Budget!$B$29</f>
        <v>4000</v>
      </c>
      <c r="AB233" s="68">
        <f>Budget!$B$32</f>
        <v>4000</v>
      </c>
    </row>
    <row r="234" spans="1:28" ht="15" customHeight="1" x14ac:dyDescent="0.25">
      <c r="A234" s="55">
        <v>230</v>
      </c>
      <c r="B234" s="56">
        <f>EDATE(Budget!$B$28,A234-1)</f>
        <v>53359</v>
      </c>
      <c r="C234" s="57">
        <f>Budget!$B$7</f>
        <v>2900</v>
      </c>
      <c r="D234" s="57">
        <f>Budget!$B$18+Budget!$B$25</f>
        <v>1725</v>
      </c>
      <c r="E234" s="57">
        <f>Calcul!AX232</f>
        <v>0</v>
      </c>
      <c r="F234" s="58">
        <f t="shared" si="0"/>
        <v>1175</v>
      </c>
      <c r="G234" s="59">
        <f>IF(B234&lt;=Budget!$B$30,MAX(0,MIN(F234,Budget!$B$29-H233)),0)</f>
        <v>0</v>
      </c>
      <c r="H234" s="60">
        <f t="shared" si="5"/>
        <v>3511.3</v>
      </c>
      <c r="I234" s="61">
        <f>MAX(0,MIN(F234-G234,Budget!$B$32-J233))</f>
        <v>0</v>
      </c>
      <c r="J234" s="62">
        <f t="shared" si="6"/>
        <v>4000</v>
      </c>
      <c r="K234" s="63">
        <f t="shared" si="1"/>
        <v>1175</v>
      </c>
      <c r="L234" s="63">
        <f>K234*Budget!$B$36</f>
        <v>705</v>
      </c>
      <c r="M234" s="63">
        <f>MAX(0,L234-Calcul!AY232)</f>
        <v>705</v>
      </c>
      <c r="N234" s="63">
        <f t="shared" si="2"/>
        <v>1175</v>
      </c>
      <c r="O234" s="64">
        <f t="shared" si="7"/>
        <v>246552.130164</v>
      </c>
      <c r="P234" s="65">
        <f>Calcul!AZ232</f>
        <v>0</v>
      </c>
      <c r="Q234" s="66" t="str">
        <f t="shared" si="3"/>
        <v/>
      </c>
      <c r="R234" s="67">
        <f>IF(H234&gt;=Budget!$B$29,1,0)</f>
        <v>0</v>
      </c>
      <c r="S234" s="67">
        <f>IF(J234&gt;=Budget!$B$32,1,0)</f>
        <v>1</v>
      </c>
      <c r="T234" s="67">
        <f t="shared" si="4"/>
        <v>1</v>
      </c>
      <c r="U234" s="4"/>
      <c r="V234" s="4"/>
      <c r="AA234" s="68">
        <f>Budget!$B$29</f>
        <v>4000</v>
      </c>
      <c r="AB234" s="68">
        <f>Budget!$B$32</f>
        <v>4000</v>
      </c>
    </row>
    <row r="235" spans="1:28" ht="15" customHeight="1" x14ac:dyDescent="0.25">
      <c r="A235" s="55">
        <v>231</v>
      </c>
      <c r="B235" s="56">
        <f>EDATE(Budget!$B$28,A235-1)</f>
        <v>53387</v>
      </c>
      <c r="C235" s="57">
        <f>Budget!$B$7</f>
        <v>2900</v>
      </c>
      <c r="D235" s="57">
        <f>Budget!$B$18+Budget!$B$25</f>
        <v>1725</v>
      </c>
      <c r="E235" s="57">
        <f>Calcul!AX233</f>
        <v>0</v>
      </c>
      <c r="F235" s="58">
        <f t="shared" si="0"/>
        <v>1175</v>
      </c>
      <c r="G235" s="59">
        <f>IF(B235&lt;=Budget!$B$30,MAX(0,MIN(F235,Budget!$B$29-H234)),0)</f>
        <v>0</v>
      </c>
      <c r="H235" s="60">
        <f t="shared" si="5"/>
        <v>3511.3</v>
      </c>
      <c r="I235" s="61">
        <f>MAX(0,MIN(F235-G235,Budget!$B$32-J234))</f>
        <v>0</v>
      </c>
      <c r="J235" s="62">
        <f t="shared" si="6"/>
        <v>4000</v>
      </c>
      <c r="K235" s="63">
        <f t="shared" si="1"/>
        <v>1175</v>
      </c>
      <c r="L235" s="63">
        <f>K235*Budget!$B$36</f>
        <v>705</v>
      </c>
      <c r="M235" s="63">
        <f>MAX(0,L235-Calcul!AY233)</f>
        <v>705</v>
      </c>
      <c r="N235" s="63">
        <f t="shared" si="2"/>
        <v>1175</v>
      </c>
      <c r="O235" s="64">
        <f t="shared" si="7"/>
        <v>247727.130164</v>
      </c>
      <c r="P235" s="65">
        <f>Calcul!AZ233</f>
        <v>0</v>
      </c>
      <c r="Q235" s="66" t="str">
        <f t="shared" si="3"/>
        <v/>
      </c>
      <c r="R235" s="67">
        <f>IF(H235&gt;=Budget!$B$29,1,0)</f>
        <v>0</v>
      </c>
      <c r="S235" s="67">
        <f>IF(J235&gt;=Budget!$B$32,1,0)</f>
        <v>1</v>
      </c>
      <c r="T235" s="67">
        <f t="shared" si="4"/>
        <v>1</v>
      </c>
      <c r="U235" s="4"/>
      <c r="V235" s="4"/>
      <c r="AA235" s="68">
        <f>Budget!$B$29</f>
        <v>4000</v>
      </c>
      <c r="AB235" s="68">
        <f>Budget!$B$32</f>
        <v>4000</v>
      </c>
    </row>
    <row r="236" spans="1:28" ht="15" customHeight="1" x14ac:dyDescent="0.25">
      <c r="A236" s="55">
        <v>232</v>
      </c>
      <c r="B236" s="56">
        <f>EDATE(Budget!$B$28,A236-1)</f>
        <v>53418</v>
      </c>
      <c r="C236" s="57">
        <f>Budget!$B$7</f>
        <v>2900</v>
      </c>
      <c r="D236" s="57">
        <f>Budget!$B$18+Budget!$B$25</f>
        <v>1725</v>
      </c>
      <c r="E236" s="57">
        <f>Calcul!AX234</f>
        <v>0</v>
      </c>
      <c r="F236" s="58">
        <f t="shared" si="0"/>
        <v>1175</v>
      </c>
      <c r="G236" s="59">
        <f>IF(B236&lt;=Budget!$B$30,MAX(0,MIN(F236,Budget!$B$29-H235)),0)</f>
        <v>0</v>
      </c>
      <c r="H236" s="60">
        <f t="shared" si="5"/>
        <v>3511.3</v>
      </c>
      <c r="I236" s="61">
        <f>MAX(0,MIN(F236-G236,Budget!$B$32-J235))</f>
        <v>0</v>
      </c>
      <c r="J236" s="62">
        <f t="shared" si="6"/>
        <v>4000</v>
      </c>
      <c r="K236" s="63">
        <f t="shared" si="1"/>
        <v>1175</v>
      </c>
      <c r="L236" s="63">
        <f>K236*Budget!$B$36</f>
        <v>705</v>
      </c>
      <c r="M236" s="63">
        <f>MAX(0,L236-Calcul!AY234)</f>
        <v>705</v>
      </c>
      <c r="N236" s="63">
        <f t="shared" si="2"/>
        <v>1175</v>
      </c>
      <c r="O236" s="64">
        <f t="shared" si="7"/>
        <v>248902.130164</v>
      </c>
      <c r="P236" s="65">
        <f>Calcul!AZ234</f>
        <v>0</v>
      </c>
      <c r="Q236" s="66" t="str">
        <f t="shared" si="3"/>
        <v/>
      </c>
      <c r="R236" s="67">
        <f>IF(H236&gt;=Budget!$B$29,1,0)</f>
        <v>0</v>
      </c>
      <c r="S236" s="67">
        <f>IF(J236&gt;=Budget!$B$32,1,0)</f>
        <v>1</v>
      </c>
      <c r="T236" s="67">
        <f t="shared" si="4"/>
        <v>1</v>
      </c>
      <c r="U236" s="4"/>
      <c r="V236" s="4"/>
      <c r="AA236" s="68">
        <f>Budget!$B$29</f>
        <v>4000</v>
      </c>
      <c r="AB236" s="68">
        <f>Budget!$B$32</f>
        <v>4000</v>
      </c>
    </row>
    <row r="237" spans="1:28" ht="15" customHeight="1" x14ac:dyDescent="0.25">
      <c r="A237" s="55">
        <v>233</v>
      </c>
      <c r="B237" s="56">
        <f>EDATE(Budget!$B$28,A237-1)</f>
        <v>53448</v>
      </c>
      <c r="C237" s="57">
        <f>Budget!$B$7</f>
        <v>2900</v>
      </c>
      <c r="D237" s="57">
        <f>Budget!$B$18+Budget!$B$25</f>
        <v>1725</v>
      </c>
      <c r="E237" s="57">
        <f>Calcul!AX235</f>
        <v>0</v>
      </c>
      <c r="F237" s="58">
        <f t="shared" si="0"/>
        <v>1175</v>
      </c>
      <c r="G237" s="59">
        <f>IF(B237&lt;=Budget!$B$30,MAX(0,MIN(F237,Budget!$B$29-H236)),0)</f>
        <v>0</v>
      </c>
      <c r="H237" s="60">
        <f t="shared" si="5"/>
        <v>3511.3</v>
      </c>
      <c r="I237" s="61">
        <f>MAX(0,MIN(F237-G237,Budget!$B$32-J236))</f>
        <v>0</v>
      </c>
      <c r="J237" s="62">
        <f t="shared" si="6"/>
        <v>4000</v>
      </c>
      <c r="K237" s="63">
        <f t="shared" si="1"/>
        <v>1175</v>
      </c>
      <c r="L237" s="63">
        <f>K237*Budget!$B$36</f>
        <v>705</v>
      </c>
      <c r="M237" s="63">
        <f>MAX(0,L237-Calcul!AY235)</f>
        <v>705</v>
      </c>
      <c r="N237" s="63">
        <f t="shared" si="2"/>
        <v>1175</v>
      </c>
      <c r="O237" s="64">
        <f t="shared" si="7"/>
        <v>250077.130164</v>
      </c>
      <c r="P237" s="65">
        <f>Calcul!AZ235</f>
        <v>0</v>
      </c>
      <c r="Q237" s="66" t="str">
        <f t="shared" si="3"/>
        <v/>
      </c>
      <c r="R237" s="67">
        <f>IF(H237&gt;=Budget!$B$29,1,0)</f>
        <v>0</v>
      </c>
      <c r="S237" s="67">
        <f>IF(J237&gt;=Budget!$B$32,1,0)</f>
        <v>1</v>
      </c>
      <c r="T237" s="67">
        <f t="shared" si="4"/>
        <v>1</v>
      </c>
      <c r="U237" s="4"/>
      <c r="V237" s="4"/>
      <c r="AA237" s="68">
        <f>Budget!$B$29</f>
        <v>4000</v>
      </c>
      <c r="AB237" s="68">
        <f>Budget!$B$32</f>
        <v>4000</v>
      </c>
    </row>
    <row r="238" spans="1:28" ht="15" customHeight="1" x14ac:dyDescent="0.25">
      <c r="A238" s="55">
        <v>234</v>
      </c>
      <c r="B238" s="56">
        <f>EDATE(Budget!$B$28,A238-1)</f>
        <v>53479</v>
      </c>
      <c r="C238" s="57">
        <f>Budget!$B$7</f>
        <v>2900</v>
      </c>
      <c r="D238" s="57">
        <f>Budget!$B$18+Budget!$B$25</f>
        <v>1725</v>
      </c>
      <c r="E238" s="57">
        <f>Calcul!AX236</f>
        <v>0</v>
      </c>
      <c r="F238" s="58">
        <f t="shared" si="0"/>
        <v>1175</v>
      </c>
      <c r="G238" s="59">
        <f>IF(B238&lt;=Budget!$B$30,MAX(0,MIN(F238,Budget!$B$29-H237)),0)</f>
        <v>0</v>
      </c>
      <c r="H238" s="60">
        <f t="shared" si="5"/>
        <v>3511.3</v>
      </c>
      <c r="I238" s="61">
        <f>MAX(0,MIN(F238-G238,Budget!$B$32-J237))</f>
        <v>0</v>
      </c>
      <c r="J238" s="62">
        <f t="shared" si="6"/>
        <v>4000</v>
      </c>
      <c r="K238" s="63">
        <f t="shared" si="1"/>
        <v>1175</v>
      </c>
      <c r="L238" s="63">
        <f>K238*Budget!$B$36</f>
        <v>705</v>
      </c>
      <c r="M238" s="63">
        <f>MAX(0,L238-Calcul!AY236)</f>
        <v>705</v>
      </c>
      <c r="N238" s="63">
        <f t="shared" si="2"/>
        <v>1175</v>
      </c>
      <c r="O238" s="64">
        <f t="shared" si="7"/>
        <v>251252.130164</v>
      </c>
      <c r="P238" s="65">
        <f>Calcul!AZ236</f>
        <v>0</v>
      </c>
      <c r="Q238" s="66" t="str">
        <f t="shared" si="3"/>
        <v/>
      </c>
      <c r="R238" s="67">
        <f>IF(H238&gt;=Budget!$B$29,1,0)</f>
        <v>0</v>
      </c>
      <c r="S238" s="67">
        <f>IF(J238&gt;=Budget!$B$32,1,0)</f>
        <v>1</v>
      </c>
      <c r="T238" s="67">
        <f t="shared" si="4"/>
        <v>1</v>
      </c>
      <c r="U238" s="4"/>
      <c r="V238" s="4"/>
      <c r="AA238" s="68">
        <f>Budget!$B$29</f>
        <v>4000</v>
      </c>
      <c r="AB238" s="68">
        <f>Budget!$B$32</f>
        <v>4000</v>
      </c>
    </row>
    <row r="239" spans="1:28" ht="15" customHeight="1" x14ac:dyDescent="0.25">
      <c r="A239" s="55">
        <v>235</v>
      </c>
      <c r="B239" s="56">
        <f>EDATE(Budget!$B$28,A239-1)</f>
        <v>53509</v>
      </c>
      <c r="C239" s="57">
        <f>Budget!$B$7</f>
        <v>2900</v>
      </c>
      <c r="D239" s="57">
        <f>Budget!$B$18+Budget!$B$25</f>
        <v>1725</v>
      </c>
      <c r="E239" s="57">
        <f>Calcul!AX237</f>
        <v>0</v>
      </c>
      <c r="F239" s="58">
        <f t="shared" si="0"/>
        <v>1175</v>
      </c>
      <c r="G239" s="59">
        <f>IF(B239&lt;=Budget!$B$30,MAX(0,MIN(F239,Budget!$B$29-H238)),0)</f>
        <v>0</v>
      </c>
      <c r="H239" s="60">
        <f t="shared" si="5"/>
        <v>3511.3</v>
      </c>
      <c r="I239" s="61">
        <f>MAX(0,MIN(F239-G239,Budget!$B$32-J238))</f>
        <v>0</v>
      </c>
      <c r="J239" s="62">
        <f t="shared" si="6"/>
        <v>4000</v>
      </c>
      <c r="K239" s="63">
        <f t="shared" si="1"/>
        <v>1175</v>
      </c>
      <c r="L239" s="63">
        <f>K239*Budget!$B$36</f>
        <v>705</v>
      </c>
      <c r="M239" s="63">
        <f>MAX(0,L239-Calcul!AY237)</f>
        <v>705</v>
      </c>
      <c r="N239" s="63">
        <f t="shared" si="2"/>
        <v>1175</v>
      </c>
      <c r="O239" s="64">
        <f t="shared" si="7"/>
        <v>252427.130164</v>
      </c>
      <c r="P239" s="65">
        <f>Calcul!AZ237</f>
        <v>0</v>
      </c>
      <c r="Q239" s="66" t="str">
        <f t="shared" si="3"/>
        <v/>
      </c>
      <c r="R239" s="67">
        <f>IF(H239&gt;=Budget!$B$29,1,0)</f>
        <v>0</v>
      </c>
      <c r="S239" s="67">
        <f>IF(J239&gt;=Budget!$B$32,1,0)</f>
        <v>1</v>
      </c>
      <c r="T239" s="67">
        <f t="shared" si="4"/>
        <v>1</v>
      </c>
      <c r="U239" s="4"/>
      <c r="V239" s="4"/>
      <c r="AA239" s="68">
        <f>Budget!$B$29</f>
        <v>4000</v>
      </c>
      <c r="AB239" s="68">
        <f>Budget!$B$32</f>
        <v>4000</v>
      </c>
    </row>
    <row r="240" spans="1:28" ht="15" customHeight="1" x14ac:dyDescent="0.25">
      <c r="A240" s="55">
        <v>236</v>
      </c>
      <c r="B240" s="56">
        <f>EDATE(Budget!$B$28,A240-1)</f>
        <v>53540</v>
      </c>
      <c r="C240" s="57">
        <f>Budget!$B$7</f>
        <v>2900</v>
      </c>
      <c r="D240" s="57">
        <f>Budget!$B$18+Budget!$B$25</f>
        <v>1725</v>
      </c>
      <c r="E240" s="57">
        <f>Calcul!AX238</f>
        <v>0</v>
      </c>
      <c r="F240" s="58">
        <f t="shared" si="0"/>
        <v>1175</v>
      </c>
      <c r="G240" s="59">
        <f>IF(B240&lt;=Budget!$B$30,MAX(0,MIN(F240,Budget!$B$29-H239)),0)</f>
        <v>0</v>
      </c>
      <c r="H240" s="60">
        <f t="shared" si="5"/>
        <v>3511.3</v>
      </c>
      <c r="I240" s="61">
        <f>MAX(0,MIN(F240-G240,Budget!$B$32-J239))</f>
        <v>0</v>
      </c>
      <c r="J240" s="62">
        <f t="shared" si="6"/>
        <v>4000</v>
      </c>
      <c r="K240" s="63">
        <f t="shared" si="1"/>
        <v>1175</v>
      </c>
      <c r="L240" s="63">
        <f>K240*Budget!$B$36</f>
        <v>705</v>
      </c>
      <c r="M240" s="63">
        <f>MAX(0,L240-Calcul!AY238)</f>
        <v>705</v>
      </c>
      <c r="N240" s="63">
        <f t="shared" si="2"/>
        <v>1175</v>
      </c>
      <c r="O240" s="64">
        <f t="shared" si="7"/>
        <v>253602.130164</v>
      </c>
      <c r="P240" s="65">
        <f>Calcul!AZ238</f>
        <v>0</v>
      </c>
      <c r="Q240" s="66" t="str">
        <f t="shared" si="3"/>
        <v/>
      </c>
      <c r="R240" s="67">
        <f>IF(H240&gt;=Budget!$B$29,1,0)</f>
        <v>0</v>
      </c>
      <c r="S240" s="67">
        <f>IF(J240&gt;=Budget!$B$32,1,0)</f>
        <v>1</v>
      </c>
      <c r="T240" s="67">
        <f t="shared" si="4"/>
        <v>1</v>
      </c>
      <c r="U240" s="4"/>
      <c r="V240" s="4"/>
      <c r="AA240" s="68">
        <f>Budget!$B$29</f>
        <v>4000</v>
      </c>
      <c r="AB240" s="68">
        <f>Budget!$B$32</f>
        <v>4000</v>
      </c>
    </row>
    <row r="241" spans="1:28" ht="15" customHeight="1" x14ac:dyDescent="0.25">
      <c r="A241" s="55">
        <v>237</v>
      </c>
      <c r="B241" s="56">
        <f>EDATE(Budget!$B$28,A241-1)</f>
        <v>53571</v>
      </c>
      <c r="C241" s="57">
        <f>Budget!$B$7</f>
        <v>2900</v>
      </c>
      <c r="D241" s="57">
        <f>Budget!$B$18+Budget!$B$25</f>
        <v>1725</v>
      </c>
      <c r="E241" s="57">
        <f>Calcul!AX239</f>
        <v>0</v>
      </c>
      <c r="F241" s="58">
        <f t="shared" si="0"/>
        <v>1175</v>
      </c>
      <c r="G241" s="59">
        <f>IF(B241&lt;=Budget!$B$30,MAX(0,MIN(F241,Budget!$B$29-H240)),0)</f>
        <v>0</v>
      </c>
      <c r="H241" s="60">
        <f t="shared" si="5"/>
        <v>3511.3</v>
      </c>
      <c r="I241" s="61">
        <f>MAX(0,MIN(F241-G241,Budget!$B$32-J240))</f>
        <v>0</v>
      </c>
      <c r="J241" s="62">
        <f t="shared" si="6"/>
        <v>4000</v>
      </c>
      <c r="K241" s="63">
        <f t="shared" si="1"/>
        <v>1175</v>
      </c>
      <c r="L241" s="63">
        <f>K241*Budget!$B$36</f>
        <v>705</v>
      </c>
      <c r="M241" s="63">
        <f>MAX(0,L241-Calcul!AY239)</f>
        <v>705</v>
      </c>
      <c r="N241" s="63">
        <f t="shared" si="2"/>
        <v>1175</v>
      </c>
      <c r="O241" s="64">
        <f t="shared" si="7"/>
        <v>254777.130164</v>
      </c>
      <c r="P241" s="65">
        <f>Calcul!AZ239</f>
        <v>0</v>
      </c>
      <c r="Q241" s="66" t="str">
        <f t="shared" si="3"/>
        <v/>
      </c>
      <c r="R241" s="67">
        <f>IF(H241&gt;=Budget!$B$29,1,0)</f>
        <v>0</v>
      </c>
      <c r="S241" s="67">
        <f>IF(J241&gt;=Budget!$B$32,1,0)</f>
        <v>1</v>
      </c>
      <c r="T241" s="67">
        <f t="shared" si="4"/>
        <v>1</v>
      </c>
      <c r="U241" s="4"/>
      <c r="V241" s="4"/>
      <c r="AA241" s="68">
        <f>Budget!$B$29</f>
        <v>4000</v>
      </c>
      <c r="AB241" s="68">
        <f>Budget!$B$32</f>
        <v>4000</v>
      </c>
    </row>
    <row r="242" spans="1:28" ht="15" customHeight="1" x14ac:dyDescent="0.25">
      <c r="A242" s="55">
        <v>238</v>
      </c>
      <c r="B242" s="56">
        <f>EDATE(Budget!$B$28,A242-1)</f>
        <v>53601</v>
      </c>
      <c r="C242" s="57">
        <f>Budget!$B$7</f>
        <v>2900</v>
      </c>
      <c r="D242" s="57">
        <f>Budget!$B$18+Budget!$B$25</f>
        <v>1725</v>
      </c>
      <c r="E242" s="57">
        <f>Calcul!AX240</f>
        <v>0</v>
      </c>
      <c r="F242" s="58">
        <f t="shared" si="0"/>
        <v>1175</v>
      </c>
      <c r="G242" s="59">
        <f>IF(B242&lt;=Budget!$B$30,MAX(0,MIN(F242,Budget!$B$29-H241)),0)</f>
        <v>0</v>
      </c>
      <c r="H242" s="60">
        <f t="shared" si="5"/>
        <v>3511.3</v>
      </c>
      <c r="I242" s="61">
        <f>MAX(0,MIN(F242-G242,Budget!$B$32-J241))</f>
        <v>0</v>
      </c>
      <c r="J242" s="62">
        <f t="shared" si="6"/>
        <v>4000</v>
      </c>
      <c r="K242" s="63">
        <f t="shared" si="1"/>
        <v>1175</v>
      </c>
      <c r="L242" s="63">
        <f>K242*Budget!$B$36</f>
        <v>705</v>
      </c>
      <c r="M242" s="63">
        <f>MAX(0,L242-Calcul!AY240)</f>
        <v>705</v>
      </c>
      <c r="N242" s="63">
        <f t="shared" si="2"/>
        <v>1175</v>
      </c>
      <c r="O242" s="64">
        <f t="shared" si="7"/>
        <v>255952.130164</v>
      </c>
      <c r="P242" s="65">
        <f>Calcul!AZ240</f>
        <v>0</v>
      </c>
      <c r="Q242" s="66" t="str">
        <f t="shared" si="3"/>
        <v/>
      </c>
      <c r="R242" s="67">
        <f>IF(H242&gt;=Budget!$B$29,1,0)</f>
        <v>0</v>
      </c>
      <c r="S242" s="67">
        <f>IF(J242&gt;=Budget!$B$32,1,0)</f>
        <v>1</v>
      </c>
      <c r="T242" s="67">
        <f t="shared" si="4"/>
        <v>1</v>
      </c>
      <c r="U242" s="4"/>
      <c r="V242" s="4"/>
      <c r="AA242" s="68">
        <f>Budget!$B$29</f>
        <v>4000</v>
      </c>
      <c r="AB242" s="68">
        <f>Budget!$B$32</f>
        <v>4000</v>
      </c>
    </row>
    <row r="243" spans="1:28" ht="15" customHeight="1" x14ac:dyDescent="0.25">
      <c r="A243" s="55">
        <v>239</v>
      </c>
      <c r="B243" s="56">
        <f>EDATE(Budget!$B$28,A243-1)</f>
        <v>53632</v>
      </c>
      <c r="C243" s="57">
        <f>Budget!$B$7</f>
        <v>2900</v>
      </c>
      <c r="D243" s="57">
        <f>Budget!$B$18+Budget!$B$25</f>
        <v>1725</v>
      </c>
      <c r="E243" s="57">
        <f>Calcul!AX241</f>
        <v>0</v>
      </c>
      <c r="F243" s="58">
        <f t="shared" si="0"/>
        <v>1175</v>
      </c>
      <c r="G243" s="59">
        <f>IF(B243&lt;=Budget!$B$30,MAX(0,MIN(F243,Budget!$B$29-H242)),0)</f>
        <v>0</v>
      </c>
      <c r="H243" s="60">
        <f t="shared" si="5"/>
        <v>3511.3</v>
      </c>
      <c r="I243" s="61">
        <f>MAX(0,MIN(F243-G243,Budget!$B$32-J242))</f>
        <v>0</v>
      </c>
      <c r="J243" s="62">
        <f t="shared" si="6"/>
        <v>4000</v>
      </c>
      <c r="K243" s="63">
        <f t="shared" si="1"/>
        <v>1175</v>
      </c>
      <c r="L243" s="63">
        <f>K243*Budget!$B$36</f>
        <v>705</v>
      </c>
      <c r="M243" s="63">
        <f>MAX(0,L243-Calcul!AY241)</f>
        <v>705</v>
      </c>
      <c r="N243" s="63">
        <f t="shared" si="2"/>
        <v>1175</v>
      </c>
      <c r="O243" s="64">
        <f t="shared" si="7"/>
        <v>257127.130164</v>
      </c>
      <c r="P243" s="65">
        <f>Calcul!AZ241</f>
        <v>0</v>
      </c>
      <c r="Q243" s="66" t="str">
        <f t="shared" si="3"/>
        <v/>
      </c>
      <c r="R243" s="67">
        <f>IF(H243&gt;=Budget!$B$29,1,0)</f>
        <v>0</v>
      </c>
      <c r="S243" s="67">
        <f>IF(J243&gt;=Budget!$B$32,1,0)</f>
        <v>1</v>
      </c>
      <c r="T243" s="67">
        <f t="shared" si="4"/>
        <v>1</v>
      </c>
      <c r="U243" s="4"/>
      <c r="V243" s="4"/>
      <c r="AA243" s="68">
        <f>Budget!$B$29</f>
        <v>4000</v>
      </c>
      <c r="AB243" s="68">
        <f>Budget!$B$32</f>
        <v>4000</v>
      </c>
    </row>
    <row r="244" spans="1:28" ht="15" customHeight="1" x14ac:dyDescent="0.25">
      <c r="A244" s="55">
        <v>240</v>
      </c>
      <c r="B244" s="56">
        <f>EDATE(Budget!$B$28,A244-1)</f>
        <v>53662</v>
      </c>
      <c r="C244" s="57">
        <f>Budget!$B$7</f>
        <v>2900</v>
      </c>
      <c r="D244" s="57">
        <f>Budget!$B$18+Budget!$B$25</f>
        <v>1725</v>
      </c>
      <c r="E244" s="57">
        <f>Calcul!AX242</f>
        <v>0</v>
      </c>
      <c r="F244" s="58">
        <f t="shared" si="0"/>
        <v>1175</v>
      </c>
      <c r="G244" s="59">
        <f>IF(B244&lt;=Budget!$B$30,MAX(0,MIN(F244,Budget!$B$29-H243)),0)</f>
        <v>0</v>
      </c>
      <c r="H244" s="60">
        <f t="shared" si="5"/>
        <v>3511.3</v>
      </c>
      <c r="I244" s="61">
        <f>MAX(0,MIN(F244-G244,Budget!$B$32-J243))</f>
        <v>0</v>
      </c>
      <c r="J244" s="62">
        <f t="shared" si="6"/>
        <v>4000</v>
      </c>
      <c r="K244" s="63">
        <f t="shared" si="1"/>
        <v>1175</v>
      </c>
      <c r="L244" s="63">
        <f>K244*Budget!$B$36</f>
        <v>705</v>
      </c>
      <c r="M244" s="63">
        <f>MAX(0,L244-Calcul!AY242)</f>
        <v>705</v>
      </c>
      <c r="N244" s="63">
        <f t="shared" si="2"/>
        <v>1175</v>
      </c>
      <c r="O244" s="64">
        <f t="shared" si="7"/>
        <v>258302.130164</v>
      </c>
      <c r="P244" s="65">
        <f>Calcul!AZ242</f>
        <v>0</v>
      </c>
      <c r="Q244" s="66" t="str">
        <f t="shared" si="3"/>
        <v/>
      </c>
      <c r="R244" s="67">
        <f>IF(H244&gt;=Budget!$B$29,1,0)</f>
        <v>0</v>
      </c>
      <c r="S244" s="67">
        <f>IF(J244&gt;=Budget!$B$32,1,0)</f>
        <v>1</v>
      </c>
      <c r="T244" s="67">
        <f t="shared" si="4"/>
        <v>1</v>
      </c>
      <c r="U244" s="4"/>
      <c r="V244" s="4"/>
      <c r="AA244" s="68">
        <f>Budget!$B$29</f>
        <v>4000</v>
      </c>
      <c r="AB244" s="68">
        <f>Budget!$B$32</f>
        <v>4000</v>
      </c>
    </row>
    <row r="245" spans="1:28" ht="15" customHeight="1" x14ac:dyDescent="0.25">
      <c r="A245" s="55">
        <v>241</v>
      </c>
      <c r="B245" s="56">
        <f>EDATE(Budget!$B$28,A245-1)</f>
        <v>53693</v>
      </c>
      <c r="C245" s="57">
        <f>Budget!$B$7</f>
        <v>2900</v>
      </c>
      <c r="D245" s="57">
        <f>Budget!$B$18+Budget!$B$25</f>
        <v>1725</v>
      </c>
      <c r="E245" s="57">
        <f>Calcul!AX243</f>
        <v>0</v>
      </c>
      <c r="F245" s="58">
        <f t="shared" si="0"/>
        <v>1175</v>
      </c>
      <c r="G245" s="59">
        <f>IF(B245&lt;=Budget!$B$30,MAX(0,MIN(F245,Budget!$B$29-H244)),0)</f>
        <v>0</v>
      </c>
      <c r="H245" s="60">
        <f t="shared" si="5"/>
        <v>3511.3</v>
      </c>
      <c r="I245" s="61">
        <f>MAX(0,MIN(F245-G245,Budget!$B$32-J244))</f>
        <v>0</v>
      </c>
      <c r="J245" s="62">
        <f t="shared" si="6"/>
        <v>4000</v>
      </c>
      <c r="K245" s="63">
        <f t="shared" si="1"/>
        <v>1175</v>
      </c>
      <c r="L245" s="63">
        <f>K245*Budget!$B$36</f>
        <v>705</v>
      </c>
      <c r="M245" s="63">
        <f>MAX(0,L245-Calcul!AY243)</f>
        <v>705</v>
      </c>
      <c r="N245" s="63">
        <f t="shared" si="2"/>
        <v>1175</v>
      </c>
      <c r="O245" s="64">
        <f t="shared" si="7"/>
        <v>259477.130164</v>
      </c>
      <c r="P245" s="65">
        <f>Calcul!AZ243</f>
        <v>0</v>
      </c>
      <c r="Q245" s="66" t="str">
        <f t="shared" si="3"/>
        <v/>
      </c>
      <c r="R245" s="67">
        <f>IF(H245&gt;=Budget!$B$29,1,0)</f>
        <v>0</v>
      </c>
      <c r="S245" s="67">
        <f>IF(J245&gt;=Budget!$B$32,1,0)</f>
        <v>1</v>
      </c>
      <c r="T245" s="67">
        <f t="shared" si="4"/>
        <v>1</v>
      </c>
      <c r="U245" s="4"/>
      <c r="V245" s="4"/>
      <c r="AA245" s="68">
        <f>Budget!$B$29</f>
        <v>4000</v>
      </c>
      <c r="AB245" s="68">
        <f>Budget!$B$32</f>
        <v>4000</v>
      </c>
    </row>
    <row r="246" spans="1:28" ht="15" customHeight="1" x14ac:dyDescent="0.25">
      <c r="A246" s="55">
        <v>242</v>
      </c>
      <c r="B246" s="56">
        <f>EDATE(Budget!$B$28,A246-1)</f>
        <v>53724</v>
      </c>
      <c r="C246" s="57">
        <f>Budget!$B$7</f>
        <v>2900</v>
      </c>
      <c r="D246" s="57">
        <f>Budget!$B$18+Budget!$B$25</f>
        <v>1725</v>
      </c>
      <c r="E246" s="57">
        <f>Calcul!AX244</f>
        <v>0</v>
      </c>
      <c r="F246" s="58">
        <f t="shared" si="0"/>
        <v>1175</v>
      </c>
      <c r="G246" s="59">
        <f>IF(B246&lt;=Budget!$B$30,MAX(0,MIN(F246,Budget!$B$29-H245)),0)</f>
        <v>0</v>
      </c>
      <c r="H246" s="60">
        <f t="shared" si="5"/>
        <v>3511.3</v>
      </c>
      <c r="I246" s="61">
        <f>MAX(0,MIN(F246-G246,Budget!$B$32-J245))</f>
        <v>0</v>
      </c>
      <c r="J246" s="62">
        <f t="shared" si="6"/>
        <v>4000</v>
      </c>
      <c r="K246" s="63">
        <f t="shared" si="1"/>
        <v>1175</v>
      </c>
      <c r="L246" s="63">
        <f>K246*Budget!$B$36</f>
        <v>705</v>
      </c>
      <c r="M246" s="63">
        <f>MAX(0,L246-Calcul!AY244)</f>
        <v>705</v>
      </c>
      <c r="N246" s="63">
        <f t="shared" si="2"/>
        <v>1175</v>
      </c>
      <c r="O246" s="64">
        <f t="shared" si="7"/>
        <v>260652.130164</v>
      </c>
      <c r="P246" s="65">
        <f>Calcul!AZ244</f>
        <v>0</v>
      </c>
      <c r="Q246" s="66" t="str">
        <f t="shared" si="3"/>
        <v/>
      </c>
      <c r="R246" s="67">
        <f>IF(H246&gt;=Budget!$B$29,1,0)</f>
        <v>0</v>
      </c>
      <c r="S246" s="67">
        <f>IF(J246&gt;=Budget!$B$32,1,0)</f>
        <v>1</v>
      </c>
      <c r="T246" s="67">
        <f t="shared" si="4"/>
        <v>1</v>
      </c>
      <c r="U246" s="4"/>
      <c r="V246" s="4"/>
      <c r="AA246" s="68">
        <f>Budget!$B$29</f>
        <v>4000</v>
      </c>
      <c r="AB246" s="68">
        <f>Budget!$B$32</f>
        <v>4000</v>
      </c>
    </row>
    <row r="247" spans="1:28" ht="15" customHeight="1" x14ac:dyDescent="0.25">
      <c r="A247" s="55">
        <v>243</v>
      </c>
      <c r="B247" s="56">
        <f>EDATE(Budget!$B$28,A247-1)</f>
        <v>53752</v>
      </c>
      <c r="C247" s="57">
        <f>Budget!$B$7</f>
        <v>2900</v>
      </c>
      <c r="D247" s="57">
        <f>Budget!$B$18+Budget!$B$25</f>
        <v>1725</v>
      </c>
      <c r="E247" s="57">
        <f>Calcul!AX245</f>
        <v>0</v>
      </c>
      <c r="F247" s="58">
        <f t="shared" si="0"/>
        <v>1175</v>
      </c>
      <c r="G247" s="59">
        <f>IF(B247&lt;=Budget!$B$30,MAX(0,MIN(F247,Budget!$B$29-H246)),0)</f>
        <v>0</v>
      </c>
      <c r="H247" s="60">
        <f t="shared" si="5"/>
        <v>3511.3</v>
      </c>
      <c r="I247" s="61">
        <f>MAX(0,MIN(F247-G247,Budget!$B$32-J246))</f>
        <v>0</v>
      </c>
      <c r="J247" s="62">
        <f t="shared" si="6"/>
        <v>4000</v>
      </c>
      <c r="K247" s="63">
        <f t="shared" si="1"/>
        <v>1175</v>
      </c>
      <c r="L247" s="63">
        <f>K247*Budget!$B$36</f>
        <v>705</v>
      </c>
      <c r="M247" s="63">
        <f>MAX(0,L247-Calcul!AY245)</f>
        <v>705</v>
      </c>
      <c r="N247" s="63">
        <f t="shared" si="2"/>
        <v>1175</v>
      </c>
      <c r="O247" s="64">
        <f t="shared" si="7"/>
        <v>261827.130164</v>
      </c>
      <c r="P247" s="65">
        <f>Calcul!AZ245</f>
        <v>0</v>
      </c>
      <c r="Q247" s="66" t="str">
        <f t="shared" si="3"/>
        <v/>
      </c>
      <c r="R247" s="67">
        <f>IF(H247&gt;=Budget!$B$29,1,0)</f>
        <v>0</v>
      </c>
      <c r="S247" s="67">
        <f>IF(J247&gt;=Budget!$B$32,1,0)</f>
        <v>1</v>
      </c>
      <c r="T247" s="67">
        <f t="shared" si="4"/>
        <v>1</v>
      </c>
      <c r="U247" s="4"/>
      <c r="V247" s="4"/>
      <c r="AA247" s="68">
        <f>Budget!$B$29</f>
        <v>4000</v>
      </c>
      <c r="AB247" s="68">
        <f>Budget!$B$32</f>
        <v>4000</v>
      </c>
    </row>
    <row r="248" spans="1:28" ht="15" customHeight="1" x14ac:dyDescent="0.25">
      <c r="A248" s="55">
        <v>244</v>
      </c>
      <c r="B248" s="56">
        <f>EDATE(Budget!$B$28,A248-1)</f>
        <v>53783</v>
      </c>
      <c r="C248" s="57">
        <f>Budget!$B$7</f>
        <v>2900</v>
      </c>
      <c r="D248" s="57">
        <f>Budget!$B$18+Budget!$B$25</f>
        <v>1725</v>
      </c>
      <c r="E248" s="57">
        <f>Calcul!AX246</f>
        <v>0</v>
      </c>
      <c r="F248" s="58">
        <f t="shared" si="0"/>
        <v>1175</v>
      </c>
      <c r="G248" s="59">
        <f>IF(B248&lt;=Budget!$B$30,MAX(0,MIN(F248,Budget!$B$29-H247)),0)</f>
        <v>0</v>
      </c>
      <c r="H248" s="60">
        <f t="shared" si="5"/>
        <v>3511.3</v>
      </c>
      <c r="I248" s="61">
        <f>MAX(0,MIN(F248-G248,Budget!$B$32-J247))</f>
        <v>0</v>
      </c>
      <c r="J248" s="62">
        <f t="shared" si="6"/>
        <v>4000</v>
      </c>
      <c r="K248" s="63">
        <f t="shared" si="1"/>
        <v>1175</v>
      </c>
      <c r="L248" s="63">
        <f>K248*Budget!$B$36</f>
        <v>705</v>
      </c>
      <c r="M248" s="63">
        <f>MAX(0,L248-Calcul!AY246)</f>
        <v>705</v>
      </c>
      <c r="N248" s="63">
        <f t="shared" si="2"/>
        <v>1175</v>
      </c>
      <c r="O248" s="64">
        <f t="shared" si="7"/>
        <v>263002.13016399997</v>
      </c>
      <c r="P248" s="65">
        <f>Calcul!AZ246</f>
        <v>0</v>
      </c>
      <c r="Q248" s="66" t="str">
        <f t="shared" si="3"/>
        <v/>
      </c>
      <c r="R248" s="67">
        <f>IF(H248&gt;=Budget!$B$29,1,0)</f>
        <v>0</v>
      </c>
      <c r="S248" s="67">
        <f>IF(J248&gt;=Budget!$B$32,1,0)</f>
        <v>1</v>
      </c>
      <c r="T248" s="67">
        <f t="shared" si="4"/>
        <v>1</v>
      </c>
      <c r="U248" s="4"/>
      <c r="V248" s="4"/>
      <c r="AA248" s="68">
        <f>Budget!$B$29</f>
        <v>4000</v>
      </c>
      <c r="AB248" s="68">
        <f>Budget!$B$32</f>
        <v>4000</v>
      </c>
    </row>
    <row r="249" spans="1:28" ht="15" customHeight="1" x14ac:dyDescent="0.25">
      <c r="A249" s="55">
        <v>245</v>
      </c>
      <c r="B249" s="56">
        <f>EDATE(Budget!$B$28,A249-1)</f>
        <v>53813</v>
      </c>
      <c r="C249" s="57">
        <f>Budget!$B$7</f>
        <v>2900</v>
      </c>
      <c r="D249" s="57">
        <f>Budget!$B$18+Budget!$B$25</f>
        <v>1725</v>
      </c>
      <c r="E249" s="57">
        <f>Calcul!AX247</f>
        <v>0</v>
      </c>
      <c r="F249" s="58">
        <f t="shared" si="0"/>
        <v>1175</v>
      </c>
      <c r="G249" s="59">
        <f>IF(B249&lt;=Budget!$B$30,MAX(0,MIN(F249,Budget!$B$29-H248)),0)</f>
        <v>0</v>
      </c>
      <c r="H249" s="60">
        <f t="shared" si="5"/>
        <v>3511.3</v>
      </c>
      <c r="I249" s="61">
        <f>MAX(0,MIN(F249-G249,Budget!$B$32-J248))</f>
        <v>0</v>
      </c>
      <c r="J249" s="62">
        <f t="shared" si="6"/>
        <v>4000</v>
      </c>
      <c r="K249" s="63">
        <f t="shared" si="1"/>
        <v>1175</v>
      </c>
      <c r="L249" s="63">
        <f>K249*Budget!$B$36</f>
        <v>705</v>
      </c>
      <c r="M249" s="63">
        <f>MAX(0,L249-Calcul!AY247)</f>
        <v>705</v>
      </c>
      <c r="N249" s="63">
        <f t="shared" si="2"/>
        <v>1175</v>
      </c>
      <c r="O249" s="64">
        <f t="shared" si="7"/>
        <v>264177.13016399997</v>
      </c>
      <c r="P249" s="65">
        <f>Calcul!AZ247</f>
        <v>0</v>
      </c>
      <c r="Q249" s="66" t="str">
        <f t="shared" si="3"/>
        <v/>
      </c>
      <c r="R249" s="67">
        <f>IF(H249&gt;=Budget!$B$29,1,0)</f>
        <v>0</v>
      </c>
      <c r="S249" s="67">
        <f>IF(J249&gt;=Budget!$B$32,1,0)</f>
        <v>1</v>
      </c>
      <c r="T249" s="67">
        <f t="shared" si="4"/>
        <v>1</v>
      </c>
      <c r="U249" s="4"/>
      <c r="V249" s="4"/>
      <c r="AA249" s="68">
        <f>Budget!$B$29</f>
        <v>4000</v>
      </c>
      <c r="AB249" s="68">
        <f>Budget!$B$32</f>
        <v>4000</v>
      </c>
    </row>
    <row r="250" spans="1:28" ht="15" customHeight="1" x14ac:dyDescent="0.25">
      <c r="A250" s="55">
        <v>246</v>
      </c>
      <c r="B250" s="56">
        <f>EDATE(Budget!$B$28,A250-1)</f>
        <v>53844</v>
      </c>
      <c r="C250" s="57">
        <f>Budget!$B$7</f>
        <v>2900</v>
      </c>
      <c r="D250" s="57">
        <f>Budget!$B$18+Budget!$B$25</f>
        <v>1725</v>
      </c>
      <c r="E250" s="57">
        <f>Calcul!AX248</f>
        <v>0</v>
      </c>
      <c r="F250" s="58">
        <f t="shared" si="0"/>
        <v>1175</v>
      </c>
      <c r="G250" s="59">
        <f>IF(B250&lt;=Budget!$B$30,MAX(0,MIN(F250,Budget!$B$29-H249)),0)</f>
        <v>0</v>
      </c>
      <c r="H250" s="60">
        <f t="shared" si="5"/>
        <v>3511.3</v>
      </c>
      <c r="I250" s="61">
        <f>MAX(0,MIN(F250-G250,Budget!$B$32-J249))</f>
        <v>0</v>
      </c>
      <c r="J250" s="62">
        <f t="shared" si="6"/>
        <v>4000</v>
      </c>
      <c r="K250" s="63">
        <f t="shared" si="1"/>
        <v>1175</v>
      </c>
      <c r="L250" s="63">
        <f>K250*Budget!$B$36</f>
        <v>705</v>
      </c>
      <c r="M250" s="63">
        <f>MAX(0,L250-Calcul!AY248)</f>
        <v>705</v>
      </c>
      <c r="N250" s="63">
        <f t="shared" si="2"/>
        <v>1175</v>
      </c>
      <c r="O250" s="64">
        <f t="shared" si="7"/>
        <v>265352.13016399997</v>
      </c>
      <c r="P250" s="65">
        <f>Calcul!AZ248</f>
        <v>0</v>
      </c>
      <c r="Q250" s="66" t="str">
        <f t="shared" si="3"/>
        <v/>
      </c>
      <c r="R250" s="67">
        <f>IF(H250&gt;=Budget!$B$29,1,0)</f>
        <v>0</v>
      </c>
      <c r="S250" s="67">
        <f>IF(J250&gt;=Budget!$B$32,1,0)</f>
        <v>1</v>
      </c>
      <c r="T250" s="67">
        <f t="shared" si="4"/>
        <v>1</v>
      </c>
      <c r="U250" s="4"/>
      <c r="V250" s="4"/>
      <c r="AA250" s="68">
        <f>Budget!$B$29</f>
        <v>4000</v>
      </c>
      <c r="AB250" s="68">
        <f>Budget!$B$32</f>
        <v>4000</v>
      </c>
    </row>
    <row r="251" spans="1:28" ht="15" customHeight="1" x14ac:dyDescent="0.25">
      <c r="A251" s="55">
        <v>247</v>
      </c>
      <c r="B251" s="56">
        <f>EDATE(Budget!$B$28,A251-1)</f>
        <v>53874</v>
      </c>
      <c r="C251" s="57">
        <f>Budget!$B$7</f>
        <v>2900</v>
      </c>
      <c r="D251" s="57">
        <f>Budget!$B$18+Budget!$B$25</f>
        <v>1725</v>
      </c>
      <c r="E251" s="57">
        <f>Calcul!AX249</f>
        <v>0</v>
      </c>
      <c r="F251" s="58">
        <f t="shared" si="0"/>
        <v>1175</v>
      </c>
      <c r="G251" s="59">
        <f>IF(B251&lt;=Budget!$B$30,MAX(0,MIN(F251,Budget!$B$29-H250)),0)</f>
        <v>0</v>
      </c>
      <c r="H251" s="60">
        <f t="shared" si="5"/>
        <v>3511.3</v>
      </c>
      <c r="I251" s="61">
        <f>MAX(0,MIN(F251-G251,Budget!$B$32-J250))</f>
        <v>0</v>
      </c>
      <c r="J251" s="62">
        <f t="shared" si="6"/>
        <v>4000</v>
      </c>
      <c r="K251" s="63">
        <f t="shared" si="1"/>
        <v>1175</v>
      </c>
      <c r="L251" s="63">
        <f>K251*Budget!$B$36</f>
        <v>705</v>
      </c>
      <c r="M251" s="63">
        <f>MAX(0,L251-Calcul!AY249)</f>
        <v>705</v>
      </c>
      <c r="N251" s="63">
        <f t="shared" si="2"/>
        <v>1175</v>
      </c>
      <c r="O251" s="64">
        <f t="shared" si="7"/>
        <v>266527.13016399997</v>
      </c>
      <c r="P251" s="65">
        <f>Calcul!AZ249</f>
        <v>0</v>
      </c>
      <c r="Q251" s="66" t="str">
        <f t="shared" si="3"/>
        <v/>
      </c>
      <c r="R251" s="67">
        <f>IF(H251&gt;=Budget!$B$29,1,0)</f>
        <v>0</v>
      </c>
      <c r="S251" s="67">
        <f>IF(J251&gt;=Budget!$B$32,1,0)</f>
        <v>1</v>
      </c>
      <c r="T251" s="67">
        <f t="shared" si="4"/>
        <v>1</v>
      </c>
      <c r="U251" s="4"/>
      <c r="V251" s="4"/>
      <c r="AA251" s="68">
        <f>Budget!$B$29</f>
        <v>4000</v>
      </c>
      <c r="AB251" s="68">
        <f>Budget!$B$32</f>
        <v>4000</v>
      </c>
    </row>
    <row r="252" spans="1:28" ht="15" customHeight="1" x14ac:dyDescent="0.25">
      <c r="A252" s="55">
        <v>248</v>
      </c>
      <c r="B252" s="56">
        <f>EDATE(Budget!$B$28,A252-1)</f>
        <v>53905</v>
      </c>
      <c r="C252" s="57">
        <f>Budget!$B$7</f>
        <v>2900</v>
      </c>
      <c r="D252" s="57">
        <f>Budget!$B$18+Budget!$B$25</f>
        <v>1725</v>
      </c>
      <c r="E252" s="57">
        <f>Calcul!AX250</f>
        <v>0</v>
      </c>
      <c r="F252" s="58">
        <f t="shared" si="0"/>
        <v>1175</v>
      </c>
      <c r="G252" s="59">
        <f>IF(B252&lt;=Budget!$B$30,MAX(0,MIN(F252,Budget!$B$29-H251)),0)</f>
        <v>0</v>
      </c>
      <c r="H252" s="60">
        <f t="shared" si="5"/>
        <v>3511.3</v>
      </c>
      <c r="I252" s="61">
        <f>MAX(0,MIN(F252-G252,Budget!$B$32-J251))</f>
        <v>0</v>
      </c>
      <c r="J252" s="62">
        <f t="shared" si="6"/>
        <v>4000</v>
      </c>
      <c r="K252" s="63">
        <f t="shared" si="1"/>
        <v>1175</v>
      </c>
      <c r="L252" s="63">
        <f>K252*Budget!$B$36</f>
        <v>705</v>
      </c>
      <c r="M252" s="63">
        <f>MAX(0,L252-Calcul!AY250)</f>
        <v>705</v>
      </c>
      <c r="N252" s="63">
        <f t="shared" si="2"/>
        <v>1175</v>
      </c>
      <c r="O252" s="64">
        <f t="shared" si="7"/>
        <v>267702.13016399997</v>
      </c>
      <c r="P252" s="65">
        <f>Calcul!AZ250</f>
        <v>0</v>
      </c>
      <c r="Q252" s="66" t="str">
        <f t="shared" si="3"/>
        <v/>
      </c>
      <c r="R252" s="67">
        <f>IF(H252&gt;=Budget!$B$29,1,0)</f>
        <v>0</v>
      </c>
      <c r="S252" s="67">
        <f>IF(J252&gt;=Budget!$B$32,1,0)</f>
        <v>1</v>
      </c>
      <c r="T252" s="67">
        <f t="shared" si="4"/>
        <v>1</v>
      </c>
      <c r="U252" s="4"/>
      <c r="V252" s="4"/>
      <c r="AA252" s="68">
        <f>Budget!$B$29</f>
        <v>4000</v>
      </c>
      <c r="AB252" s="68">
        <f>Budget!$B$32</f>
        <v>4000</v>
      </c>
    </row>
    <row r="253" spans="1:28" ht="15" customHeight="1" x14ac:dyDescent="0.25">
      <c r="A253" s="55">
        <v>249</v>
      </c>
      <c r="B253" s="56">
        <f>EDATE(Budget!$B$28,A253-1)</f>
        <v>53936</v>
      </c>
      <c r="C253" s="57">
        <f>Budget!$B$7</f>
        <v>2900</v>
      </c>
      <c r="D253" s="57">
        <f>Budget!$B$18+Budget!$B$25</f>
        <v>1725</v>
      </c>
      <c r="E253" s="57">
        <f>Calcul!AX251</f>
        <v>0</v>
      </c>
      <c r="F253" s="58">
        <f t="shared" si="0"/>
        <v>1175</v>
      </c>
      <c r="G253" s="59">
        <f>IF(B253&lt;=Budget!$B$30,MAX(0,MIN(F253,Budget!$B$29-H252)),0)</f>
        <v>0</v>
      </c>
      <c r="H253" s="60">
        <f t="shared" si="5"/>
        <v>3511.3</v>
      </c>
      <c r="I253" s="61">
        <f>MAX(0,MIN(F253-G253,Budget!$B$32-J252))</f>
        <v>0</v>
      </c>
      <c r="J253" s="62">
        <f t="shared" si="6"/>
        <v>4000</v>
      </c>
      <c r="K253" s="63">
        <f t="shared" si="1"/>
        <v>1175</v>
      </c>
      <c r="L253" s="63">
        <f>K253*Budget!$B$36</f>
        <v>705</v>
      </c>
      <c r="M253" s="63">
        <f>MAX(0,L253-Calcul!AY251)</f>
        <v>705</v>
      </c>
      <c r="N253" s="63">
        <f t="shared" si="2"/>
        <v>1175</v>
      </c>
      <c r="O253" s="64">
        <f t="shared" si="7"/>
        <v>268877.13016399997</v>
      </c>
      <c r="P253" s="65">
        <f>Calcul!AZ251</f>
        <v>0</v>
      </c>
      <c r="Q253" s="66" t="str">
        <f t="shared" si="3"/>
        <v/>
      </c>
      <c r="R253" s="67">
        <f>IF(H253&gt;=Budget!$B$29,1,0)</f>
        <v>0</v>
      </c>
      <c r="S253" s="67">
        <f>IF(J253&gt;=Budget!$B$32,1,0)</f>
        <v>1</v>
      </c>
      <c r="T253" s="67">
        <f t="shared" si="4"/>
        <v>1</v>
      </c>
      <c r="U253" s="4"/>
      <c r="V253" s="4"/>
      <c r="AA253" s="68">
        <f>Budget!$B$29</f>
        <v>4000</v>
      </c>
      <c r="AB253" s="68">
        <f>Budget!$B$32</f>
        <v>4000</v>
      </c>
    </row>
    <row r="254" spans="1:28" ht="15" customHeight="1" x14ac:dyDescent="0.25">
      <c r="A254" s="55">
        <v>250</v>
      </c>
      <c r="B254" s="56">
        <f>EDATE(Budget!$B$28,A254-1)</f>
        <v>53966</v>
      </c>
      <c r="C254" s="57">
        <f>Budget!$B$7</f>
        <v>2900</v>
      </c>
      <c r="D254" s="57">
        <f>Budget!$B$18+Budget!$B$25</f>
        <v>1725</v>
      </c>
      <c r="E254" s="57">
        <f>Calcul!AX252</f>
        <v>0</v>
      </c>
      <c r="F254" s="58">
        <f t="shared" si="0"/>
        <v>1175</v>
      </c>
      <c r="G254" s="59">
        <f>IF(B254&lt;=Budget!$B$30,MAX(0,MIN(F254,Budget!$B$29-H253)),0)</f>
        <v>0</v>
      </c>
      <c r="H254" s="60">
        <f t="shared" si="5"/>
        <v>3511.3</v>
      </c>
      <c r="I254" s="61">
        <f>MAX(0,MIN(F254-G254,Budget!$B$32-J253))</f>
        <v>0</v>
      </c>
      <c r="J254" s="62">
        <f t="shared" si="6"/>
        <v>4000</v>
      </c>
      <c r="K254" s="63">
        <f t="shared" si="1"/>
        <v>1175</v>
      </c>
      <c r="L254" s="63">
        <f>K254*Budget!$B$36</f>
        <v>705</v>
      </c>
      <c r="M254" s="63">
        <f>MAX(0,L254-Calcul!AY252)</f>
        <v>705</v>
      </c>
      <c r="N254" s="63">
        <f t="shared" si="2"/>
        <v>1175</v>
      </c>
      <c r="O254" s="64">
        <f t="shared" si="7"/>
        <v>270052.13016399997</v>
      </c>
      <c r="P254" s="65">
        <f>Calcul!AZ252</f>
        <v>0</v>
      </c>
      <c r="Q254" s="66" t="str">
        <f t="shared" si="3"/>
        <v/>
      </c>
      <c r="R254" s="67">
        <f>IF(H254&gt;=Budget!$B$29,1,0)</f>
        <v>0</v>
      </c>
      <c r="S254" s="67">
        <f>IF(J254&gt;=Budget!$B$32,1,0)</f>
        <v>1</v>
      </c>
      <c r="T254" s="67">
        <f t="shared" si="4"/>
        <v>1</v>
      </c>
      <c r="U254" s="4"/>
      <c r="V254" s="4"/>
      <c r="AA254" s="68">
        <f>Budget!$B$29</f>
        <v>4000</v>
      </c>
      <c r="AB254" s="68">
        <f>Budget!$B$32</f>
        <v>4000</v>
      </c>
    </row>
    <row r="255" spans="1:28" ht="15" customHeight="1" x14ac:dyDescent="0.25">
      <c r="A255" s="55">
        <v>251</v>
      </c>
      <c r="B255" s="56">
        <f>EDATE(Budget!$B$28,A255-1)</f>
        <v>53997</v>
      </c>
      <c r="C255" s="57">
        <f>Budget!$B$7</f>
        <v>2900</v>
      </c>
      <c r="D255" s="57">
        <f>Budget!$B$18+Budget!$B$25</f>
        <v>1725</v>
      </c>
      <c r="E255" s="57">
        <f>Calcul!AX253</f>
        <v>0</v>
      </c>
      <c r="F255" s="58">
        <f t="shared" si="0"/>
        <v>1175</v>
      </c>
      <c r="G255" s="59">
        <f>IF(B255&lt;=Budget!$B$30,MAX(0,MIN(F255,Budget!$B$29-H254)),0)</f>
        <v>0</v>
      </c>
      <c r="H255" s="60">
        <f t="shared" si="5"/>
        <v>3511.3</v>
      </c>
      <c r="I255" s="61">
        <f>MAX(0,MIN(F255-G255,Budget!$B$32-J254))</f>
        <v>0</v>
      </c>
      <c r="J255" s="62">
        <f t="shared" si="6"/>
        <v>4000</v>
      </c>
      <c r="K255" s="63">
        <f t="shared" si="1"/>
        <v>1175</v>
      </c>
      <c r="L255" s="63">
        <f>K255*Budget!$B$36</f>
        <v>705</v>
      </c>
      <c r="M255" s="63">
        <f>MAX(0,L255-Calcul!AY253)</f>
        <v>705</v>
      </c>
      <c r="N255" s="63">
        <f t="shared" si="2"/>
        <v>1175</v>
      </c>
      <c r="O255" s="64">
        <f t="shared" si="7"/>
        <v>271227.13016399997</v>
      </c>
      <c r="P255" s="65">
        <f>Calcul!AZ253</f>
        <v>0</v>
      </c>
      <c r="Q255" s="66" t="str">
        <f t="shared" si="3"/>
        <v/>
      </c>
      <c r="R255" s="67">
        <f>IF(H255&gt;=Budget!$B$29,1,0)</f>
        <v>0</v>
      </c>
      <c r="S255" s="67">
        <f>IF(J255&gt;=Budget!$B$32,1,0)</f>
        <v>1</v>
      </c>
      <c r="T255" s="67">
        <f t="shared" si="4"/>
        <v>1</v>
      </c>
      <c r="U255" s="4"/>
      <c r="V255" s="4"/>
      <c r="AA255" s="68">
        <f>Budget!$B$29</f>
        <v>4000</v>
      </c>
      <c r="AB255" s="68">
        <f>Budget!$B$32</f>
        <v>4000</v>
      </c>
    </row>
    <row r="256" spans="1:28" ht="15" customHeight="1" x14ac:dyDescent="0.25">
      <c r="A256" s="55">
        <v>252</v>
      </c>
      <c r="B256" s="56">
        <f>EDATE(Budget!$B$28,A256-1)</f>
        <v>54027</v>
      </c>
      <c r="C256" s="57">
        <f>Budget!$B$7</f>
        <v>2900</v>
      </c>
      <c r="D256" s="57">
        <f>Budget!$B$18+Budget!$B$25</f>
        <v>1725</v>
      </c>
      <c r="E256" s="57">
        <f>Calcul!AX254</f>
        <v>0</v>
      </c>
      <c r="F256" s="58">
        <f t="shared" si="0"/>
        <v>1175</v>
      </c>
      <c r="G256" s="59">
        <f>IF(B256&lt;=Budget!$B$30,MAX(0,MIN(F256,Budget!$B$29-H255)),0)</f>
        <v>0</v>
      </c>
      <c r="H256" s="60">
        <f t="shared" si="5"/>
        <v>3511.3</v>
      </c>
      <c r="I256" s="61">
        <f>MAX(0,MIN(F256-G256,Budget!$B$32-J255))</f>
        <v>0</v>
      </c>
      <c r="J256" s="62">
        <f t="shared" si="6"/>
        <v>4000</v>
      </c>
      <c r="K256" s="63">
        <f t="shared" si="1"/>
        <v>1175</v>
      </c>
      <c r="L256" s="63">
        <f>K256*Budget!$B$36</f>
        <v>705</v>
      </c>
      <c r="M256" s="63">
        <f>MAX(0,L256-Calcul!AY254)</f>
        <v>705</v>
      </c>
      <c r="N256" s="63">
        <f t="shared" si="2"/>
        <v>1175</v>
      </c>
      <c r="O256" s="64">
        <f t="shared" si="7"/>
        <v>272402.13016399997</v>
      </c>
      <c r="P256" s="65">
        <f>Calcul!AZ254</f>
        <v>0</v>
      </c>
      <c r="Q256" s="66" t="str">
        <f t="shared" si="3"/>
        <v/>
      </c>
      <c r="R256" s="67">
        <f>IF(H256&gt;=Budget!$B$29,1,0)</f>
        <v>0</v>
      </c>
      <c r="S256" s="67">
        <f>IF(J256&gt;=Budget!$B$32,1,0)</f>
        <v>1</v>
      </c>
      <c r="T256" s="67">
        <f t="shared" si="4"/>
        <v>1</v>
      </c>
      <c r="U256" s="4"/>
      <c r="V256" s="4"/>
      <c r="AA256" s="68">
        <f>Budget!$B$29</f>
        <v>4000</v>
      </c>
      <c r="AB256" s="68">
        <f>Budget!$B$32</f>
        <v>4000</v>
      </c>
    </row>
    <row r="257" spans="1:28" ht="15" customHeight="1" x14ac:dyDescent="0.25">
      <c r="A257" s="55">
        <v>253</v>
      </c>
      <c r="B257" s="56">
        <f>EDATE(Budget!$B$28,A257-1)</f>
        <v>54058</v>
      </c>
      <c r="C257" s="57">
        <f>Budget!$B$7</f>
        <v>2900</v>
      </c>
      <c r="D257" s="57">
        <f>Budget!$B$18+Budget!$B$25</f>
        <v>1725</v>
      </c>
      <c r="E257" s="57">
        <f>Calcul!AX255</f>
        <v>0</v>
      </c>
      <c r="F257" s="58">
        <f t="shared" si="0"/>
        <v>1175</v>
      </c>
      <c r="G257" s="59">
        <f>IF(B257&lt;=Budget!$B$30,MAX(0,MIN(F257,Budget!$B$29-H256)),0)</f>
        <v>0</v>
      </c>
      <c r="H257" s="60">
        <f t="shared" si="5"/>
        <v>3511.3</v>
      </c>
      <c r="I257" s="61">
        <f>MAX(0,MIN(F257-G257,Budget!$B$32-J256))</f>
        <v>0</v>
      </c>
      <c r="J257" s="62">
        <f t="shared" si="6"/>
        <v>4000</v>
      </c>
      <c r="K257" s="63">
        <f t="shared" si="1"/>
        <v>1175</v>
      </c>
      <c r="L257" s="63">
        <f>K257*Budget!$B$36</f>
        <v>705</v>
      </c>
      <c r="M257" s="63">
        <f>MAX(0,L257-Calcul!AY255)</f>
        <v>705</v>
      </c>
      <c r="N257" s="63">
        <f t="shared" si="2"/>
        <v>1175</v>
      </c>
      <c r="O257" s="64">
        <f t="shared" si="7"/>
        <v>273577.13016399997</v>
      </c>
      <c r="P257" s="65">
        <f>Calcul!AZ255</f>
        <v>0</v>
      </c>
      <c r="Q257" s="66" t="str">
        <f t="shared" si="3"/>
        <v/>
      </c>
      <c r="R257" s="67">
        <f>IF(H257&gt;=Budget!$B$29,1,0)</f>
        <v>0</v>
      </c>
      <c r="S257" s="67">
        <f>IF(J257&gt;=Budget!$B$32,1,0)</f>
        <v>1</v>
      </c>
      <c r="T257" s="67">
        <f t="shared" si="4"/>
        <v>1</v>
      </c>
      <c r="U257" s="4"/>
      <c r="V257" s="4"/>
      <c r="AA257" s="68">
        <f>Budget!$B$29</f>
        <v>4000</v>
      </c>
      <c r="AB257" s="68">
        <f>Budget!$B$32</f>
        <v>4000</v>
      </c>
    </row>
    <row r="258" spans="1:28" ht="15" customHeight="1" x14ac:dyDescent="0.25">
      <c r="A258" s="55">
        <v>254</v>
      </c>
      <c r="B258" s="56">
        <f>EDATE(Budget!$B$28,A258-1)</f>
        <v>54089</v>
      </c>
      <c r="C258" s="57">
        <f>Budget!$B$7</f>
        <v>2900</v>
      </c>
      <c r="D258" s="57">
        <f>Budget!$B$18+Budget!$B$25</f>
        <v>1725</v>
      </c>
      <c r="E258" s="57">
        <f>Calcul!AX256</f>
        <v>0</v>
      </c>
      <c r="F258" s="58">
        <f t="shared" si="0"/>
        <v>1175</v>
      </c>
      <c r="G258" s="59">
        <f>IF(B258&lt;=Budget!$B$30,MAX(0,MIN(F258,Budget!$B$29-H257)),0)</f>
        <v>0</v>
      </c>
      <c r="H258" s="60">
        <f t="shared" si="5"/>
        <v>3511.3</v>
      </c>
      <c r="I258" s="61">
        <f>MAX(0,MIN(F258-G258,Budget!$B$32-J257))</f>
        <v>0</v>
      </c>
      <c r="J258" s="62">
        <f t="shared" si="6"/>
        <v>4000</v>
      </c>
      <c r="K258" s="63">
        <f t="shared" si="1"/>
        <v>1175</v>
      </c>
      <c r="L258" s="63">
        <f>K258*Budget!$B$36</f>
        <v>705</v>
      </c>
      <c r="M258" s="63">
        <f>MAX(0,L258-Calcul!AY256)</f>
        <v>705</v>
      </c>
      <c r="N258" s="63">
        <f t="shared" si="2"/>
        <v>1175</v>
      </c>
      <c r="O258" s="64">
        <f t="shared" si="7"/>
        <v>274752.13016399997</v>
      </c>
      <c r="P258" s="65">
        <f>Calcul!AZ256</f>
        <v>0</v>
      </c>
      <c r="Q258" s="66" t="str">
        <f t="shared" si="3"/>
        <v/>
      </c>
      <c r="R258" s="67">
        <f>IF(H258&gt;=Budget!$B$29,1,0)</f>
        <v>0</v>
      </c>
      <c r="S258" s="67">
        <f>IF(J258&gt;=Budget!$B$32,1,0)</f>
        <v>1</v>
      </c>
      <c r="T258" s="67">
        <f t="shared" si="4"/>
        <v>1</v>
      </c>
      <c r="U258" s="4"/>
      <c r="V258" s="4"/>
      <c r="AA258" s="68">
        <f>Budget!$B$29</f>
        <v>4000</v>
      </c>
      <c r="AB258" s="68">
        <f>Budget!$B$32</f>
        <v>4000</v>
      </c>
    </row>
    <row r="259" spans="1:28" ht="15" customHeight="1" x14ac:dyDescent="0.25">
      <c r="A259" s="55">
        <v>255</v>
      </c>
      <c r="B259" s="56">
        <f>EDATE(Budget!$B$28,A259-1)</f>
        <v>54118</v>
      </c>
      <c r="C259" s="57">
        <f>Budget!$B$7</f>
        <v>2900</v>
      </c>
      <c r="D259" s="57">
        <f>Budget!$B$18+Budget!$B$25</f>
        <v>1725</v>
      </c>
      <c r="E259" s="57">
        <f>Calcul!AX257</f>
        <v>0</v>
      </c>
      <c r="F259" s="58">
        <f t="shared" si="0"/>
        <v>1175</v>
      </c>
      <c r="G259" s="59">
        <f>IF(B259&lt;=Budget!$B$30,MAX(0,MIN(F259,Budget!$B$29-H258)),0)</f>
        <v>0</v>
      </c>
      <c r="H259" s="60">
        <f t="shared" si="5"/>
        <v>3511.3</v>
      </c>
      <c r="I259" s="61">
        <f>MAX(0,MIN(F259-G259,Budget!$B$32-J258))</f>
        <v>0</v>
      </c>
      <c r="J259" s="62">
        <f t="shared" si="6"/>
        <v>4000</v>
      </c>
      <c r="K259" s="63">
        <f t="shared" si="1"/>
        <v>1175</v>
      </c>
      <c r="L259" s="63">
        <f>K259*Budget!$B$36</f>
        <v>705</v>
      </c>
      <c r="M259" s="63">
        <f>MAX(0,L259-Calcul!AY257)</f>
        <v>705</v>
      </c>
      <c r="N259" s="63">
        <f t="shared" si="2"/>
        <v>1175</v>
      </c>
      <c r="O259" s="64">
        <f t="shared" si="7"/>
        <v>275927.13016399997</v>
      </c>
      <c r="P259" s="65">
        <f>Calcul!AZ257</f>
        <v>0</v>
      </c>
      <c r="Q259" s="66" t="str">
        <f t="shared" si="3"/>
        <v/>
      </c>
      <c r="R259" s="67">
        <f>IF(H259&gt;=Budget!$B$29,1,0)</f>
        <v>0</v>
      </c>
      <c r="S259" s="67">
        <f>IF(J259&gt;=Budget!$B$32,1,0)</f>
        <v>1</v>
      </c>
      <c r="T259" s="67">
        <f t="shared" si="4"/>
        <v>1</v>
      </c>
      <c r="U259" s="4"/>
      <c r="V259" s="4"/>
      <c r="AA259" s="68">
        <f>Budget!$B$29</f>
        <v>4000</v>
      </c>
      <c r="AB259" s="68">
        <f>Budget!$B$32</f>
        <v>4000</v>
      </c>
    </row>
    <row r="260" spans="1:28" ht="15" customHeight="1" x14ac:dyDescent="0.25">
      <c r="A260" s="55">
        <v>256</v>
      </c>
      <c r="B260" s="56">
        <f>EDATE(Budget!$B$28,A260-1)</f>
        <v>54149</v>
      </c>
      <c r="C260" s="57">
        <f>Budget!$B$7</f>
        <v>2900</v>
      </c>
      <c r="D260" s="57">
        <f>Budget!$B$18+Budget!$B$25</f>
        <v>1725</v>
      </c>
      <c r="E260" s="57">
        <f>Calcul!AX258</f>
        <v>0</v>
      </c>
      <c r="F260" s="58">
        <f t="shared" ref="F260:F304" si="8">C260-D260-E260</f>
        <v>1175</v>
      </c>
      <c r="G260" s="59">
        <f>IF(B260&lt;=Budget!$B$30,MAX(0,MIN(F260,Budget!$B$29-H259)),0)</f>
        <v>0</v>
      </c>
      <c r="H260" s="60">
        <f t="shared" si="5"/>
        <v>3511.3</v>
      </c>
      <c r="I260" s="61">
        <f>MAX(0,MIN(F260-G260,Budget!$B$32-J259))</f>
        <v>0</v>
      </c>
      <c r="J260" s="62">
        <f t="shared" si="6"/>
        <v>4000</v>
      </c>
      <c r="K260" s="63">
        <f t="shared" ref="K260:K304" si="9">MAX(0,F260-G260-I260)</f>
        <v>1175</v>
      </c>
      <c r="L260" s="63">
        <f>K260*Budget!$B$36</f>
        <v>705</v>
      </c>
      <c r="M260" s="63">
        <f>MAX(0,L260-Calcul!AY258)</f>
        <v>705</v>
      </c>
      <c r="N260" s="63">
        <f t="shared" ref="N260:N304" si="10">K260-L260+M260</f>
        <v>1175</v>
      </c>
      <c r="O260" s="64">
        <f t="shared" si="7"/>
        <v>277102.13016399997</v>
      </c>
      <c r="P260" s="65">
        <f>Calcul!AZ258</f>
        <v>0</v>
      </c>
      <c r="Q260" s="66" t="str">
        <f t="shared" ref="Q260:Q304" si="11">IF(F260&lt;0,"Budget négatif !","")</f>
        <v/>
      </c>
      <c r="R260" s="67">
        <f>IF(H260&gt;=Budget!$B$29,1,0)</f>
        <v>0</v>
      </c>
      <c r="S260" s="67">
        <f>IF(J260&gt;=Budget!$B$32,1,0)</f>
        <v>1</v>
      </c>
      <c r="T260" s="67">
        <f t="shared" ref="T260:T304" si="12">IF(P260&lt;=0.01,1,0)</f>
        <v>1</v>
      </c>
      <c r="U260" s="4"/>
      <c r="V260" s="4"/>
      <c r="AA260" s="68">
        <f>Budget!$B$29</f>
        <v>4000</v>
      </c>
      <c r="AB260" s="68">
        <f>Budget!$B$32</f>
        <v>4000</v>
      </c>
    </row>
    <row r="261" spans="1:28" ht="15" customHeight="1" x14ac:dyDescent="0.25">
      <c r="A261" s="55">
        <v>257</v>
      </c>
      <c r="B261" s="56">
        <f>EDATE(Budget!$B$28,A261-1)</f>
        <v>54179</v>
      </c>
      <c r="C261" s="57">
        <f>Budget!$B$7</f>
        <v>2900</v>
      </c>
      <c r="D261" s="57">
        <f>Budget!$B$18+Budget!$B$25</f>
        <v>1725</v>
      </c>
      <c r="E261" s="57">
        <f>Calcul!AX259</f>
        <v>0</v>
      </c>
      <c r="F261" s="58">
        <f t="shared" si="8"/>
        <v>1175</v>
      </c>
      <c r="G261" s="59">
        <f>IF(B261&lt;=Budget!$B$30,MAX(0,MIN(F261,Budget!$B$29-H260)),0)</f>
        <v>0</v>
      </c>
      <c r="H261" s="60">
        <f t="shared" ref="H261:H304" si="13">H260+G261</f>
        <v>3511.3</v>
      </c>
      <c r="I261" s="61">
        <f>MAX(0,MIN(F261-G261,Budget!$B$32-J260))</f>
        <v>0</v>
      </c>
      <c r="J261" s="62">
        <f t="shared" ref="J261:J304" si="14">J260+I261</f>
        <v>4000</v>
      </c>
      <c r="K261" s="63">
        <f t="shared" si="9"/>
        <v>1175</v>
      </c>
      <c r="L261" s="63">
        <f>K261*Budget!$B$36</f>
        <v>705</v>
      </c>
      <c r="M261" s="63">
        <f>MAX(0,L261-Calcul!AY259)</f>
        <v>705</v>
      </c>
      <c r="N261" s="63">
        <f t="shared" si="10"/>
        <v>1175</v>
      </c>
      <c r="O261" s="64">
        <f t="shared" ref="O261:O304" si="15">O260+N261</f>
        <v>278277.13016399997</v>
      </c>
      <c r="P261" s="65">
        <f>Calcul!AZ259</f>
        <v>0</v>
      </c>
      <c r="Q261" s="66" t="str">
        <f t="shared" si="11"/>
        <v/>
      </c>
      <c r="R261" s="67">
        <f>IF(H261&gt;=Budget!$B$29,1,0)</f>
        <v>0</v>
      </c>
      <c r="S261" s="67">
        <f>IF(J261&gt;=Budget!$B$32,1,0)</f>
        <v>1</v>
      </c>
      <c r="T261" s="67">
        <f t="shared" si="12"/>
        <v>1</v>
      </c>
      <c r="U261" s="4"/>
      <c r="V261" s="4"/>
      <c r="AA261" s="68">
        <f>Budget!$B$29</f>
        <v>4000</v>
      </c>
      <c r="AB261" s="68">
        <f>Budget!$B$32</f>
        <v>4000</v>
      </c>
    </row>
    <row r="262" spans="1:28" ht="15" customHeight="1" x14ac:dyDescent="0.25">
      <c r="A262" s="55">
        <v>258</v>
      </c>
      <c r="B262" s="56">
        <f>EDATE(Budget!$B$28,A262-1)</f>
        <v>54210</v>
      </c>
      <c r="C262" s="57">
        <f>Budget!$B$7</f>
        <v>2900</v>
      </c>
      <c r="D262" s="57">
        <f>Budget!$B$18+Budget!$B$25</f>
        <v>1725</v>
      </c>
      <c r="E262" s="57">
        <f>Calcul!AX260</f>
        <v>0</v>
      </c>
      <c r="F262" s="58">
        <f t="shared" si="8"/>
        <v>1175</v>
      </c>
      <c r="G262" s="59">
        <f>IF(B262&lt;=Budget!$B$30,MAX(0,MIN(F262,Budget!$B$29-H261)),0)</f>
        <v>0</v>
      </c>
      <c r="H262" s="60">
        <f t="shared" si="13"/>
        <v>3511.3</v>
      </c>
      <c r="I262" s="61">
        <f>MAX(0,MIN(F262-G262,Budget!$B$32-J261))</f>
        <v>0</v>
      </c>
      <c r="J262" s="62">
        <f t="shared" si="14"/>
        <v>4000</v>
      </c>
      <c r="K262" s="63">
        <f t="shared" si="9"/>
        <v>1175</v>
      </c>
      <c r="L262" s="63">
        <f>K262*Budget!$B$36</f>
        <v>705</v>
      </c>
      <c r="M262" s="63">
        <f>MAX(0,L262-Calcul!AY260)</f>
        <v>705</v>
      </c>
      <c r="N262" s="63">
        <f t="shared" si="10"/>
        <v>1175</v>
      </c>
      <c r="O262" s="64">
        <f t="shared" si="15"/>
        <v>279452.13016399997</v>
      </c>
      <c r="P262" s="65">
        <f>Calcul!AZ260</f>
        <v>0</v>
      </c>
      <c r="Q262" s="66" t="str">
        <f t="shared" si="11"/>
        <v/>
      </c>
      <c r="R262" s="67">
        <f>IF(H262&gt;=Budget!$B$29,1,0)</f>
        <v>0</v>
      </c>
      <c r="S262" s="67">
        <f>IF(J262&gt;=Budget!$B$32,1,0)</f>
        <v>1</v>
      </c>
      <c r="T262" s="67">
        <f t="shared" si="12"/>
        <v>1</v>
      </c>
      <c r="U262" s="4"/>
      <c r="V262" s="4"/>
      <c r="AA262" s="68">
        <f>Budget!$B$29</f>
        <v>4000</v>
      </c>
      <c r="AB262" s="68">
        <f>Budget!$B$32</f>
        <v>4000</v>
      </c>
    </row>
    <row r="263" spans="1:28" ht="15" customHeight="1" x14ac:dyDescent="0.25">
      <c r="A263" s="55">
        <v>259</v>
      </c>
      <c r="B263" s="56">
        <f>EDATE(Budget!$B$28,A263-1)</f>
        <v>54240</v>
      </c>
      <c r="C263" s="57">
        <f>Budget!$B$7</f>
        <v>2900</v>
      </c>
      <c r="D263" s="57">
        <f>Budget!$B$18+Budget!$B$25</f>
        <v>1725</v>
      </c>
      <c r="E263" s="57">
        <f>Calcul!AX261</f>
        <v>0</v>
      </c>
      <c r="F263" s="58">
        <f t="shared" si="8"/>
        <v>1175</v>
      </c>
      <c r="G263" s="59">
        <f>IF(B263&lt;=Budget!$B$30,MAX(0,MIN(F263,Budget!$B$29-H262)),0)</f>
        <v>0</v>
      </c>
      <c r="H263" s="60">
        <f t="shared" si="13"/>
        <v>3511.3</v>
      </c>
      <c r="I263" s="61">
        <f>MAX(0,MIN(F263-G263,Budget!$B$32-J262))</f>
        <v>0</v>
      </c>
      <c r="J263" s="62">
        <f t="shared" si="14"/>
        <v>4000</v>
      </c>
      <c r="K263" s="63">
        <f t="shared" si="9"/>
        <v>1175</v>
      </c>
      <c r="L263" s="63">
        <f>K263*Budget!$B$36</f>
        <v>705</v>
      </c>
      <c r="M263" s="63">
        <f>MAX(0,L263-Calcul!AY261)</f>
        <v>705</v>
      </c>
      <c r="N263" s="63">
        <f t="shared" si="10"/>
        <v>1175</v>
      </c>
      <c r="O263" s="64">
        <f t="shared" si="15"/>
        <v>280627.13016399997</v>
      </c>
      <c r="P263" s="65">
        <f>Calcul!AZ261</f>
        <v>0</v>
      </c>
      <c r="Q263" s="66" t="str">
        <f t="shared" si="11"/>
        <v/>
      </c>
      <c r="R263" s="67">
        <f>IF(H263&gt;=Budget!$B$29,1,0)</f>
        <v>0</v>
      </c>
      <c r="S263" s="67">
        <f>IF(J263&gt;=Budget!$B$32,1,0)</f>
        <v>1</v>
      </c>
      <c r="T263" s="67">
        <f t="shared" si="12"/>
        <v>1</v>
      </c>
      <c r="U263" s="4"/>
      <c r="V263" s="4"/>
      <c r="AA263" s="68">
        <f>Budget!$B$29</f>
        <v>4000</v>
      </c>
      <c r="AB263" s="68">
        <f>Budget!$B$32</f>
        <v>4000</v>
      </c>
    </row>
    <row r="264" spans="1:28" ht="15" customHeight="1" x14ac:dyDescent="0.25">
      <c r="A264" s="55">
        <v>260</v>
      </c>
      <c r="B264" s="56">
        <f>EDATE(Budget!$B$28,A264-1)</f>
        <v>54271</v>
      </c>
      <c r="C264" s="57">
        <f>Budget!$B$7</f>
        <v>2900</v>
      </c>
      <c r="D264" s="57">
        <f>Budget!$B$18+Budget!$B$25</f>
        <v>1725</v>
      </c>
      <c r="E264" s="57">
        <f>Calcul!AX262</f>
        <v>0</v>
      </c>
      <c r="F264" s="58">
        <f t="shared" si="8"/>
        <v>1175</v>
      </c>
      <c r="G264" s="59">
        <f>IF(B264&lt;=Budget!$B$30,MAX(0,MIN(F264,Budget!$B$29-H263)),0)</f>
        <v>0</v>
      </c>
      <c r="H264" s="60">
        <f t="shared" si="13"/>
        <v>3511.3</v>
      </c>
      <c r="I264" s="61">
        <f>MAX(0,MIN(F264-G264,Budget!$B$32-J263))</f>
        <v>0</v>
      </c>
      <c r="J264" s="62">
        <f t="shared" si="14"/>
        <v>4000</v>
      </c>
      <c r="K264" s="63">
        <f t="shared" si="9"/>
        <v>1175</v>
      </c>
      <c r="L264" s="63">
        <f>K264*Budget!$B$36</f>
        <v>705</v>
      </c>
      <c r="M264" s="63">
        <f>MAX(0,L264-Calcul!AY262)</f>
        <v>705</v>
      </c>
      <c r="N264" s="63">
        <f t="shared" si="10"/>
        <v>1175</v>
      </c>
      <c r="O264" s="64">
        <f t="shared" si="15"/>
        <v>281802.13016399997</v>
      </c>
      <c r="P264" s="65">
        <f>Calcul!AZ262</f>
        <v>0</v>
      </c>
      <c r="Q264" s="66" t="str">
        <f t="shared" si="11"/>
        <v/>
      </c>
      <c r="R264" s="67">
        <f>IF(H264&gt;=Budget!$B$29,1,0)</f>
        <v>0</v>
      </c>
      <c r="S264" s="67">
        <f>IF(J264&gt;=Budget!$B$32,1,0)</f>
        <v>1</v>
      </c>
      <c r="T264" s="67">
        <f t="shared" si="12"/>
        <v>1</v>
      </c>
      <c r="U264" s="4"/>
      <c r="V264" s="4"/>
      <c r="AA264" s="68">
        <f>Budget!$B$29</f>
        <v>4000</v>
      </c>
      <c r="AB264" s="68">
        <f>Budget!$B$32</f>
        <v>4000</v>
      </c>
    </row>
    <row r="265" spans="1:28" ht="15" customHeight="1" x14ac:dyDescent="0.25">
      <c r="A265" s="55">
        <v>261</v>
      </c>
      <c r="B265" s="56">
        <f>EDATE(Budget!$B$28,A265-1)</f>
        <v>54302</v>
      </c>
      <c r="C265" s="57">
        <f>Budget!$B$7</f>
        <v>2900</v>
      </c>
      <c r="D265" s="57">
        <f>Budget!$B$18+Budget!$B$25</f>
        <v>1725</v>
      </c>
      <c r="E265" s="57">
        <f>Calcul!AX263</f>
        <v>0</v>
      </c>
      <c r="F265" s="58">
        <f t="shared" si="8"/>
        <v>1175</v>
      </c>
      <c r="G265" s="59">
        <f>IF(B265&lt;=Budget!$B$30,MAX(0,MIN(F265,Budget!$B$29-H264)),0)</f>
        <v>0</v>
      </c>
      <c r="H265" s="60">
        <f t="shared" si="13"/>
        <v>3511.3</v>
      </c>
      <c r="I265" s="61">
        <f>MAX(0,MIN(F265-G265,Budget!$B$32-J264))</f>
        <v>0</v>
      </c>
      <c r="J265" s="62">
        <f t="shared" si="14"/>
        <v>4000</v>
      </c>
      <c r="K265" s="63">
        <f t="shared" si="9"/>
        <v>1175</v>
      </c>
      <c r="L265" s="63">
        <f>K265*Budget!$B$36</f>
        <v>705</v>
      </c>
      <c r="M265" s="63">
        <f>MAX(0,L265-Calcul!AY263)</f>
        <v>705</v>
      </c>
      <c r="N265" s="63">
        <f t="shared" si="10"/>
        <v>1175</v>
      </c>
      <c r="O265" s="64">
        <f t="shared" si="15"/>
        <v>282977.13016399997</v>
      </c>
      <c r="P265" s="65">
        <f>Calcul!AZ263</f>
        <v>0</v>
      </c>
      <c r="Q265" s="66" t="str">
        <f t="shared" si="11"/>
        <v/>
      </c>
      <c r="R265" s="67">
        <f>IF(H265&gt;=Budget!$B$29,1,0)</f>
        <v>0</v>
      </c>
      <c r="S265" s="67">
        <f>IF(J265&gt;=Budget!$B$32,1,0)</f>
        <v>1</v>
      </c>
      <c r="T265" s="67">
        <f t="shared" si="12"/>
        <v>1</v>
      </c>
      <c r="U265" s="4"/>
      <c r="V265" s="4"/>
      <c r="AA265" s="68">
        <f>Budget!$B$29</f>
        <v>4000</v>
      </c>
      <c r="AB265" s="68">
        <f>Budget!$B$32</f>
        <v>4000</v>
      </c>
    </row>
    <row r="266" spans="1:28" ht="15" customHeight="1" x14ac:dyDescent="0.25">
      <c r="A266" s="55">
        <v>262</v>
      </c>
      <c r="B266" s="56">
        <f>EDATE(Budget!$B$28,A266-1)</f>
        <v>54332</v>
      </c>
      <c r="C266" s="57">
        <f>Budget!$B$7</f>
        <v>2900</v>
      </c>
      <c r="D266" s="57">
        <f>Budget!$B$18+Budget!$B$25</f>
        <v>1725</v>
      </c>
      <c r="E266" s="57">
        <f>Calcul!AX264</f>
        <v>0</v>
      </c>
      <c r="F266" s="58">
        <f t="shared" si="8"/>
        <v>1175</v>
      </c>
      <c r="G266" s="59">
        <f>IF(B266&lt;=Budget!$B$30,MAX(0,MIN(F266,Budget!$B$29-H265)),0)</f>
        <v>0</v>
      </c>
      <c r="H266" s="60">
        <f t="shared" si="13"/>
        <v>3511.3</v>
      </c>
      <c r="I266" s="61">
        <f>MAX(0,MIN(F266-G266,Budget!$B$32-J265))</f>
        <v>0</v>
      </c>
      <c r="J266" s="62">
        <f t="shared" si="14"/>
        <v>4000</v>
      </c>
      <c r="K266" s="63">
        <f t="shared" si="9"/>
        <v>1175</v>
      </c>
      <c r="L266" s="63">
        <f>K266*Budget!$B$36</f>
        <v>705</v>
      </c>
      <c r="M266" s="63">
        <f>MAX(0,L266-Calcul!AY264)</f>
        <v>705</v>
      </c>
      <c r="N266" s="63">
        <f t="shared" si="10"/>
        <v>1175</v>
      </c>
      <c r="O266" s="64">
        <f t="shared" si="15"/>
        <v>284152.13016399997</v>
      </c>
      <c r="P266" s="65">
        <f>Calcul!AZ264</f>
        <v>0</v>
      </c>
      <c r="Q266" s="66" t="str">
        <f t="shared" si="11"/>
        <v/>
      </c>
      <c r="R266" s="67">
        <f>IF(H266&gt;=Budget!$B$29,1,0)</f>
        <v>0</v>
      </c>
      <c r="S266" s="67">
        <f>IF(J266&gt;=Budget!$B$32,1,0)</f>
        <v>1</v>
      </c>
      <c r="T266" s="67">
        <f t="shared" si="12"/>
        <v>1</v>
      </c>
      <c r="U266" s="4"/>
      <c r="V266" s="4"/>
      <c r="AA266" s="68">
        <f>Budget!$B$29</f>
        <v>4000</v>
      </c>
      <c r="AB266" s="68">
        <f>Budget!$B$32</f>
        <v>4000</v>
      </c>
    </row>
    <row r="267" spans="1:28" ht="15" customHeight="1" x14ac:dyDescent="0.25">
      <c r="A267" s="55">
        <v>263</v>
      </c>
      <c r="B267" s="56">
        <f>EDATE(Budget!$B$28,A267-1)</f>
        <v>54363</v>
      </c>
      <c r="C267" s="57">
        <f>Budget!$B$7</f>
        <v>2900</v>
      </c>
      <c r="D267" s="57">
        <f>Budget!$B$18+Budget!$B$25</f>
        <v>1725</v>
      </c>
      <c r="E267" s="57">
        <f>Calcul!AX265</f>
        <v>0</v>
      </c>
      <c r="F267" s="58">
        <f t="shared" si="8"/>
        <v>1175</v>
      </c>
      <c r="G267" s="59">
        <f>IF(B267&lt;=Budget!$B$30,MAX(0,MIN(F267,Budget!$B$29-H266)),0)</f>
        <v>0</v>
      </c>
      <c r="H267" s="60">
        <f t="shared" si="13"/>
        <v>3511.3</v>
      </c>
      <c r="I267" s="61">
        <f>MAX(0,MIN(F267-G267,Budget!$B$32-J266))</f>
        <v>0</v>
      </c>
      <c r="J267" s="62">
        <f t="shared" si="14"/>
        <v>4000</v>
      </c>
      <c r="K267" s="63">
        <f t="shared" si="9"/>
        <v>1175</v>
      </c>
      <c r="L267" s="63">
        <f>K267*Budget!$B$36</f>
        <v>705</v>
      </c>
      <c r="M267" s="63">
        <f>MAX(0,L267-Calcul!AY265)</f>
        <v>705</v>
      </c>
      <c r="N267" s="63">
        <f t="shared" si="10"/>
        <v>1175</v>
      </c>
      <c r="O267" s="64">
        <f t="shared" si="15"/>
        <v>285327.13016399997</v>
      </c>
      <c r="P267" s="65">
        <f>Calcul!AZ265</f>
        <v>0</v>
      </c>
      <c r="Q267" s="66" t="str">
        <f t="shared" si="11"/>
        <v/>
      </c>
      <c r="R267" s="67">
        <f>IF(H267&gt;=Budget!$B$29,1,0)</f>
        <v>0</v>
      </c>
      <c r="S267" s="67">
        <f>IF(J267&gt;=Budget!$B$32,1,0)</f>
        <v>1</v>
      </c>
      <c r="T267" s="67">
        <f t="shared" si="12"/>
        <v>1</v>
      </c>
      <c r="U267" s="4"/>
      <c r="V267" s="4"/>
      <c r="AA267" s="68">
        <f>Budget!$B$29</f>
        <v>4000</v>
      </c>
      <c r="AB267" s="68">
        <f>Budget!$B$32</f>
        <v>4000</v>
      </c>
    </row>
    <row r="268" spans="1:28" ht="15" customHeight="1" x14ac:dyDescent="0.25">
      <c r="A268" s="55">
        <v>264</v>
      </c>
      <c r="B268" s="56">
        <f>EDATE(Budget!$B$28,A268-1)</f>
        <v>54393</v>
      </c>
      <c r="C268" s="57">
        <f>Budget!$B$7</f>
        <v>2900</v>
      </c>
      <c r="D268" s="57">
        <f>Budget!$B$18+Budget!$B$25</f>
        <v>1725</v>
      </c>
      <c r="E268" s="57">
        <f>Calcul!AX266</f>
        <v>0</v>
      </c>
      <c r="F268" s="58">
        <f t="shared" si="8"/>
        <v>1175</v>
      </c>
      <c r="G268" s="59">
        <f>IF(B268&lt;=Budget!$B$30,MAX(0,MIN(F268,Budget!$B$29-H267)),0)</f>
        <v>0</v>
      </c>
      <c r="H268" s="60">
        <f t="shared" si="13"/>
        <v>3511.3</v>
      </c>
      <c r="I268" s="61">
        <f>MAX(0,MIN(F268-G268,Budget!$B$32-J267))</f>
        <v>0</v>
      </c>
      <c r="J268" s="62">
        <f t="shared" si="14"/>
        <v>4000</v>
      </c>
      <c r="K268" s="63">
        <f t="shared" si="9"/>
        <v>1175</v>
      </c>
      <c r="L268" s="63">
        <f>K268*Budget!$B$36</f>
        <v>705</v>
      </c>
      <c r="M268" s="63">
        <f>MAX(0,L268-Calcul!AY266)</f>
        <v>705</v>
      </c>
      <c r="N268" s="63">
        <f t="shared" si="10"/>
        <v>1175</v>
      </c>
      <c r="O268" s="64">
        <f t="shared" si="15"/>
        <v>286502.13016399997</v>
      </c>
      <c r="P268" s="65">
        <f>Calcul!AZ266</f>
        <v>0</v>
      </c>
      <c r="Q268" s="66" t="str">
        <f t="shared" si="11"/>
        <v/>
      </c>
      <c r="R268" s="67">
        <f>IF(H268&gt;=Budget!$B$29,1,0)</f>
        <v>0</v>
      </c>
      <c r="S268" s="67">
        <f>IF(J268&gt;=Budget!$B$32,1,0)</f>
        <v>1</v>
      </c>
      <c r="T268" s="67">
        <f t="shared" si="12"/>
        <v>1</v>
      </c>
      <c r="U268" s="4"/>
      <c r="V268" s="4"/>
      <c r="AA268" s="68">
        <f>Budget!$B$29</f>
        <v>4000</v>
      </c>
      <c r="AB268" s="68">
        <f>Budget!$B$32</f>
        <v>4000</v>
      </c>
    </row>
    <row r="269" spans="1:28" ht="15" customHeight="1" x14ac:dyDescent="0.25">
      <c r="A269" s="55">
        <v>265</v>
      </c>
      <c r="B269" s="56">
        <f>EDATE(Budget!$B$28,A269-1)</f>
        <v>54424</v>
      </c>
      <c r="C269" s="57">
        <f>Budget!$B$7</f>
        <v>2900</v>
      </c>
      <c r="D269" s="57">
        <f>Budget!$B$18+Budget!$B$25</f>
        <v>1725</v>
      </c>
      <c r="E269" s="57">
        <f>Calcul!AX267</f>
        <v>0</v>
      </c>
      <c r="F269" s="58">
        <f t="shared" si="8"/>
        <v>1175</v>
      </c>
      <c r="G269" s="59">
        <f>IF(B269&lt;=Budget!$B$30,MAX(0,MIN(F269,Budget!$B$29-H268)),0)</f>
        <v>0</v>
      </c>
      <c r="H269" s="60">
        <f t="shared" si="13"/>
        <v>3511.3</v>
      </c>
      <c r="I269" s="61">
        <f>MAX(0,MIN(F269-G269,Budget!$B$32-J268))</f>
        <v>0</v>
      </c>
      <c r="J269" s="62">
        <f t="shared" si="14"/>
        <v>4000</v>
      </c>
      <c r="K269" s="63">
        <f t="shared" si="9"/>
        <v>1175</v>
      </c>
      <c r="L269" s="63">
        <f>K269*Budget!$B$36</f>
        <v>705</v>
      </c>
      <c r="M269" s="63">
        <f>MAX(0,L269-Calcul!AY267)</f>
        <v>705</v>
      </c>
      <c r="N269" s="63">
        <f t="shared" si="10"/>
        <v>1175</v>
      </c>
      <c r="O269" s="64">
        <f t="shared" si="15"/>
        <v>287677.13016399997</v>
      </c>
      <c r="P269" s="65">
        <f>Calcul!AZ267</f>
        <v>0</v>
      </c>
      <c r="Q269" s="66" t="str">
        <f t="shared" si="11"/>
        <v/>
      </c>
      <c r="R269" s="67">
        <f>IF(H269&gt;=Budget!$B$29,1,0)</f>
        <v>0</v>
      </c>
      <c r="S269" s="67">
        <f>IF(J269&gt;=Budget!$B$32,1,0)</f>
        <v>1</v>
      </c>
      <c r="T269" s="67">
        <f t="shared" si="12"/>
        <v>1</v>
      </c>
      <c r="U269" s="4"/>
      <c r="V269" s="4"/>
      <c r="AA269" s="68">
        <f>Budget!$B$29</f>
        <v>4000</v>
      </c>
      <c r="AB269" s="68">
        <f>Budget!$B$32</f>
        <v>4000</v>
      </c>
    </row>
    <row r="270" spans="1:28" ht="15" customHeight="1" x14ac:dyDescent="0.25">
      <c r="A270" s="55">
        <v>266</v>
      </c>
      <c r="B270" s="56">
        <f>EDATE(Budget!$B$28,A270-1)</f>
        <v>54455</v>
      </c>
      <c r="C270" s="57">
        <f>Budget!$B$7</f>
        <v>2900</v>
      </c>
      <c r="D270" s="57">
        <f>Budget!$B$18+Budget!$B$25</f>
        <v>1725</v>
      </c>
      <c r="E270" s="57">
        <f>Calcul!AX268</f>
        <v>0</v>
      </c>
      <c r="F270" s="58">
        <f t="shared" si="8"/>
        <v>1175</v>
      </c>
      <c r="G270" s="59">
        <f>IF(B270&lt;=Budget!$B$30,MAX(0,MIN(F270,Budget!$B$29-H269)),0)</f>
        <v>0</v>
      </c>
      <c r="H270" s="60">
        <f t="shared" si="13"/>
        <v>3511.3</v>
      </c>
      <c r="I270" s="61">
        <f>MAX(0,MIN(F270-G270,Budget!$B$32-J269))</f>
        <v>0</v>
      </c>
      <c r="J270" s="62">
        <f t="shared" si="14"/>
        <v>4000</v>
      </c>
      <c r="K270" s="63">
        <f t="shared" si="9"/>
        <v>1175</v>
      </c>
      <c r="L270" s="63">
        <f>K270*Budget!$B$36</f>
        <v>705</v>
      </c>
      <c r="M270" s="63">
        <f>MAX(0,L270-Calcul!AY268)</f>
        <v>705</v>
      </c>
      <c r="N270" s="63">
        <f t="shared" si="10"/>
        <v>1175</v>
      </c>
      <c r="O270" s="64">
        <f t="shared" si="15"/>
        <v>288852.13016399997</v>
      </c>
      <c r="P270" s="65">
        <f>Calcul!AZ268</f>
        <v>0</v>
      </c>
      <c r="Q270" s="66" t="str">
        <f t="shared" si="11"/>
        <v/>
      </c>
      <c r="R270" s="67">
        <f>IF(H270&gt;=Budget!$B$29,1,0)</f>
        <v>0</v>
      </c>
      <c r="S270" s="67">
        <f>IF(J270&gt;=Budget!$B$32,1,0)</f>
        <v>1</v>
      </c>
      <c r="T270" s="67">
        <f t="shared" si="12"/>
        <v>1</v>
      </c>
      <c r="U270" s="4"/>
      <c r="V270" s="4"/>
      <c r="AA270" s="68">
        <f>Budget!$B$29</f>
        <v>4000</v>
      </c>
      <c r="AB270" s="68">
        <f>Budget!$B$32</f>
        <v>4000</v>
      </c>
    </row>
    <row r="271" spans="1:28" ht="15" customHeight="1" x14ac:dyDescent="0.25">
      <c r="A271" s="55">
        <v>267</v>
      </c>
      <c r="B271" s="56">
        <f>EDATE(Budget!$B$28,A271-1)</f>
        <v>54483</v>
      </c>
      <c r="C271" s="57">
        <f>Budget!$B$7</f>
        <v>2900</v>
      </c>
      <c r="D271" s="57">
        <f>Budget!$B$18+Budget!$B$25</f>
        <v>1725</v>
      </c>
      <c r="E271" s="57">
        <f>Calcul!AX269</f>
        <v>0</v>
      </c>
      <c r="F271" s="58">
        <f t="shared" si="8"/>
        <v>1175</v>
      </c>
      <c r="G271" s="59">
        <f>IF(B271&lt;=Budget!$B$30,MAX(0,MIN(F271,Budget!$B$29-H270)),0)</f>
        <v>0</v>
      </c>
      <c r="H271" s="60">
        <f t="shared" si="13"/>
        <v>3511.3</v>
      </c>
      <c r="I271" s="61">
        <f>MAX(0,MIN(F271-G271,Budget!$B$32-J270))</f>
        <v>0</v>
      </c>
      <c r="J271" s="62">
        <f t="shared" si="14"/>
        <v>4000</v>
      </c>
      <c r="K271" s="63">
        <f t="shared" si="9"/>
        <v>1175</v>
      </c>
      <c r="L271" s="63">
        <f>K271*Budget!$B$36</f>
        <v>705</v>
      </c>
      <c r="M271" s="63">
        <f>MAX(0,L271-Calcul!AY269)</f>
        <v>705</v>
      </c>
      <c r="N271" s="63">
        <f t="shared" si="10"/>
        <v>1175</v>
      </c>
      <c r="O271" s="64">
        <f t="shared" si="15"/>
        <v>290027.13016399997</v>
      </c>
      <c r="P271" s="65">
        <f>Calcul!AZ269</f>
        <v>0</v>
      </c>
      <c r="Q271" s="66" t="str">
        <f t="shared" si="11"/>
        <v/>
      </c>
      <c r="R271" s="67">
        <f>IF(H271&gt;=Budget!$B$29,1,0)</f>
        <v>0</v>
      </c>
      <c r="S271" s="67">
        <f>IF(J271&gt;=Budget!$B$32,1,0)</f>
        <v>1</v>
      </c>
      <c r="T271" s="67">
        <f t="shared" si="12"/>
        <v>1</v>
      </c>
      <c r="U271" s="4"/>
      <c r="V271" s="4"/>
      <c r="AA271" s="68">
        <f>Budget!$B$29</f>
        <v>4000</v>
      </c>
      <c r="AB271" s="68">
        <f>Budget!$B$32</f>
        <v>4000</v>
      </c>
    </row>
    <row r="272" spans="1:28" ht="15" customHeight="1" x14ac:dyDescent="0.25">
      <c r="A272" s="55">
        <v>268</v>
      </c>
      <c r="B272" s="56">
        <f>EDATE(Budget!$B$28,A272-1)</f>
        <v>54514</v>
      </c>
      <c r="C272" s="57">
        <f>Budget!$B$7</f>
        <v>2900</v>
      </c>
      <c r="D272" s="57">
        <f>Budget!$B$18+Budget!$B$25</f>
        <v>1725</v>
      </c>
      <c r="E272" s="57">
        <f>Calcul!AX270</f>
        <v>0</v>
      </c>
      <c r="F272" s="58">
        <f t="shared" si="8"/>
        <v>1175</v>
      </c>
      <c r="G272" s="59">
        <f>IF(B272&lt;=Budget!$B$30,MAX(0,MIN(F272,Budget!$B$29-H271)),0)</f>
        <v>0</v>
      </c>
      <c r="H272" s="60">
        <f t="shared" si="13"/>
        <v>3511.3</v>
      </c>
      <c r="I272" s="61">
        <f>MAX(0,MIN(F272-G272,Budget!$B$32-J271))</f>
        <v>0</v>
      </c>
      <c r="J272" s="62">
        <f t="shared" si="14"/>
        <v>4000</v>
      </c>
      <c r="K272" s="63">
        <f t="shared" si="9"/>
        <v>1175</v>
      </c>
      <c r="L272" s="63">
        <f>K272*Budget!$B$36</f>
        <v>705</v>
      </c>
      <c r="M272" s="63">
        <f>MAX(0,L272-Calcul!AY270)</f>
        <v>705</v>
      </c>
      <c r="N272" s="63">
        <f t="shared" si="10"/>
        <v>1175</v>
      </c>
      <c r="O272" s="64">
        <f t="shared" si="15"/>
        <v>291202.13016399997</v>
      </c>
      <c r="P272" s="65">
        <f>Calcul!AZ270</f>
        <v>0</v>
      </c>
      <c r="Q272" s="66" t="str">
        <f t="shared" si="11"/>
        <v/>
      </c>
      <c r="R272" s="67">
        <f>IF(H272&gt;=Budget!$B$29,1,0)</f>
        <v>0</v>
      </c>
      <c r="S272" s="67">
        <f>IF(J272&gt;=Budget!$B$32,1,0)</f>
        <v>1</v>
      </c>
      <c r="T272" s="67">
        <f t="shared" si="12"/>
        <v>1</v>
      </c>
      <c r="U272" s="4"/>
      <c r="V272" s="4"/>
      <c r="AA272" s="68">
        <f>Budget!$B$29</f>
        <v>4000</v>
      </c>
      <c r="AB272" s="68">
        <f>Budget!$B$32</f>
        <v>4000</v>
      </c>
    </row>
    <row r="273" spans="1:28" ht="15" customHeight="1" x14ac:dyDescent="0.25">
      <c r="A273" s="55">
        <v>269</v>
      </c>
      <c r="B273" s="56">
        <f>EDATE(Budget!$B$28,A273-1)</f>
        <v>54544</v>
      </c>
      <c r="C273" s="57">
        <f>Budget!$B$7</f>
        <v>2900</v>
      </c>
      <c r="D273" s="57">
        <f>Budget!$B$18+Budget!$B$25</f>
        <v>1725</v>
      </c>
      <c r="E273" s="57">
        <f>Calcul!AX271</f>
        <v>0</v>
      </c>
      <c r="F273" s="58">
        <f t="shared" si="8"/>
        <v>1175</v>
      </c>
      <c r="G273" s="59">
        <f>IF(B273&lt;=Budget!$B$30,MAX(0,MIN(F273,Budget!$B$29-H272)),0)</f>
        <v>0</v>
      </c>
      <c r="H273" s="60">
        <f t="shared" si="13"/>
        <v>3511.3</v>
      </c>
      <c r="I273" s="61">
        <f>MAX(0,MIN(F273-G273,Budget!$B$32-J272))</f>
        <v>0</v>
      </c>
      <c r="J273" s="62">
        <f t="shared" si="14"/>
        <v>4000</v>
      </c>
      <c r="K273" s="63">
        <f t="shared" si="9"/>
        <v>1175</v>
      </c>
      <c r="L273" s="63">
        <f>K273*Budget!$B$36</f>
        <v>705</v>
      </c>
      <c r="M273" s="63">
        <f>MAX(0,L273-Calcul!AY271)</f>
        <v>705</v>
      </c>
      <c r="N273" s="63">
        <f t="shared" si="10"/>
        <v>1175</v>
      </c>
      <c r="O273" s="64">
        <f t="shared" si="15"/>
        <v>292377.13016399997</v>
      </c>
      <c r="P273" s="65">
        <f>Calcul!AZ271</f>
        <v>0</v>
      </c>
      <c r="Q273" s="66" t="str">
        <f t="shared" si="11"/>
        <v/>
      </c>
      <c r="R273" s="67">
        <f>IF(H273&gt;=Budget!$B$29,1,0)</f>
        <v>0</v>
      </c>
      <c r="S273" s="67">
        <f>IF(J273&gt;=Budget!$B$32,1,0)</f>
        <v>1</v>
      </c>
      <c r="T273" s="67">
        <f t="shared" si="12"/>
        <v>1</v>
      </c>
      <c r="U273" s="4"/>
      <c r="V273" s="4"/>
      <c r="AA273" s="68">
        <f>Budget!$B$29</f>
        <v>4000</v>
      </c>
      <c r="AB273" s="68">
        <f>Budget!$B$32</f>
        <v>4000</v>
      </c>
    </row>
    <row r="274" spans="1:28" ht="15" customHeight="1" x14ac:dyDescent="0.25">
      <c r="A274" s="55">
        <v>270</v>
      </c>
      <c r="B274" s="56">
        <f>EDATE(Budget!$B$28,A274-1)</f>
        <v>54575</v>
      </c>
      <c r="C274" s="57">
        <f>Budget!$B$7</f>
        <v>2900</v>
      </c>
      <c r="D274" s="57">
        <f>Budget!$B$18+Budget!$B$25</f>
        <v>1725</v>
      </c>
      <c r="E274" s="57">
        <f>Calcul!AX272</f>
        <v>0</v>
      </c>
      <c r="F274" s="58">
        <f t="shared" si="8"/>
        <v>1175</v>
      </c>
      <c r="G274" s="59">
        <f>IF(B274&lt;=Budget!$B$30,MAX(0,MIN(F274,Budget!$B$29-H273)),0)</f>
        <v>0</v>
      </c>
      <c r="H274" s="60">
        <f t="shared" si="13"/>
        <v>3511.3</v>
      </c>
      <c r="I274" s="61">
        <f>MAX(0,MIN(F274-G274,Budget!$B$32-J273))</f>
        <v>0</v>
      </c>
      <c r="J274" s="62">
        <f t="shared" si="14"/>
        <v>4000</v>
      </c>
      <c r="K274" s="63">
        <f t="shared" si="9"/>
        <v>1175</v>
      </c>
      <c r="L274" s="63">
        <f>K274*Budget!$B$36</f>
        <v>705</v>
      </c>
      <c r="M274" s="63">
        <f>MAX(0,L274-Calcul!AY272)</f>
        <v>705</v>
      </c>
      <c r="N274" s="63">
        <f t="shared" si="10"/>
        <v>1175</v>
      </c>
      <c r="O274" s="64">
        <f t="shared" si="15"/>
        <v>293552.13016399997</v>
      </c>
      <c r="P274" s="65">
        <f>Calcul!AZ272</f>
        <v>0</v>
      </c>
      <c r="Q274" s="66" t="str">
        <f t="shared" si="11"/>
        <v/>
      </c>
      <c r="R274" s="67">
        <f>IF(H274&gt;=Budget!$B$29,1,0)</f>
        <v>0</v>
      </c>
      <c r="S274" s="67">
        <f>IF(J274&gt;=Budget!$B$32,1,0)</f>
        <v>1</v>
      </c>
      <c r="T274" s="67">
        <f t="shared" si="12"/>
        <v>1</v>
      </c>
      <c r="U274" s="4"/>
      <c r="V274" s="4"/>
      <c r="AA274" s="68">
        <f>Budget!$B$29</f>
        <v>4000</v>
      </c>
      <c r="AB274" s="68">
        <f>Budget!$B$32</f>
        <v>4000</v>
      </c>
    </row>
    <row r="275" spans="1:28" ht="15" customHeight="1" x14ac:dyDescent="0.25">
      <c r="A275" s="55">
        <v>271</v>
      </c>
      <c r="B275" s="56">
        <f>EDATE(Budget!$B$28,A275-1)</f>
        <v>54605</v>
      </c>
      <c r="C275" s="57">
        <f>Budget!$B$7</f>
        <v>2900</v>
      </c>
      <c r="D275" s="57">
        <f>Budget!$B$18+Budget!$B$25</f>
        <v>1725</v>
      </c>
      <c r="E275" s="57">
        <f>Calcul!AX273</f>
        <v>0</v>
      </c>
      <c r="F275" s="58">
        <f t="shared" si="8"/>
        <v>1175</v>
      </c>
      <c r="G275" s="59">
        <f>IF(B275&lt;=Budget!$B$30,MAX(0,MIN(F275,Budget!$B$29-H274)),0)</f>
        <v>0</v>
      </c>
      <c r="H275" s="60">
        <f t="shared" si="13"/>
        <v>3511.3</v>
      </c>
      <c r="I275" s="61">
        <f>MAX(0,MIN(F275-G275,Budget!$B$32-J274))</f>
        <v>0</v>
      </c>
      <c r="J275" s="62">
        <f t="shared" si="14"/>
        <v>4000</v>
      </c>
      <c r="K275" s="63">
        <f t="shared" si="9"/>
        <v>1175</v>
      </c>
      <c r="L275" s="63">
        <f>K275*Budget!$B$36</f>
        <v>705</v>
      </c>
      <c r="M275" s="63">
        <f>MAX(0,L275-Calcul!AY273)</f>
        <v>705</v>
      </c>
      <c r="N275" s="63">
        <f t="shared" si="10"/>
        <v>1175</v>
      </c>
      <c r="O275" s="64">
        <f t="shared" si="15"/>
        <v>294727.13016399997</v>
      </c>
      <c r="P275" s="65">
        <f>Calcul!AZ273</f>
        <v>0</v>
      </c>
      <c r="Q275" s="66" t="str">
        <f t="shared" si="11"/>
        <v/>
      </c>
      <c r="R275" s="67">
        <f>IF(H275&gt;=Budget!$B$29,1,0)</f>
        <v>0</v>
      </c>
      <c r="S275" s="67">
        <f>IF(J275&gt;=Budget!$B$32,1,0)</f>
        <v>1</v>
      </c>
      <c r="T275" s="67">
        <f t="shared" si="12"/>
        <v>1</v>
      </c>
      <c r="U275" s="4"/>
      <c r="V275" s="4"/>
      <c r="AA275" s="68">
        <f>Budget!$B$29</f>
        <v>4000</v>
      </c>
      <c r="AB275" s="68">
        <f>Budget!$B$32</f>
        <v>4000</v>
      </c>
    </row>
    <row r="276" spans="1:28" ht="15" customHeight="1" x14ac:dyDescent="0.25">
      <c r="A276" s="55">
        <v>272</v>
      </c>
      <c r="B276" s="56">
        <f>EDATE(Budget!$B$28,A276-1)</f>
        <v>54636</v>
      </c>
      <c r="C276" s="57">
        <f>Budget!$B$7</f>
        <v>2900</v>
      </c>
      <c r="D276" s="57">
        <f>Budget!$B$18+Budget!$B$25</f>
        <v>1725</v>
      </c>
      <c r="E276" s="57">
        <f>Calcul!AX274</f>
        <v>0</v>
      </c>
      <c r="F276" s="58">
        <f t="shared" si="8"/>
        <v>1175</v>
      </c>
      <c r="G276" s="59">
        <f>IF(B276&lt;=Budget!$B$30,MAX(0,MIN(F276,Budget!$B$29-H275)),0)</f>
        <v>0</v>
      </c>
      <c r="H276" s="60">
        <f t="shared" si="13"/>
        <v>3511.3</v>
      </c>
      <c r="I276" s="61">
        <f>MAX(0,MIN(F276-G276,Budget!$B$32-J275))</f>
        <v>0</v>
      </c>
      <c r="J276" s="62">
        <f t="shared" si="14"/>
        <v>4000</v>
      </c>
      <c r="K276" s="63">
        <f t="shared" si="9"/>
        <v>1175</v>
      </c>
      <c r="L276" s="63">
        <f>K276*Budget!$B$36</f>
        <v>705</v>
      </c>
      <c r="M276" s="63">
        <f>MAX(0,L276-Calcul!AY274)</f>
        <v>705</v>
      </c>
      <c r="N276" s="63">
        <f t="shared" si="10"/>
        <v>1175</v>
      </c>
      <c r="O276" s="64">
        <f t="shared" si="15"/>
        <v>295902.13016399997</v>
      </c>
      <c r="P276" s="65">
        <f>Calcul!AZ274</f>
        <v>0</v>
      </c>
      <c r="Q276" s="66" t="str">
        <f t="shared" si="11"/>
        <v/>
      </c>
      <c r="R276" s="67">
        <f>IF(H276&gt;=Budget!$B$29,1,0)</f>
        <v>0</v>
      </c>
      <c r="S276" s="67">
        <f>IF(J276&gt;=Budget!$B$32,1,0)</f>
        <v>1</v>
      </c>
      <c r="T276" s="67">
        <f t="shared" si="12"/>
        <v>1</v>
      </c>
      <c r="U276" s="4"/>
      <c r="V276" s="4"/>
      <c r="AA276" s="68">
        <f>Budget!$B$29</f>
        <v>4000</v>
      </c>
      <c r="AB276" s="68">
        <f>Budget!$B$32</f>
        <v>4000</v>
      </c>
    </row>
    <row r="277" spans="1:28" ht="15" customHeight="1" x14ac:dyDescent="0.25">
      <c r="A277" s="55">
        <v>273</v>
      </c>
      <c r="B277" s="56">
        <f>EDATE(Budget!$B$28,A277-1)</f>
        <v>54667</v>
      </c>
      <c r="C277" s="57">
        <f>Budget!$B$7</f>
        <v>2900</v>
      </c>
      <c r="D277" s="57">
        <f>Budget!$B$18+Budget!$B$25</f>
        <v>1725</v>
      </c>
      <c r="E277" s="57">
        <f>Calcul!AX275</f>
        <v>0</v>
      </c>
      <c r="F277" s="58">
        <f t="shared" si="8"/>
        <v>1175</v>
      </c>
      <c r="G277" s="59">
        <f>IF(B277&lt;=Budget!$B$30,MAX(0,MIN(F277,Budget!$B$29-H276)),0)</f>
        <v>0</v>
      </c>
      <c r="H277" s="60">
        <f t="shared" si="13"/>
        <v>3511.3</v>
      </c>
      <c r="I277" s="61">
        <f>MAX(0,MIN(F277-G277,Budget!$B$32-J276))</f>
        <v>0</v>
      </c>
      <c r="J277" s="62">
        <f t="shared" si="14"/>
        <v>4000</v>
      </c>
      <c r="K277" s="63">
        <f t="shared" si="9"/>
        <v>1175</v>
      </c>
      <c r="L277" s="63">
        <f>K277*Budget!$B$36</f>
        <v>705</v>
      </c>
      <c r="M277" s="63">
        <f>MAX(0,L277-Calcul!AY275)</f>
        <v>705</v>
      </c>
      <c r="N277" s="63">
        <f t="shared" si="10"/>
        <v>1175</v>
      </c>
      <c r="O277" s="64">
        <f t="shared" si="15"/>
        <v>297077.13016399997</v>
      </c>
      <c r="P277" s="65">
        <f>Calcul!AZ275</f>
        <v>0</v>
      </c>
      <c r="Q277" s="66" t="str">
        <f t="shared" si="11"/>
        <v/>
      </c>
      <c r="R277" s="67">
        <f>IF(H277&gt;=Budget!$B$29,1,0)</f>
        <v>0</v>
      </c>
      <c r="S277" s="67">
        <f>IF(J277&gt;=Budget!$B$32,1,0)</f>
        <v>1</v>
      </c>
      <c r="T277" s="67">
        <f t="shared" si="12"/>
        <v>1</v>
      </c>
      <c r="U277" s="4"/>
      <c r="V277" s="4"/>
      <c r="AA277" s="68">
        <f>Budget!$B$29</f>
        <v>4000</v>
      </c>
      <c r="AB277" s="68">
        <f>Budget!$B$32</f>
        <v>4000</v>
      </c>
    </row>
    <row r="278" spans="1:28" ht="15" customHeight="1" x14ac:dyDescent="0.25">
      <c r="A278" s="55">
        <v>274</v>
      </c>
      <c r="B278" s="56">
        <f>EDATE(Budget!$B$28,A278-1)</f>
        <v>54697</v>
      </c>
      <c r="C278" s="57">
        <f>Budget!$B$7</f>
        <v>2900</v>
      </c>
      <c r="D278" s="57">
        <f>Budget!$B$18+Budget!$B$25</f>
        <v>1725</v>
      </c>
      <c r="E278" s="57">
        <f>Calcul!AX276</f>
        <v>0</v>
      </c>
      <c r="F278" s="58">
        <f t="shared" si="8"/>
        <v>1175</v>
      </c>
      <c r="G278" s="59">
        <f>IF(B278&lt;=Budget!$B$30,MAX(0,MIN(F278,Budget!$B$29-H277)),0)</f>
        <v>0</v>
      </c>
      <c r="H278" s="60">
        <f t="shared" si="13"/>
        <v>3511.3</v>
      </c>
      <c r="I278" s="61">
        <f>MAX(0,MIN(F278-G278,Budget!$B$32-J277))</f>
        <v>0</v>
      </c>
      <c r="J278" s="62">
        <f t="shared" si="14"/>
        <v>4000</v>
      </c>
      <c r="K278" s="63">
        <f t="shared" si="9"/>
        <v>1175</v>
      </c>
      <c r="L278" s="63">
        <f>K278*Budget!$B$36</f>
        <v>705</v>
      </c>
      <c r="M278" s="63">
        <f>MAX(0,L278-Calcul!AY276)</f>
        <v>705</v>
      </c>
      <c r="N278" s="63">
        <f t="shared" si="10"/>
        <v>1175</v>
      </c>
      <c r="O278" s="64">
        <f t="shared" si="15"/>
        <v>298252.13016399997</v>
      </c>
      <c r="P278" s="65">
        <f>Calcul!AZ276</f>
        <v>0</v>
      </c>
      <c r="Q278" s="66" t="str">
        <f t="shared" si="11"/>
        <v/>
      </c>
      <c r="R278" s="67">
        <f>IF(H278&gt;=Budget!$B$29,1,0)</f>
        <v>0</v>
      </c>
      <c r="S278" s="67">
        <f>IF(J278&gt;=Budget!$B$32,1,0)</f>
        <v>1</v>
      </c>
      <c r="T278" s="67">
        <f t="shared" si="12"/>
        <v>1</v>
      </c>
      <c r="U278" s="4"/>
      <c r="V278" s="4"/>
      <c r="AA278" s="68">
        <f>Budget!$B$29</f>
        <v>4000</v>
      </c>
      <c r="AB278" s="68">
        <f>Budget!$B$32</f>
        <v>4000</v>
      </c>
    </row>
    <row r="279" spans="1:28" ht="15" customHeight="1" x14ac:dyDescent="0.25">
      <c r="A279" s="55">
        <v>275</v>
      </c>
      <c r="B279" s="56">
        <f>EDATE(Budget!$B$28,A279-1)</f>
        <v>54728</v>
      </c>
      <c r="C279" s="57">
        <f>Budget!$B$7</f>
        <v>2900</v>
      </c>
      <c r="D279" s="57">
        <f>Budget!$B$18+Budget!$B$25</f>
        <v>1725</v>
      </c>
      <c r="E279" s="57">
        <f>Calcul!AX277</f>
        <v>0</v>
      </c>
      <c r="F279" s="58">
        <f t="shared" si="8"/>
        <v>1175</v>
      </c>
      <c r="G279" s="59">
        <f>IF(B279&lt;=Budget!$B$30,MAX(0,MIN(F279,Budget!$B$29-H278)),0)</f>
        <v>0</v>
      </c>
      <c r="H279" s="60">
        <f t="shared" si="13"/>
        <v>3511.3</v>
      </c>
      <c r="I279" s="61">
        <f>MAX(0,MIN(F279-G279,Budget!$B$32-J278))</f>
        <v>0</v>
      </c>
      <c r="J279" s="62">
        <f t="shared" si="14"/>
        <v>4000</v>
      </c>
      <c r="K279" s="63">
        <f t="shared" si="9"/>
        <v>1175</v>
      </c>
      <c r="L279" s="63">
        <f>K279*Budget!$B$36</f>
        <v>705</v>
      </c>
      <c r="M279" s="63">
        <f>MAX(0,L279-Calcul!AY277)</f>
        <v>705</v>
      </c>
      <c r="N279" s="63">
        <f t="shared" si="10"/>
        <v>1175</v>
      </c>
      <c r="O279" s="64">
        <f t="shared" si="15"/>
        <v>299427.13016399997</v>
      </c>
      <c r="P279" s="65">
        <f>Calcul!AZ277</f>
        <v>0</v>
      </c>
      <c r="Q279" s="66" t="str">
        <f t="shared" si="11"/>
        <v/>
      </c>
      <c r="R279" s="67">
        <f>IF(H279&gt;=Budget!$B$29,1,0)</f>
        <v>0</v>
      </c>
      <c r="S279" s="67">
        <f>IF(J279&gt;=Budget!$B$32,1,0)</f>
        <v>1</v>
      </c>
      <c r="T279" s="67">
        <f t="shared" si="12"/>
        <v>1</v>
      </c>
      <c r="U279" s="4"/>
      <c r="V279" s="4"/>
      <c r="AA279" s="68">
        <f>Budget!$B$29</f>
        <v>4000</v>
      </c>
      <c r="AB279" s="68">
        <f>Budget!$B$32</f>
        <v>4000</v>
      </c>
    </row>
    <row r="280" spans="1:28" ht="15" customHeight="1" x14ac:dyDescent="0.25">
      <c r="A280" s="55">
        <v>276</v>
      </c>
      <c r="B280" s="56">
        <f>EDATE(Budget!$B$28,A280-1)</f>
        <v>54758</v>
      </c>
      <c r="C280" s="57">
        <f>Budget!$B$7</f>
        <v>2900</v>
      </c>
      <c r="D280" s="57">
        <f>Budget!$B$18+Budget!$B$25</f>
        <v>1725</v>
      </c>
      <c r="E280" s="57">
        <f>Calcul!AX278</f>
        <v>0</v>
      </c>
      <c r="F280" s="58">
        <f t="shared" si="8"/>
        <v>1175</v>
      </c>
      <c r="G280" s="59">
        <f>IF(B280&lt;=Budget!$B$30,MAX(0,MIN(F280,Budget!$B$29-H279)),0)</f>
        <v>0</v>
      </c>
      <c r="H280" s="60">
        <f t="shared" si="13"/>
        <v>3511.3</v>
      </c>
      <c r="I280" s="61">
        <f>MAX(0,MIN(F280-G280,Budget!$B$32-J279))</f>
        <v>0</v>
      </c>
      <c r="J280" s="62">
        <f t="shared" si="14"/>
        <v>4000</v>
      </c>
      <c r="K280" s="63">
        <f t="shared" si="9"/>
        <v>1175</v>
      </c>
      <c r="L280" s="63">
        <f>K280*Budget!$B$36</f>
        <v>705</v>
      </c>
      <c r="M280" s="63">
        <f>MAX(0,L280-Calcul!AY278)</f>
        <v>705</v>
      </c>
      <c r="N280" s="63">
        <f t="shared" si="10"/>
        <v>1175</v>
      </c>
      <c r="O280" s="64">
        <f t="shared" si="15"/>
        <v>300602.13016399997</v>
      </c>
      <c r="P280" s="65">
        <f>Calcul!AZ278</f>
        <v>0</v>
      </c>
      <c r="Q280" s="66" t="str">
        <f t="shared" si="11"/>
        <v/>
      </c>
      <c r="R280" s="67">
        <f>IF(H280&gt;=Budget!$B$29,1,0)</f>
        <v>0</v>
      </c>
      <c r="S280" s="67">
        <f>IF(J280&gt;=Budget!$B$32,1,0)</f>
        <v>1</v>
      </c>
      <c r="T280" s="67">
        <f t="shared" si="12"/>
        <v>1</v>
      </c>
      <c r="U280" s="4"/>
      <c r="V280" s="4"/>
      <c r="AA280" s="68">
        <f>Budget!$B$29</f>
        <v>4000</v>
      </c>
      <c r="AB280" s="68">
        <f>Budget!$B$32</f>
        <v>4000</v>
      </c>
    </row>
    <row r="281" spans="1:28" ht="15" customHeight="1" x14ac:dyDescent="0.25">
      <c r="A281" s="55">
        <v>277</v>
      </c>
      <c r="B281" s="56">
        <f>EDATE(Budget!$B$28,A281-1)</f>
        <v>54789</v>
      </c>
      <c r="C281" s="57">
        <f>Budget!$B$7</f>
        <v>2900</v>
      </c>
      <c r="D281" s="57">
        <f>Budget!$B$18+Budget!$B$25</f>
        <v>1725</v>
      </c>
      <c r="E281" s="57">
        <f>Calcul!AX279</f>
        <v>0</v>
      </c>
      <c r="F281" s="58">
        <f t="shared" si="8"/>
        <v>1175</v>
      </c>
      <c r="G281" s="59">
        <f>IF(B281&lt;=Budget!$B$30,MAX(0,MIN(F281,Budget!$B$29-H280)),0)</f>
        <v>0</v>
      </c>
      <c r="H281" s="60">
        <f t="shared" si="13"/>
        <v>3511.3</v>
      </c>
      <c r="I281" s="61">
        <f>MAX(0,MIN(F281-G281,Budget!$B$32-J280))</f>
        <v>0</v>
      </c>
      <c r="J281" s="62">
        <f t="shared" si="14"/>
        <v>4000</v>
      </c>
      <c r="K281" s="63">
        <f t="shared" si="9"/>
        <v>1175</v>
      </c>
      <c r="L281" s="63">
        <f>K281*Budget!$B$36</f>
        <v>705</v>
      </c>
      <c r="M281" s="63">
        <f>MAX(0,L281-Calcul!AY279)</f>
        <v>705</v>
      </c>
      <c r="N281" s="63">
        <f t="shared" si="10"/>
        <v>1175</v>
      </c>
      <c r="O281" s="64">
        <f t="shared" si="15"/>
        <v>301777.13016399997</v>
      </c>
      <c r="P281" s="65">
        <f>Calcul!AZ279</f>
        <v>0</v>
      </c>
      <c r="Q281" s="66" t="str">
        <f t="shared" si="11"/>
        <v/>
      </c>
      <c r="R281" s="67">
        <f>IF(H281&gt;=Budget!$B$29,1,0)</f>
        <v>0</v>
      </c>
      <c r="S281" s="67">
        <f>IF(J281&gt;=Budget!$B$32,1,0)</f>
        <v>1</v>
      </c>
      <c r="T281" s="67">
        <f t="shared" si="12"/>
        <v>1</v>
      </c>
      <c r="U281" s="4"/>
      <c r="V281" s="4"/>
      <c r="AA281" s="68">
        <f>Budget!$B$29</f>
        <v>4000</v>
      </c>
      <c r="AB281" s="68">
        <f>Budget!$B$32</f>
        <v>4000</v>
      </c>
    </row>
    <row r="282" spans="1:28" ht="15" customHeight="1" x14ac:dyDescent="0.25">
      <c r="A282" s="55">
        <v>278</v>
      </c>
      <c r="B282" s="56">
        <f>EDATE(Budget!$B$28,A282-1)</f>
        <v>54820</v>
      </c>
      <c r="C282" s="57">
        <f>Budget!$B$7</f>
        <v>2900</v>
      </c>
      <c r="D282" s="57">
        <f>Budget!$B$18+Budget!$B$25</f>
        <v>1725</v>
      </c>
      <c r="E282" s="57">
        <f>Calcul!AX280</f>
        <v>0</v>
      </c>
      <c r="F282" s="58">
        <f t="shared" si="8"/>
        <v>1175</v>
      </c>
      <c r="G282" s="59">
        <f>IF(B282&lt;=Budget!$B$30,MAX(0,MIN(F282,Budget!$B$29-H281)),0)</f>
        <v>0</v>
      </c>
      <c r="H282" s="60">
        <f t="shared" si="13"/>
        <v>3511.3</v>
      </c>
      <c r="I282" s="61">
        <f>MAX(0,MIN(F282-G282,Budget!$B$32-J281))</f>
        <v>0</v>
      </c>
      <c r="J282" s="62">
        <f t="shared" si="14"/>
        <v>4000</v>
      </c>
      <c r="K282" s="63">
        <f t="shared" si="9"/>
        <v>1175</v>
      </c>
      <c r="L282" s="63">
        <f>K282*Budget!$B$36</f>
        <v>705</v>
      </c>
      <c r="M282" s="63">
        <f>MAX(0,L282-Calcul!AY280)</f>
        <v>705</v>
      </c>
      <c r="N282" s="63">
        <f t="shared" si="10"/>
        <v>1175</v>
      </c>
      <c r="O282" s="64">
        <f t="shared" si="15"/>
        <v>302952.13016399997</v>
      </c>
      <c r="P282" s="65">
        <f>Calcul!AZ280</f>
        <v>0</v>
      </c>
      <c r="Q282" s="66" t="str">
        <f t="shared" si="11"/>
        <v/>
      </c>
      <c r="R282" s="67">
        <f>IF(H282&gt;=Budget!$B$29,1,0)</f>
        <v>0</v>
      </c>
      <c r="S282" s="67">
        <f>IF(J282&gt;=Budget!$B$32,1,0)</f>
        <v>1</v>
      </c>
      <c r="T282" s="67">
        <f t="shared" si="12"/>
        <v>1</v>
      </c>
      <c r="U282" s="4"/>
      <c r="V282" s="4"/>
      <c r="AA282" s="68">
        <f>Budget!$B$29</f>
        <v>4000</v>
      </c>
      <c r="AB282" s="68">
        <f>Budget!$B$32</f>
        <v>4000</v>
      </c>
    </row>
    <row r="283" spans="1:28" ht="15" customHeight="1" x14ac:dyDescent="0.25">
      <c r="A283" s="55">
        <v>279</v>
      </c>
      <c r="B283" s="56">
        <f>EDATE(Budget!$B$28,A283-1)</f>
        <v>54848</v>
      </c>
      <c r="C283" s="57">
        <f>Budget!$B$7</f>
        <v>2900</v>
      </c>
      <c r="D283" s="57">
        <f>Budget!$B$18+Budget!$B$25</f>
        <v>1725</v>
      </c>
      <c r="E283" s="57">
        <f>Calcul!AX281</f>
        <v>0</v>
      </c>
      <c r="F283" s="58">
        <f t="shared" si="8"/>
        <v>1175</v>
      </c>
      <c r="G283" s="59">
        <f>IF(B283&lt;=Budget!$B$30,MAX(0,MIN(F283,Budget!$B$29-H282)),0)</f>
        <v>0</v>
      </c>
      <c r="H283" s="60">
        <f t="shared" si="13"/>
        <v>3511.3</v>
      </c>
      <c r="I283" s="61">
        <f>MAX(0,MIN(F283-G283,Budget!$B$32-J282))</f>
        <v>0</v>
      </c>
      <c r="J283" s="62">
        <f t="shared" si="14"/>
        <v>4000</v>
      </c>
      <c r="K283" s="63">
        <f t="shared" si="9"/>
        <v>1175</v>
      </c>
      <c r="L283" s="63">
        <f>K283*Budget!$B$36</f>
        <v>705</v>
      </c>
      <c r="M283" s="63">
        <f>MAX(0,L283-Calcul!AY281)</f>
        <v>705</v>
      </c>
      <c r="N283" s="63">
        <f t="shared" si="10"/>
        <v>1175</v>
      </c>
      <c r="O283" s="64">
        <f t="shared" si="15"/>
        <v>304127.13016399997</v>
      </c>
      <c r="P283" s="65">
        <f>Calcul!AZ281</f>
        <v>0</v>
      </c>
      <c r="Q283" s="66" t="str">
        <f t="shared" si="11"/>
        <v/>
      </c>
      <c r="R283" s="67">
        <f>IF(H283&gt;=Budget!$B$29,1,0)</f>
        <v>0</v>
      </c>
      <c r="S283" s="67">
        <f>IF(J283&gt;=Budget!$B$32,1,0)</f>
        <v>1</v>
      </c>
      <c r="T283" s="67">
        <f t="shared" si="12"/>
        <v>1</v>
      </c>
      <c r="U283" s="4"/>
      <c r="V283" s="4"/>
      <c r="AA283" s="68">
        <f>Budget!$B$29</f>
        <v>4000</v>
      </c>
      <c r="AB283" s="68">
        <f>Budget!$B$32</f>
        <v>4000</v>
      </c>
    </row>
    <row r="284" spans="1:28" ht="15" customHeight="1" x14ac:dyDescent="0.25">
      <c r="A284" s="55">
        <v>280</v>
      </c>
      <c r="B284" s="56">
        <f>EDATE(Budget!$B$28,A284-1)</f>
        <v>54879</v>
      </c>
      <c r="C284" s="57">
        <f>Budget!$B$7</f>
        <v>2900</v>
      </c>
      <c r="D284" s="57">
        <f>Budget!$B$18+Budget!$B$25</f>
        <v>1725</v>
      </c>
      <c r="E284" s="57">
        <f>Calcul!AX282</f>
        <v>0</v>
      </c>
      <c r="F284" s="58">
        <f t="shared" si="8"/>
        <v>1175</v>
      </c>
      <c r="G284" s="59">
        <f>IF(B284&lt;=Budget!$B$30,MAX(0,MIN(F284,Budget!$B$29-H283)),0)</f>
        <v>0</v>
      </c>
      <c r="H284" s="60">
        <f t="shared" si="13"/>
        <v>3511.3</v>
      </c>
      <c r="I284" s="61">
        <f>MAX(0,MIN(F284-G284,Budget!$B$32-J283))</f>
        <v>0</v>
      </c>
      <c r="J284" s="62">
        <f t="shared" si="14"/>
        <v>4000</v>
      </c>
      <c r="K284" s="63">
        <f t="shared" si="9"/>
        <v>1175</v>
      </c>
      <c r="L284" s="63">
        <f>K284*Budget!$B$36</f>
        <v>705</v>
      </c>
      <c r="M284" s="63">
        <f>MAX(0,L284-Calcul!AY282)</f>
        <v>705</v>
      </c>
      <c r="N284" s="63">
        <f t="shared" si="10"/>
        <v>1175</v>
      </c>
      <c r="O284" s="64">
        <f t="shared" si="15"/>
        <v>305302.13016399997</v>
      </c>
      <c r="P284" s="65">
        <f>Calcul!AZ282</f>
        <v>0</v>
      </c>
      <c r="Q284" s="66" t="str">
        <f t="shared" si="11"/>
        <v/>
      </c>
      <c r="R284" s="67">
        <f>IF(H284&gt;=Budget!$B$29,1,0)</f>
        <v>0</v>
      </c>
      <c r="S284" s="67">
        <f>IF(J284&gt;=Budget!$B$32,1,0)</f>
        <v>1</v>
      </c>
      <c r="T284" s="67">
        <f t="shared" si="12"/>
        <v>1</v>
      </c>
      <c r="U284" s="4"/>
      <c r="V284" s="4"/>
      <c r="AA284" s="68">
        <f>Budget!$B$29</f>
        <v>4000</v>
      </c>
      <c r="AB284" s="68">
        <f>Budget!$B$32</f>
        <v>4000</v>
      </c>
    </row>
    <row r="285" spans="1:28" ht="15" customHeight="1" x14ac:dyDescent="0.25">
      <c r="A285" s="55">
        <v>281</v>
      </c>
      <c r="B285" s="56">
        <f>EDATE(Budget!$B$28,A285-1)</f>
        <v>54909</v>
      </c>
      <c r="C285" s="57">
        <f>Budget!$B$7</f>
        <v>2900</v>
      </c>
      <c r="D285" s="57">
        <f>Budget!$B$18+Budget!$B$25</f>
        <v>1725</v>
      </c>
      <c r="E285" s="57">
        <f>Calcul!AX283</f>
        <v>0</v>
      </c>
      <c r="F285" s="58">
        <f t="shared" si="8"/>
        <v>1175</v>
      </c>
      <c r="G285" s="59">
        <f>IF(B285&lt;=Budget!$B$30,MAX(0,MIN(F285,Budget!$B$29-H284)),0)</f>
        <v>0</v>
      </c>
      <c r="H285" s="60">
        <f t="shared" si="13"/>
        <v>3511.3</v>
      </c>
      <c r="I285" s="61">
        <f>MAX(0,MIN(F285-G285,Budget!$B$32-J284))</f>
        <v>0</v>
      </c>
      <c r="J285" s="62">
        <f t="shared" si="14"/>
        <v>4000</v>
      </c>
      <c r="K285" s="63">
        <f t="shared" si="9"/>
        <v>1175</v>
      </c>
      <c r="L285" s="63">
        <f>K285*Budget!$B$36</f>
        <v>705</v>
      </c>
      <c r="M285" s="63">
        <f>MAX(0,L285-Calcul!AY283)</f>
        <v>705</v>
      </c>
      <c r="N285" s="63">
        <f t="shared" si="10"/>
        <v>1175</v>
      </c>
      <c r="O285" s="64">
        <f t="shared" si="15"/>
        <v>306477.13016399997</v>
      </c>
      <c r="P285" s="65">
        <f>Calcul!AZ283</f>
        <v>0</v>
      </c>
      <c r="Q285" s="66" t="str">
        <f t="shared" si="11"/>
        <v/>
      </c>
      <c r="R285" s="67">
        <f>IF(H285&gt;=Budget!$B$29,1,0)</f>
        <v>0</v>
      </c>
      <c r="S285" s="67">
        <f>IF(J285&gt;=Budget!$B$32,1,0)</f>
        <v>1</v>
      </c>
      <c r="T285" s="67">
        <f t="shared" si="12"/>
        <v>1</v>
      </c>
      <c r="U285" s="4"/>
      <c r="V285" s="4"/>
      <c r="AA285" s="68">
        <f>Budget!$B$29</f>
        <v>4000</v>
      </c>
      <c r="AB285" s="68">
        <f>Budget!$B$32</f>
        <v>4000</v>
      </c>
    </row>
    <row r="286" spans="1:28" ht="15" customHeight="1" x14ac:dyDescent="0.25">
      <c r="A286" s="55">
        <v>282</v>
      </c>
      <c r="B286" s="56">
        <f>EDATE(Budget!$B$28,A286-1)</f>
        <v>54940</v>
      </c>
      <c r="C286" s="57">
        <f>Budget!$B$7</f>
        <v>2900</v>
      </c>
      <c r="D286" s="57">
        <f>Budget!$B$18+Budget!$B$25</f>
        <v>1725</v>
      </c>
      <c r="E286" s="57">
        <f>Calcul!AX284</f>
        <v>0</v>
      </c>
      <c r="F286" s="58">
        <f t="shared" si="8"/>
        <v>1175</v>
      </c>
      <c r="G286" s="59">
        <f>IF(B286&lt;=Budget!$B$30,MAX(0,MIN(F286,Budget!$B$29-H285)),0)</f>
        <v>0</v>
      </c>
      <c r="H286" s="60">
        <f t="shared" si="13"/>
        <v>3511.3</v>
      </c>
      <c r="I286" s="61">
        <f>MAX(0,MIN(F286-G286,Budget!$B$32-J285))</f>
        <v>0</v>
      </c>
      <c r="J286" s="62">
        <f t="shared" si="14"/>
        <v>4000</v>
      </c>
      <c r="K286" s="63">
        <f t="shared" si="9"/>
        <v>1175</v>
      </c>
      <c r="L286" s="63">
        <f>K286*Budget!$B$36</f>
        <v>705</v>
      </c>
      <c r="M286" s="63">
        <f>MAX(0,L286-Calcul!AY284)</f>
        <v>705</v>
      </c>
      <c r="N286" s="63">
        <f t="shared" si="10"/>
        <v>1175</v>
      </c>
      <c r="O286" s="64">
        <f t="shared" si="15"/>
        <v>307652.13016399997</v>
      </c>
      <c r="P286" s="65">
        <f>Calcul!AZ284</f>
        <v>0</v>
      </c>
      <c r="Q286" s="66" t="str">
        <f t="shared" si="11"/>
        <v/>
      </c>
      <c r="R286" s="67">
        <f>IF(H286&gt;=Budget!$B$29,1,0)</f>
        <v>0</v>
      </c>
      <c r="S286" s="67">
        <f>IF(J286&gt;=Budget!$B$32,1,0)</f>
        <v>1</v>
      </c>
      <c r="T286" s="67">
        <f t="shared" si="12"/>
        <v>1</v>
      </c>
      <c r="U286" s="4"/>
      <c r="V286" s="4"/>
      <c r="AA286" s="68">
        <f>Budget!$B$29</f>
        <v>4000</v>
      </c>
      <c r="AB286" s="68">
        <f>Budget!$B$32</f>
        <v>4000</v>
      </c>
    </row>
    <row r="287" spans="1:28" ht="15" customHeight="1" x14ac:dyDescent="0.25">
      <c r="A287" s="55">
        <v>283</v>
      </c>
      <c r="B287" s="56">
        <f>EDATE(Budget!$B$28,A287-1)</f>
        <v>54970</v>
      </c>
      <c r="C287" s="57">
        <f>Budget!$B$7</f>
        <v>2900</v>
      </c>
      <c r="D287" s="57">
        <f>Budget!$B$18+Budget!$B$25</f>
        <v>1725</v>
      </c>
      <c r="E287" s="57">
        <f>Calcul!AX285</f>
        <v>0</v>
      </c>
      <c r="F287" s="58">
        <f t="shared" si="8"/>
        <v>1175</v>
      </c>
      <c r="G287" s="59">
        <f>IF(B287&lt;=Budget!$B$30,MAX(0,MIN(F287,Budget!$B$29-H286)),0)</f>
        <v>0</v>
      </c>
      <c r="H287" s="60">
        <f t="shared" si="13"/>
        <v>3511.3</v>
      </c>
      <c r="I287" s="61">
        <f>MAX(0,MIN(F287-G287,Budget!$B$32-J286))</f>
        <v>0</v>
      </c>
      <c r="J287" s="62">
        <f t="shared" si="14"/>
        <v>4000</v>
      </c>
      <c r="K287" s="63">
        <f t="shared" si="9"/>
        <v>1175</v>
      </c>
      <c r="L287" s="63">
        <f>K287*Budget!$B$36</f>
        <v>705</v>
      </c>
      <c r="M287" s="63">
        <f>MAX(0,L287-Calcul!AY285)</f>
        <v>705</v>
      </c>
      <c r="N287" s="63">
        <f t="shared" si="10"/>
        <v>1175</v>
      </c>
      <c r="O287" s="64">
        <f t="shared" si="15"/>
        <v>308827.13016399997</v>
      </c>
      <c r="P287" s="65">
        <f>Calcul!AZ285</f>
        <v>0</v>
      </c>
      <c r="Q287" s="66" t="str">
        <f t="shared" si="11"/>
        <v/>
      </c>
      <c r="R287" s="67">
        <f>IF(H287&gt;=Budget!$B$29,1,0)</f>
        <v>0</v>
      </c>
      <c r="S287" s="67">
        <f>IF(J287&gt;=Budget!$B$32,1,0)</f>
        <v>1</v>
      </c>
      <c r="T287" s="67">
        <f t="shared" si="12"/>
        <v>1</v>
      </c>
      <c r="U287" s="4"/>
      <c r="V287" s="4"/>
      <c r="AA287" s="68">
        <f>Budget!$B$29</f>
        <v>4000</v>
      </c>
      <c r="AB287" s="68">
        <f>Budget!$B$32</f>
        <v>4000</v>
      </c>
    </row>
    <row r="288" spans="1:28" ht="15" customHeight="1" x14ac:dyDescent="0.25">
      <c r="A288" s="55">
        <v>284</v>
      </c>
      <c r="B288" s="56">
        <f>EDATE(Budget!$B$28,A288-1)</f>
        <v>55001</v>
      </c>
      <c r="C288" s="57">
        <f>Budget!$B$7</f>
        <v>2900</v>
      </c>
      <c r="D288" s="57">
        <f>Budget!$B$18+Budget!$B$25</f>
        <v>1725</v>
      </c>
      <c r="E288" s="57">
        <f>Calcul!AX286</f>
        <v>0</v>
      </c>
      <c r="F288" s="58">
        <f t="shared" si="8"/>
        <v>1175</v>
      </c>
      <c r="G288" s="59">
        <f>IF(B288&lt;=Budget!$B$30,MAX(0,MIN(F288,Budget!$B$29-H287)),0)</f>
        <v>0</v>
      </c>
      <c r="H288" s="60">
        <f t="shared" si="13"/>
        <v>3511.3</v>
      </c>
      <c r="I288" s="61">
        <f>MAX(0,MIN(F288-G288,Budget!$B$32-J287))</f>
        <v>0</v>
      </c>
      <c r="J288" s="62">
        <f t="shared" si="14"/>
        <v>4000</v>
      </c>
      <c r="K288" s="63">
        <f t="shared" si="9"/>
        <v>1175</v>
      </c>
      <c r="L288" s="63">
        <f>K288*Budget!$B$36</f>
        <v>705</v>
      </c>
      <c r="M288" s="63">
        <f>MAX(0,L288-Calcul!AY286)</f>
        <v>705</v>
      </c>
      <c r="N288" s="63">
        <f t="shared" si="10"/>
        <v>1175</v>
      </c>
      <c r="O288" s="64">
        <f t="shared" si="15"/>
        <v>310002.13016399997</v>
      </c>
      <c r="P288" s="65">
        <f>Calcul!AZ286</f>
        <v>0</v>
      </c>
      <c r="Q288" s="66" t="str">
        <f t="shared" si="11"/>
        <v/>
      </c>
      <c r="R288" s="67">
        <f>IF(H288&gt;=Budget!$B$29,1,0)</f>
        <v>0</v>
      </c>
      <c r="S288" s="67">
        <f>IF(J288&gt;=Budget!$B$32,1,0)</f>
        <v>1</v>
      </c>
      <c r="T288" s="67">
        <f t="shared" si="12"/>
        <v>1</v>
      </c>
      <c r="U288" s="4"/>
      <c r="V288" s="4"/>
      <c r="AA288" s="68">
        <f>Budget!$B$29</f>
        <v>4000</v>
      </c>
      <c r="AB288" s="68">
        <f>Budget!$B$32</f>
        <v>4000</v>
      </c>
    </row>
    <row r="289" spans="1:28" ht="15" customHeight="1" x14ac:dyDescent="0.25">
      <c r="A289" s="55">
        <v>285</v>
      </c>
      <c r="B289" s="56">
        <f>EDATE(Budget!$B$28,A289-1)</f>
        <v>55032</v>
      </c>
      <c r="C289" s="57">
        <f>Budget!$B$7</f>
        <v>2900</v>
      </c>
      <c r="D289" s="57">
        <f>Budget!$B$18+Budget!$B$25</f>
        <v>1725</v>
      </c>
      <c r="E289" s="57">
        <f>Calcul!AX287</f>
        <v>0</v>
      </c>
      <c r="F289" s="58">
        <f t="shared" si="8"/>
        <v>1175</v>
      </c>
      <c r="G289" s="59">
        <f>IF(B289&lt;=Budget!$B$30,MAX(0,MIN(F289,Budget!$B$29-H288)),0)</f>
        <v>0</v>
      </c>
      <c r="H289" s="60">
        <f t="shared" si="13"/>
        <v>3511.3</v>
      </c>
      <c r="I289" s="61">
        <f>MAX(0,MIN(F289-G289,Budget!$B$32-J288))</f>
        <v>0</v>
      </c>
      <c r="J289" s="62">
        <f t="shared" si="14"/>
        <v>4000</v>
      </c>
      <c r="K289" s="63">
        <f t="shared" si="9"/>
        <v>1175</v>
      </c>
      <c r="L289" s="63">
        <f>K289*Budget!$B$36</f>
        <v>705</v>
      </c>
      <c r="M289" s="63">
        <f>MAX(0,L289-Calcul!AY287)</f>
        <v>705</v>
      </c>
      <c r="N289" s="63">
        <f t="shared" si="10"/>
        <v>1175</v>
      </c>
      <c r="O289" s="64">
        <f t="shared" si="15"/>
        <v>311177.13016399997</v>
      </c>
      <c r="P289" s="65">
        <f>Calcul!AZ287</f>
        <v>0</v>
      </c>
      <c r="Q289" s="66" t="str">
        <f t="shared" si="11"/>
        <v/>
      </c>
      <c r="R289" s="67">
        <f>IF(H289&gt;=Budget!$B$29,1,0)</f>
        <v>0</v>
      </c>
      <c r="S289" s="67">
        <f>IF(J289&gt;=Budget!$B$32,1,0)</f>
        <v>1</v>
      </c>
      <c r="T289" s="67">
        <f t="shared" si="12"/>
        <v>1</v>
      </c>
      <c r="U289" s="4"/>
      <c r="V289" s="4"/>
      <c r="AA289" s="68">
        <f>Budget!$B$29</f>
        <v>4000</v>
      </c>
      <c r="AB289" s="68">
        <f>Budget!$B$32</f>
        <v>4000</v>
      </c>
    </row>
    <row r="290" spans="1:28" ht="15" customHeight="1" x14ac:dyDescent="0.25">
      <c r="A290" s="55">
        <v>286</v>
      </c>
      <c r="B290" s="56">
        <f>EDATE(Budget!$B$28,A290-1)</f>
        <v>55062</v>
      </c>
      <c r="C290" s="57">
        <f>Budget!$B$7</f>
        <v>2900</v>
      </c>
      <c r="D290" s="57">
        <f>Budget!$B$18+Budget!$B$25</f>
        <v>1725</v>
      </c>
      <c r="E290" s="57">
        <f>Calcul!AX288</f>
        <v>0</v>
      </c>
      <c r="F290" s="58">
        <f t="shared" si="8"/>
        <v>1175</v>
      </c>
      <c r="G290" s="59">
        <f>IF(B290&lt;=Budget!$B$30,MAX(0,MIN(F290,Budget!$B$29-H289)),0)</f>
        <v>0</v>
      </c>
      <c r="H290" s="60">
        <f t="shared" si="13"/>
        <v>3511.3</v>
      </c>
      <c r="I290" s="61">
        <f>MAX(0,MIN(F290-G290,Budget!$B$32-J289))</f>
        <v>0</v>
      </c>
      <c r="J290" s="62">
        <f t="shared" si="14"/>
        <v>4000</v>
      </c>
      <c r="K290" s="63">
        <f t="shared" si="9"/>
        <v>1175</v>
      </c>
      <c r="L290" s="63">
        <f>K290*Budget!$B$36</f>
        <v>705</v>
      </c>
      <c r="M290" s="63">
        <f>MAX(0,L290-Calcul!AY288)</f>
        <v>705</v>
      </c>
      <c r="N290" s="63">
        <f t="shared" si="10"/>
        <v>1175</v>
      </c>
      <c r="O290" s="64">
        <f t="shared" si="15"/>
        <v>312352.13016399997</v>
      </c>
      <c r="P290" s="65">
        <f>Calcul!AZ288</f>
        <v>0</v>
      </c>
      <c r="Q290" s="66" t="str">
        <f t="shared" si="11"/>
        <v/>
      </c>
      <c r="R290" s="67">
        <f>IF(H290&gt;=Budget!$B$29,1,0)</f>
        <v>0</v>
      </c>
      <c r="S290" s="67">
        <f>IF(J290&gt;=Budget!$B$32,1,0)</f>
        <v>1</v>
      </c>
      <c r="T290" s="67">
        <f t="shared" si="12"/>
        <v>1</v>
      </c>
      <c r="U290" s="4"/>
      <c r="V290" s="4"/>
      <c r="AA290" s="68">
        <f>Budget!$B$29</f>
        <v>4000</v>
      </c>
      <c r="AB290" s="68">
        <f>Budget!$B$32</f>
        <v>4000</v>
      </c>
    </row>
    <row r="291" spans="1:28" ht="15" customHeight="1" x14ac:dyDescent="0.25">
      <c r="A291" s="55">
        <v>287</v>
      </c>
      <c r="B291" s="56">
        <f>EDATE(Budget!$B$28,A291-1)</f>
        <v>55093</v>
      </c>
      <c r="C291" s="57">
        <f>Budget!$B$7</f>
        <v>2900</v>
      </c>
      <c r="D291" s="57">
        <f>Budget!$B$18+Budget!$B$25</f>
        <v>1725</v>
      </c>
      <c r="E291" s="57">
        <f>Calcul!AX289</f>
        <v>0</v>
      </c>
      <c r="F291" s="58">
        <f t="shared" si="8"/>
        <v>1175</v>
      </c>
      <c r="G291" s="59">
        <f>IF(B291&lt;=Budget!$B$30,MAX(0,MIN(F291,Budget!$B$29-H290)),0)</f>
        <v>0</v>
      </c>
      <c r="H291" s="60">
        <f t="shared" si="13"/>
        <v>3511.3</v>
      </c>
      <c r="I291" s="61">
        <f>MAX(0,MIN(F291-G291,Budget!$B$32-J290))</f>
        <v>0</v>
      </c>
      <c r="J291" s="62">
        <f t="shared" si="14"/>
        <v>4000</v>
      </c>
      <c r="K291" s="63">
        <f t="shared" si="9"/>
        <v>1175</v>
      </c>
      <c r="L291" s="63">
        <f>K291*Budget!$B$36</f>
        <v>705</v>
      </c>
      <c r="M291" s="63">
        <f>MAX(0,L291-Calcul!AY289)</f>
        <v>705</v>
      </c>
      <c r="N291" s="63">
        <f t="shared" si="10"/>
        <v>1175</v>
      </c>
      <c r="O291" s="64">
        <f t="shared" si="15"/>
        <v>313527.13016399997</v>
      </c>
      <c r="P291" s="65">
        <f>Calcul!AZ289</f>
        <v>0</v>
      </c>
      <c r="Q291" s="66" t="str">
        <f t="shared" si="11"/>
        <v/>
      </c>
      <c r="R291" s="67">
        <f>IF(H291&gt;=Budget!$B$29,1,0)</f>
        <v>0</v>
      </c>
      <c r="S291" s="67">
        <f>IF(J291&gt;=Budget!$B$32,1,0)</f>
        <v>1</v>
      </c>
      <c r="T291" s="67">
        <f t="shared" si="12"/>
        <v>1</v>
      </c>
      <c r="U291" s="4"/>
      <c r="V291" s="4"/>
      <c r="AA291" s="68">
        <f>Budget!$B$29</f>
        <v>4000</v>
      </c>
      <c r="AB291" s="68">
        <f>Budget!$B$32</f>
        <v>4000</v>
      </c>
    </row>
    <row r="292" spans="1:28" ht="15" customHeight="1" x14ac:dyDescent="0.25">
      <c r="A292" s="55">
        <v>288</v>
      </c>
      <c r="B292" s="56">
        <f>EDATE(Budget!$B$28,A292-1)</f>
        <v>55123</v>
      </c>
      <c r="C292" s="57">
        <f>Budget!$B$7</f>
        <v>2900</v>
      </c>
      <c r="D292" s="57">
        <f>Budget!$B$18+Budget!$B$25</f>
        <v>1725</v>
      </c>
      <c r="E292" s="57">
        <f>Calcul!AX290</f>
        <v>0</v>
      </c>
      <c r="F292" s="58">
        <f t="shared" si="8"/>
        <v>1175</v>
      </c>
      <c r="G292" s="59">
        <f>IF(B292&lt;=Budget!$B$30,MAX(0,MIN(F292,Budget!$B$29-H291)),0)</f>
        <v>0</v>
      </c>
      <c r="H292" s="60">
        <f t="shared" si="13"/>
        <v>3511.3</v>
      </c>
      <c r="I292" s="61">
        <f>MAX(0,MIN(F292-G292,Budget!$B$32-J291))</f>
        <v>0</v>
      </c>
      <c r="J292" s="62">
        <f t="shared" si="14"/>
        <v>4000</v>
      </c>
      <c r="K292" s="63">
        <f t="shared" si="9"/>
        <v>1175</v>
      </c>
      <c r="L292" s="63">
        <f>K292*Budget!$B$36</f>
        <v>705</v>
      </c>
      <c r="M292" s="63">
        <f>MAX(0,L292-Calcul!AY290)</f>
        <v>705</v>
      </c>
      <c r="N292" s="63">
        <f t="shared" si="10"/>
        <v>1175</v>
      </c>
      <c r="O292" s="64">
        <f t="shared" si="15"/>
        <v>314702.13016399997</v>
      </c>
      <c r="P292" s="65">
        <f>Calcul!AZ290</f>
        <v>0</v>
      </c>
      <c r="Q292" s="66" t="str">
        <f t="shared" si="11"/>
        <v/>
      </c>
      <c r="R292" s="67">
        <f>IF(H292&gt;=Budget!$B$29,1,0)</f>
        <v>0</v>
      </c>
      <c r="S292" s="67">
        <f>IF(J292&gt;=Budget!$B$32,1,0)</f>
        <v>1</v>
      </c>
      <c r="T292" s="67">
        <f t="shared" si="12"/>
        <v>1</v>
      </c>
      <c r="U292" s="4"/>
      <c r="V292" s="4"/>
      <c r="AA292" s="68">
        <f>Budget!$B$29</f>
        <v>4000</v>
      </c>
      <c r="AB292" s="68">
        <f>Budget!$B$32</f>
        <v>4000</v>
      </c>
    </row>
    <row r="293" spans="1:28" ht="15" customHeight="1" x14ac:dyDescent="0.25">
      <c r="A293" s="55">
        <v>289</v>
      </c>
      <c r="B293" s="56">
        <f>EDATE(Budget!$B$28,A293-1)</f>
        <v>55154</v>
      </c>
      <c r="C293" s="57">
        <f>Budget!$B$7</f>
        <v>2900</v>
      </c>
      <c r="D293" s="57">
        <f>Budget!$B$18+Budget!$B$25</f>
        <v>1725</v>
      </c>
      <c r="E293" s="57">
        <f>Calcul!AX291</f>
        <v>0</v>
      </c>
      <c r="F293" s="58">
        <f t="shared" si="8"/>
        <v>1175</v>
      </c>
      <c r="G293" s="59">
        <f>IF(B293&lt;=Budget!$B$30,MAX(0,MIN(F293,Budget!$B$29-H292)),0)</f>
        <v>0</v>
      </c>
      <c r="H293" s="60">
        <f t="shared" si="13"/>
        <v>3511.3</v>
      </c>
      <c r="I293" s="61">
        <f>MAX(0,MIN(F293-G293,Budget!$B$32-J292))</f>
        <v>0</v>
      </c>
      <c r="J293" s="62">
        <f t="shared" si="14"/>
        <v>4000</v>
      </c>
      <c r="K293" s="63">
        <f t="shared" si="9"/>
        <v>1175</v>
      </c>
      <c r="L293" s="63">
        <f>K293*Budget!$B$36</f>
        <v>705</v>
      </c>
      <c r="M293" s="63">
        <f>MAX(0,L293-Calcul!AY291)</f>
        <v>705</v>
      </c>
      <c r="N293" s="63">
        <f t="shared" si="10"/>
        <v>1175</v>
      </c>
      <c r="O293" s="64">
        <f t="shared" si="15"/>
        <v>315877.13016399997</v>
      </c>
      <c r="P293" s="65">
        <f>Calcul!AZ291</f>
        <v>0</v>
      </c>
      <c r="Q293" s="66" t="str">
        <f t="shared" si="11"/>
        <v/>
      </c>
      <c r="R293" s="67">
        <f>IF(H293&gt;=Budget!$B$29,1,0)</f>
        <v>0</v>
      </c>
      <c r="S293" s="67">
        <f>IF(J293&gt;=Budget!$B$32,1,0)</f>
        <v>1</v>
      </c>
      <c r="T293" s="67">
        <f t="shared" si="12"/>
        <v>1</v>
      </c>
      <c r="U293" s="4"/>
      <c r="V293" s="4"/>
      <c r="AA293" s="68">
        <f>Budget!$B$29</f>
        <v>4000</v>
      </c>
      <c r="AB293" s="68">
        <f>Budget!$B$32</f>
        <v>4000</v>
      </c>
    </row>
    <row r="294" spans="1:28" ht="15" customHeight="1" x14ac:dyDescent="0.25">
      <c r="A294" s="55">
        <v>290</v>
      </c>
      <c r="B294" s="56">
        <f>EDATE(Budget!$B$28,A294-1)</f>
        <v>55185</v>
      </c>
      <c r="C294" s="57">
        <f>Budget!$B$7</f>
        <v>2900</v>
      </c>
      <c r="D294" s="57">
        <f>Budget!$B$18+Budget!$B$25</f>
        <v>1725</v>
      </c>
      <c r="E294" s="57">
        <f>Calcul!AX292</f>
        <v>0</v>
      </c>
      <c r="F294" s="58">
        <f t="shared" si="8"/>
        <v>1175</v>
      </c>
      <c r="G294" s="59">
        <f>IF(B294&lt;=Budget!$B$30,MAX(0,MIN(F294,Budget!$B$29-H293)),0)</f>
        <v>0</v>
      </c>
      <c r="H294" s="60">
        <f t="shared" si="13"/>
        <v>3511.3</v>
      </c>
      <c r="I294" s="61">
        <f>MAX(0,MIN(F294-G294,Budget!$B$32-J293))</f>
        <v>0</v>
      </c>
      <c r="J294" s="62">
        <f t="shared" si="14"/>
        <v>4000</v>
      </c>
      <c r="K294" s="63">
        <f t="shared" si="9"/>
        <v>1175</v>
      </c>
      <c r="L294" s="63">
        <f>K294*Budget!$B$36</f>
        <v>705</v>
      </c>
      <c r="M294" s="63">
        <f>MAX(0,L294-Calcul!AY292)</f>
        <v>705</v>
      </c>
      <c r="N294" s="63">
        <f t="shared" si="10"/>
        <v>1175</v>
      </c>
      <c r="O294" s="64">
        <f t="shared" si="15"/>
        <v>317052.13016399997</v>
      </c>
      <c r="P294" s="65">
        <f>Calcul!AZ292</f>
        <v>0</v>
      </c>
      <c r="Q294" s="66" t="str">
        <f t="shared" si="11"/>
        <v/>
      </c>
      <c r="R294" s="67">
        <f>IF(H294&gt;=Budget!$B$29,1,0)</f>
        <v>0</v>
      </c>
      <c r="S294" s="67">
        <f>IF(J294&gt;=Budget!$B$32,1,0)</f>
        <v>1</v>
      </c>
      <c r="T294" s="67">
        <f t="shared" si="12"/>
        <v>1</v>
      </c>
      <c r="U294" s="4"/>
      <c r="V294" s="4"/>
      <c r="AA294" s="68">
        <f>Budget!$B$29</f>
        <v>4000</v>
      </c>
      <c r="AB294" s="68">
        <f>Budget!$B$32</f>
        <v>4000</v>
      </c>
    </row>
    <row r="295" spans="1:28" ht="15" customHeight="1" x14ac:dyDescent="0.25">
      <c r="A295" s="55">
        <v>291</v>
      </c>
      <c r="B295" s="56">
        <f>EDATE(Budget!$B$28,A295-1)</f>
        <v>55213</v>
      </c>
      <c r="C295" s="57">
        <f>Budget!$B$7</f>
        <v>2900</v>
      </c>
      <c r="D295" s="57">
        <f>Budget!$B$18+Budget!$B$25</f>
        <v>1725</v>
      </c>
      <c r="E295" s="57">
        <f>Calcul!AX293</f>
        <v>0</v>
      </c>
      <c r="F295" s="58">
        <f t="shared" si="8"/>
        <v>1175</v>
      </c>
      <c r="G295" s="59">
        <f>IF(B295&lt;=Budget!$B$30,MAX(0,MIN(F295,Budget!$B$29-H294)),0)</f>
        <v>0</v>
      </c>
      <c r="H295" s="60">
        <f t="shared" si="13"/>
        <v>3511.3</v>
      </c>
      <c r="I295" s="61">
        <f>MAX(0,MIN(F295-G295,Budget!$B$32-J294))</f>
        <v>0</v>
      </c>
      <c r="J295" s="62">
        <f t="shared" si="14"/>
        <v>4000</v>
      </c>
      <c r="K295" s="63">
        <f t="shared" si="9"/>
        <v>1175</v>
      </c>
      <c r="L295" s="63">
        <f>K295*Budget!$B$36</f>
        <v>705</v>
      </c>
      <c r="M295" s="63">
        <f>MAX(0,L295-Calcul!AY293)</f>
        <v>705</v>
      </c>
      <c r="N295" s="63">
        <f t="shared" si="10"/>
        <v>1175</v>
      </c>
      <c r="O295" s="64">
        <f t="shared" si="15"/>
        <v>318227.13016399997</v>
      </c>
      <c r="P295" s="65">
        <f>Calcul!AZ293</f>
        <v>0</v>
      </c>
      <c r="Q295" s="66" t="str">
        <f t="shared" si="11"/>
        <v/>
      </c>
      <c r="R295" s="67">
        <f>IF(H295&gt;=Budget!$B$29,1,0)</f>
        <v>0</v>
      </c>
      <c r="S295" s="67">
        <f>IF(J295&gt;=Budget!$B$32,1,0)</f>
        <v>1</v>
      </c>
      <c r="T295" s="67">
        <f t="shared" si="12"/>
        <v>1</v>
      </c>
      <c r="U295" s="4"/>
      <c r="V295" s="4"/>
      <c r="AA295" s="68">
        <f>Budget!$B$29</f>
        <v>4000</v>
      </c>
      <c r="AB295" s="68">
        <f>Budget!$B$32</f>
        <v>4000</v>
      </c>
    </row>
    <row r="296" spans="1:28" ht="15" customHeight="1" x14ac:dyDescent="0.25">
      <c r="A296" s="55">
        <v>292</v>
      </c>
      <c r="B296" s="56">
        <f>EDATE(Budget!$B$28,A296-1)</f>
        <v>55244</v>
      </c>
      <c r="C296" s="57">
        <f>Budget!$B$7</f>
        <v>2900</v>
      </c>
      <c r="D296" s="57">
        <f>Budget!$B$18+Budget!$B$25</f>
        <v>1725</v>
      </c>
      <c r="E296" s="57">
        <f>Calcul!AX294</f>
        <v>0</v>
      </c>
      <c r="F296" s="58">
        <f t="shared" si="8"/>
        <v>1175</v>
      </c>
      <c r="G296" s="59">
        <f>IF(B296&lt;=Budget!$B$30,MAX(0,MIN(F296,Budget!$B$29-H295)),0)</f>
        <v>0</v>
      </c>
      <c r="H296" s="60">
        <f t="shared" si="13"/>
        <v>3511.3</v>
      </c>
      <c r="I296" s="61">
        <f>MAX(0,MIN(F296-G296,Budget!$B$32-J295))</f>
        <v>0</v>
      </c>
      <c r="J296" s="62">
        <f t="shared" si="14"/>
        <v>4000</v>
      </c>
      <c r="K296" s="63">
        <f t="shared" si="9"/>
        <v>1175</v>
      </c>
      <c r="L296" s="63">
        <f>K296*Budget!$B$36</f>
        <v>705</v>
      </c>
      <c r="M296" s="63">
        <f>MAX(0,L296-Calcul!AY294)</f>
        <v>705</v>
      </c>
      <c r="N296" s="63">
        <f t="shared" si="10"/>
        <v>1175</v>
      </c>
      <c r="O296" s="64">
        <f t="shared" si="15"/>
        <v>319402.13016399997</v>
      </c>
      <c r="P296" s="65">
        <f>Calcul!AZ294</f>
        <v>0</v>
      </c>
      <c r="Q296" s="66" t="str">
        <f t="shared" si="11"/>
        <v/>
      </c>
      <c r="R296" s="67">
        <f>IF(H296&gt;=Budget!$B$29,1,0)</f>
        <v>0</v>
      </c>
      <c r="S296" s="67">
        <f>IF(J296&gt;=Budget!$B$32,1,0)</f>
        <v>1</v>
      </c>
      <c r="T296" s="67">
        <f t="shared" si="12"/>
        <v>1</v>
      </c>
      <c r="U296" s="4"/>
      <c r="V296" s="4"/>
      <c r="AA296" s="68">
        <f>Budget!$B$29</f>
        <v>4000</v>
      </c>
      <c r="AB296" s="68">
        <f>Budget!$B$32</f>
        <v>4000</v>
      </c>
    </row>
    <row r="297" spans="1:28" ht="15" customHeight="1" x14ac:dyDescent="0.25">
      <c r="A297" s="55">
        <v>293</v>
      </c>
      <c r="B297" s="56">
        <f>EDATE(Budget!$B$28,A297-1)</f>
        <v>55274</v>
      </c>
      <c r="C297" s="57">
        <f>Budget!$B$7</f>
        <v>2900</v>
      </c>
      <c r="D297" s="57">
        <f>Budget!$B$18+Budget!$B$25</f>
        <v>1725</v>
      </c>
      <c r="E297" s="57">
        <f>Calcul!AX295</f>
        <v>0</v>
      </c>
      <c r="F297" s="58">
        <f t="shared" si="8"/>
        <v>1175</v>
      </c>
      <c r="G297" s="59">
        <f>IF(B297&lt;=Budget!$B$30,MAX(0,MIN(F297,Budget!$B$29-H296)),0)</f>
        <v>0</v>
      </c>
      <c r="H297" s="60">
        <f t="shared" si="13"/>
        <v>3511.3</v>
      </c>
      <c r="I297" s="61">
        <f>MAX(0,MIN(F297-G297,Budget!$B$32-J296))</f>
        <v>0</v>
      </c>
      <c r="J297" s="62">
        <f t="shared" si="14"/>
        <v>4000</v>
      </c>
      <c r="K297" s="63">
        <f t="shared" si="9"/>
        <v>1175</v>
      </c>
      <c r="L297" s="63">
        <f>K297*Budget!$B$36</f>
        <v>705</v>
      </c>
      <c r="M297" s="63">
        <f>MAX(0,L297-Calcul!AY295)</f>
        <v>705</v>
      </c>
      <c r="N297" s="63">
        <f t="shared" si="10"/>
        <v>1175</v>
      </c>
      <c r="O297" s="64">
        <f t="shared" si="15"/>
        <v>320577.13016399997</v>
      </c>
      <c r="P297" s="65">
        <f>Calcul!AZ295</f>
        <v>0</v>
      </c>
      <c r="Q297" s="66" t="str">
        <f t="shared" si="11"/>
        <v/>
      </c>
      <c r="R297" s="67">
        <f>IF(H297&gt;=Budget!$B$29,1,0)</f>
        <v>0</v>
      </c>
      <c r="S297" s="67">
        <f>IF(J297&gt;=Budget!$B$32,1,0)</f>
        <v>1</v>
      </c>
      <c r="T297" s="67">
        <f t="shared" si="12"/>
        <v>1</v>
      </c>
      <c r="U297" s="4"/>
      <c r="V297" s="4"/>
      <c r="AA297" s="68">
        <f>Budget!$B$29</f>
        <v>4000</v>
      </c>
      <c r="AB297" s="68">
        <f>Budget!$B$32</f>
        <v>4000</v>
      </c>
    </row>
    <row r="298" spans="1:28" ht="15" customHeight="1" x14ac:dyDescent="0.25">
      <c r="A298" s="55">
        <v>294</v>
      </c>
      <c r="B298" s="56">
        <f>EDATE(Budget!$B$28,A298-1)</f>
        <v>55305</v>
      </c>
      <c r="C298" s="57">
        <f>Budget!$B$7</f>
        <v>2900</v>
      </c>
      <c r="D298" s="57">
        <f>Budget!$B$18+Budget!$B$25</f>
        <v>1725</v>
      </c>
      <c r="E298" s="57">
        <f>Calcul!AX296</f>
        <v>0</v>
      </c>
      <c r="F298" s="58">
        <f t="shared" si="8"/>
        <v>1175</v>
      </c>
      <c r="G298" s="59">
        <f>IF(B298&lt;=Budget!$B$30,MAX(0,MIN(F298,Budget!$B$29-H297)),0)</f>
        <v>0</v>
      </c>
      <c r="H298" s="60">
        <f t="shared" si="13"/>
        <v>3511.3</v>
      </c>
      <c r="I298" s="61">
        <f>MAX(0,MIN(F298-G298,Budget!$B$32-J297))</f>
        <v>0</v>
      </c>
      <c r="J298" s="62">
        <f t="shared" si="14"/>
        <v>4000</v>
      </c>
      <c r="K298" s="63">
        <f t="shared" si="9"/>
        <v>1175</v>
      </c>
      <c r="L298" s="63">
        <f>K298*Budget!$B$36</f>
        <v>705</v>
      </c>
      <c r="M298" s="63">
        <f>MAX(0,L298-Calcul!AY296)</f>
        <v>705</v>
      </c>
      <c r="N298" s="63">
        <f t="shared" si="10"/>
        <v>1175</v>
      </c>
      <c r="O298" s="64">
        <f t="shared" si="15"/>
        <v>321752.13016399997</v>
      </c>
      <c r="P298" s="65">
        <f>Calcul!AZ296</f>
        <v>0</v>
      </c>
      <c r="Q298" s="66" t="str">
        <f t="shared" si="11"/>
        <v/>
      </c>
      <c r="R298" s="67">
        <f>IF(H298&gt;=Budget!$B$29,1,0)</f>
        <v>0</v>
      </c>
      <c r="S298" s="67">
        <f>IF(J298&gt;=Budget!$B$32,1,0)</f>
        <v>1</v>
      </c>
      <c r="T298" s="67">
        <f t="shared" si="12"/>
        <v>1</v>
      </c>
      <c r="U298" s="4"/>
      <c r="V298" s="4"/>
      <c r="AA298" s="68">
        <f>Budget!$B$29</f>
        <v>4000</v>
      </c>
      <c r="AB298" s="68">
        <f>Budget!$B$32</f>
        <v>4000</v>
      </c>
    </row>
    <row r="299" spans="1:28" ht="15" customHeight="1" x14ac:dyDescent="0.25">
      <c r="A299" s="55">
        <v>295</v>
      </c>
      <c r="B299" s="56">
        <f>EDATE(Budget!$B$28,A299-1)</f>
        <v>55335</v>
      </c>
      <c r="C299" s="57">
        <f>Budget!$B$7</f>
        <v>2900</v>
      </c>
      <c r="D299" s="57">
        <f>Budget!$B$18+Budget!$B$25</f>
        <v>1725</v>
      </c>
      <c r="E299" s="57">
        <f>Calcul!AX297</f>
        <v>0</v>
      </c>
      <c r="F299" s="58">
        <f t="shared" si="8"/>
        <v>1175</v>
      </c>
      <c r="G299" s="59">
        <f>IF(B299&lt;=Budget!$B$30,MAX(0,MIN(F299,Budget!$B$29-H298)),0)</f>
        <v>0</v>
      </c>
      <c r="H299" s="60">
        <f t="shared" si="13"/>
        <v>3511.3</v>
      </c>
      <c r="I299" s="61">
        <f>MAX(0,MIN(F299-G299,Budget!$B$32-J298))</f>
        <v>0</v>
      </c>
      <c r="J299" s="62">
        <f t="shared" si="14"/>
        <v>4000</v>
      </c>
      <c r="K299" s="63">
        <f t="shared" si="9"/>
        <v>1175</v>
      </c>
      <c r="L299" s="63">
        <f>K299*Budget!$B$36</f>
        <v>705</v>
      </c>
      <c r="M299" s="63">
        <f>MAX(0,L299-Calcul!AY297)</f>
        <v>705</v>
      </c>
      <c r="N299" s="63">
        <f t="shared" si="10"/>
        <v>1175</v>
      </c>
      <c r="O299" s="64">
        <f t="shared" si="15"/>
        <v>322927.13016399997</v>
      </c>
      <c r="P299" s="65">
        <f>Calcul!AZ297</f>
        <v>0</v>
      </c>
      <c r="Q299" s="66" t="str">
        <f t="shared" si="11"/>
        <v/>
      </c>
      <c r="R299" s="67">
        <f>IF(H299&gt;=Budget!$B$29,1,0)</f>
        <v>0</v>
      </c>
      <c r="S299" s="67">
        <f>IF(J299&gt;=Budget!$B$32,1,0)</f>
        <v>1</v>
      </c>
      <c r="T299" s="67">
        <f t="shared" si="12"/>
        <v>1</v>
      </c>
      <c r="U299" s="4"/>
      <c r="V299" s="4"/>
      <c r="AA299" s="68">
        <f>Budget!$B$29</f>
        <v>4000</v>
      </c>
      <c r="AB299" s="68">
        <f>Budget!$B$32</f>
        <v>4000</v>
      </c>
    </row>
    <row r="300" spans="1:28" ht="15" customHeight="1" x14ac:dyDescent="0.25">
      <c r="A300" s="55">
        <v>296</v>
      </c>
      <c r="B300" s="56">
        <f>EDATE(Budget!$B$28,A300-1)</f>
        <v>55366</v>
      </c>
      <c r="C300" s="57">
        <f>Budget!$B$7</f>
        <v>2900</v>
      </c>
      <c r="D300" s="57">
        <f>Budget!$B$18+Budget!$B$25</f>
        <v>1725</v>
      </c>
      <c r="E300" s="57">
        <f>Calcul!AX298</f>
        <v>0</v>
      </c>
      <c r="F300" s="58">
        <f t="shared" si="8"/>
        <v>1175</v>
      </c>
      <c r="G300" s="59">
        <f>IF(B300&lt;=Budget!$B$30,MAX(0,MIN(F300,Budget!$B$29-H299)),0)</f>
        <v>0</v>
      </c>
      <c r="H300" s="60">
        <f t="shared" si="13"/>
        <v>3511.3</v>
      </c>
      <c r="I300" s="61">
        <f>MAX(0,MIN(F300-G300,Budget!$B$32-J299))</f>
        <v>0</v>
      </c>
      <c r="J300" s="62">
        <f t="shared" si="14"/>
        <v>4000</v>
      </c>
      <c r="K300" s="63">
        <f t="shared" si="9"/>
        <v>1175</v>
      </c>
      <c r="L300" s="63">
        <f>K300*Budget!$B$36</f>
        <v>705</v>
      </c>
      <c r="M300" s="63">
        <f>MAX(0,L300-Calcul!AY298)</f>
        <v>705</v>
      </c>
      <c r="N300" s="63">
        <f t="shared" si="10"/>
        <v>1175</v>
      </c>
      <c r="O300" s="64">
        <f t="shared" si="15"/>
        <v>324102.13016399997</v>
      </c>
      <c r="P300" s="65">
        <f>Calcul!AZ298</f>
        <v>0</v>
      </c>
      <c r="Q300" s="66" t="str">
        <f t="shared" si="11"/>
        <v/>
      </c>
      <c r="R300" s="67">
        <f>IF(H300&gt;=Budget!$B$29,1,0)</f>
        <v>0</v>
      </c>
      <c r="S300" s="67">
        <f>IF(J300&gt;=Budget!$B$32,1,0)</f>
        <v>1</v>
      </c>
      <c r="T300" s="67">
        <f t="shared" si="12"/>
        <v>1</v>
      </c>
      <c r="U300" s="4"/>
      <c r="V300" s="4"/>
      <c r="AA300" s="68">
        <f>Budget!$B$29</f>
        <v>4000</v>
      </c>
      <c r="AB300" s="68">
        <f>Budget!$B$32</f>
        <v>4000</v>
      </c>
    </row>
    <row r="301" spans="1:28" ht="15" customHeight="1" x14ac:dyDescent="0.25">
      <c r="A301" s="55">
        <v>297</v>
      </c>
      <c r="B301" s="56">
        <f>EDATE(Budget!$B$28,A301-1)</f>
        <v>55397</v>
      </c>
      <c r="C301" s="57">
        <f>Budget!$B$7</f>
        <v>2900</v>
      </c>
      <c r="D301" s="57">
        <f>Budget!$B$18+Budget!$B$25</f>
        <v>1725</v>
      </c>
      <c r="E301" s="57">
        <f>Calcul!AX299</f>
        <v>0</v>
      </c>
      <c r="F301" s="58">
        <f t="shared" si="8"/>
        <v>1175</v>
      </c>
      <c r="G301" s="59">
        <f>IF(B301&lt;=Budget!$B$30,MAX(0,MIN(F301,Budget!$B$29-H300)),0)</f>
        <v>0</v>
      </c>
      <c r="H301" s="60">
        <f t="shared" si="13"/>
        <v>3511.3</v>
      </c>
      <c r="I301" s="61">
        <f>MAX(0,MIN(F301-G301,Budget!$B$32-J300))</f>
        <v>0</v>
      </c>
      <c r="J301" s="62">
        <f t="shared" si="14"/>
        <v>4000</v>
      </c>
      <c r="K301" s="63">
        <f t="shared" si="9"/>
        <v>1175</v>
      </c>
      <c r="L301" s="63">
        <f>K301*Budget!$B$36</f>
        <v>705</v>
      </c>
      <c r="M301" s="63">
        <f>MAX(0,L301-Calcul!AY299)</f>
        <v>705</v>
      </c>
      <c r="N301" s="63">
        <f t="shared" si="10"/>
        <v>1175</v>
      </c>
      <c r="O301" s="64">
        <f t="shared" si="15"/>
        <v>325277.13016399997</v>
      </c>
      <c r="P301" s="65">
        <f>Calcul!AZ299</f>
        <v>0</v>
      </c>
      <c r="Q301" s="66" t="str">
        <f t="shared" si="11"/>
        <v/>
      </c>
      <c r="R301" s="67">
        <f>IF(H301&gt;=Budget!$B$29,1,0)</f>
        <v>0</v>
      </c>
      <c r="S301" s="67">
        <f>IF(J301&gt;=Budget!$B$32,1,0)</f>
        <v>1</v>
      </c>
      <c r="T301" s="67">
        <f t="shared" si="12"/>
        <v>1</v>
      </c>
      <c r="U301" s="4"/>
      <c r="V301" s="4"/>
      <c r="AA301" s="68">
        <f>Budget!$B$29</f>
        <v>4000</v>
      </c>
      <c r="AB301" s="68">
        <f>Budget!$B$32</f>
        <v>4000</v>
      </c>
    </row>
    <row r="302" spans="1:28" ht="15" customHeight="1" x14ac:dyDescent="0.25">
      <c r="A302" s="55">
        <v>298</v>
      </c>
      <c r="B302" s="56">
        <f>EDATE(Budget!$B$28,A302-1)</f>
        <v>55427</v>
      </c>
      <c r="C302" s="57">
        <f>Budget!$B$7</f>
        <v>2900</v>
      </c>
      <c r="D302" s="57">
        <f>Budget!$B$18+Budget!$B$25</f>
        <v>1725</v>
      </c>
      <c r="E302" s="57">
        <f>Calcul!AX300</f>
        <v>0</v>
      </c>
      <c r="F302" s="58">
        <f t="shared" si="8"/>
        <v>1175</v>
      </c>
      <c r="G302" s="59">
        <f>IF(B302&lt;=Budget!$B$30,MAX(0,MIN(F302,Budget!$B$29-H301)),0)</f>
        <v>0</v>
      </c>
      <c r="H302" s="60">
        <f t="shared" si="13"/>
        <v>3511.3</v>
      </c>
      <c r="I302" s="61">
        <f>MAX(0,MIN(F302-G302,Budget!$B$32-J301))</f>
        <v>0</v>
      </c>
      <c r="J302" s="62">
        <f t="shared" si="14"/>
        <v>4000</v>
      </c>
      <c r="K302" s="63">
        <f t="shared" si="9"/>
        <v>1175</v>
      </c>
      <c r="L302" s="63">
        <f>K302*Budget!$B$36</f>
        <v>705</v>
      </c>
      <c r="M302" s="63">
        <f>MAX(0,L302-Calcul!AY300)</f>
        <v>705</v>
      </c>
      <c r="N302" s="63">
        <f t="shared" si="10"/>
        <v>1175</v>
      </c>
      <c r="O302" s="64">
        <f t="shared" si="15"/>
        <v>326452.13016399997</v>
      </c>
      <c r="P302" s="65">
        <f>Calcul!AZ300</f>
        <v>0</v>
      </c>
      <c r="Q302" s="66" t="str">
        <f t="shared" si="11"/>
        <v/>
      </c>
      <c r="R302" s="67">
        <f>IF(H302&gt;=Budget!$B$29,1,0)</f>
        <v>0</v>
      </c>
      <c r="S302" s="67">
        <f>IF(J302&gt;=Budget!$B$32,1,0)</f>
        <v>1</v>
      </c>
      <c r="T302" s="67">
        <f t="shared" si="12"/>
        <v>1</v>
      </c>
      <c r="U302" s="4"/>
      <c r="V302" s="4"/>
      <c r="AA302" s="68">
        <f>Budget!$B$29</f>
        <v>4000</v>
      </c>
      <c r="AB302" s="68">
        <f>Budget!$B$32</f>
        <v>4000</v>
      </c>
    </row>
    <row r="303" spans="1:28" ht="15" customHeight="1" x14ac:dyDescent="0.25">
      <c r="A303" s="55">
        <v>299</v>
      </c>
      <c r="B303" s="56">
        <f>EDATE(Budget!$B$28,A303-1)</f>
        <v>55458</v>
      </c>
      <c r="C303" s="57">
        <f>Budget!$B$7</f>
        <v>2900</v>
      </c>
      <c r="D303" s="57">
        <f>Budget!$B$18+Budget!$B$25</f>
        <v>1725</v>
      </c>
      <c r="E303" s="57">
        <f>Calcul!AX301</f>
        <v>0</v>
      </c>
      <c r="F303" s="58">
        <f t="shared" si="8"/>
        <v>1175</v>
      </c>
      <c r="G303" s="59">
        <f>IF(B303&lt;=Budget!$B$30,MAX(0,MIN(F303,Budget!$B$29-H302)),0)</f>
        <v>0</v>
      </c>
      <c r="H303" s="60">
        <f t="shared" si="13"/>
        <v>3511.3</v>
      </c>
      <c r="I303" s="61">
        <f>MAX(0,MIN(F303-G303,Budget!$B$32-J302))</f>
        <v>0</v>
      </c>
      <c r="J303" s="62">
        <f t="shared" si="14"/>
        <v>4000</v>
      </c>
      <c r="K303" s="63">
        <f t="shared" si="9"/>
        <v>1175</v>
      </c>
      <c r="L303" s="63">
        <f>K303*Budget!$B$36</f>
        <v>705</v>
      </c>
      <c r="M303" s="63">
        <f>MAX(0,L303-Calcul!AY301)</f>
        <v>705</v>
      </c>
      <c r="N303" s="63">
        <f t="shared" si="10"/>
        <v>1175</v>
      </c>
      <c r="O303" s="64">
        <f t="shared" si="15"/>
        <v>327627.13016399997</v>
      </c>
      <c r="P303" s="65">
        <f>Calcul!AZ301</f>
        <v>0</v>
      </c>
      <c r="Q303" s="66" t="str">
        <f t="shared" si="11"/>
        <v/>
      </c>
      <c r="R303" s="67">
        <f>IF(H303&gt;=Budget!$B$29,1,0)</f>
        <v>0</v>
      </c>
      <c r="S303" s="67">
        <f>IF(J303&gt;=Budget!$B$32,1,0)</f>
        <v>1</v>
      </c>
      <c r="T303" s="67">
        <f t="shared" si="12"/>
        <v>1</v>
      </c>
      <c r="U303" s="4"/>
      <c r="V303" s="4"/>
      <c r="AA303" s="68">
        <f>Budget!$B$29</f>
        <v>4000</v>
      </c>
      <c r="AB303" s="68">
        <f>Budget!$B$32</f>
        <v>4000</v>
      </c>
    </row>
    <row r="304" spans="1:28" ht="15" customHeight="1" x14ac:dyDescent="0.25">
      <c r="A304" s="55">
        <v>300</v>
      </c>
      <c r="B304" s="56">
        <f>EDATE(Budget!$B$28,A304-1)</f>
        <v>55488</v>
      </c>
      <c r="C304" s="57">
        <f>Budget!$B$7</f>
        <v>2900</v>
      </c>
      <c r="D304" s="57">
        <f>Budget!$B$18+Budget!$B$25</f>
        <v>1725</v>
      </c>
      <c r="E304" s="57">
        <f>Calcul!AX302</f>
        <v>0</v>
      </c>
      <c r="F304" s="58">
        <f t="shared" si="8"/>
        <v>1175</v>
      </c>
      <c r="G304" s="59">
        <f>IF(B304&lt;=Budget!$B$30,MAX(0,MIN(F304,Budget!$B$29-H303)),0)</f>
        <v>0</v>
      </c>
      <c r="H304" s="60">
        <f t="shared" si="13"/>
        <v>3511.3</v>
      </c>
      <c r="I304" s="61">
        <f>MAX(0,MIN(F304-G304,Budget!$B$32-J303))</f>
        <v>0</v>
      </c>
      <c r="J304" s="62">
        <f t="shared" si="14"/>
        <v>4000</v>
      </c>
      <c r="K304" s="63">
        <f t="shared" si="9"/>
        <v>1175</v>
      </c>
      <c r="L304" s="63">
        <f>K304*Budget!$B$36</f>
        <v>705</v>
      </c>
      <c r="M304" s="63">
        <f>MAX(0,L304-Calcul!AY302)</f>
        <v>705</v>
      </c>
      <c r="N304" s="63">
        <f t="shared" si="10"/>
        <v>1175</v>
      </c>
      <c r="O304" s="64">
        <f t="shared" si="15"/>
        <v>328802.13016399997</v>
      </c>
      <c r="P304" s="65">
        <f>Calcul!AZ302</f>
        <v>0</v>
      </c>
      <c r="Q304" s="66" t="str">
        <f t="shared" si="11"/>
        <v/>
      </c>
      <c r="R304" s="67">
        <f>IF(H304&gt;=Budget!$B$29,1,0)</f>
        <v>0</v>
      </c>
      <c r="S304" s="67">
        <f>IF(J304&gt;=Budget!$B$32,1,0)</f>
        <v>1</v>
      </c>
      <c r="T304" s="67">
        <f t="shared" si="12"/>
        <v>1</v>
      </c>
      <c r="U304" s="4"/>
      <c r="V304" s="4"/>
      <c r="AA304" s="68">
        <f>Budget!$B$29</f>
        <v>4000</v>
      </c>
      <c r="AB304" s="68">
        <f>Budget!$B$32</f>
        <v>4000</v>
      </c>
    </row>
    <row r="305" spans="1:28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AA305" s="4"/>
      <c r="AB305" s="4"/>
    </row>
    <row r="306" spans="1:28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AA306" s="4"/>
      <c r="AB306" s="4"/>
    </row>
    <row r="307" spans="1:28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AA307" s="4"/>
      <c r="AB307" s="4"/>
    </row>
    <row r="308" spans="1:28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AA308" s="4"/>
      <c r="AB308" s="4"/>
    </row>
    <row r="309" spans="1:28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AA309" s="4"/>
      <c r="AB309" s="4"/>
    </row>
    <row r="310" spans="1:28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AA310" s="4"/>
      <c r="AB310" s="4"/>
    </row>
    <row r="311" spans="1:28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AA311" s="4"/>
      <c r="AB311" s="4"/>
    </row>
    <row r="312" spans="1:28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AA312" s="4"/>
      <c r="AB312" s="4"/>
    </row>
    <row r="313" spans="1:28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AA313" s="4"/>
      <c r="AB313" s="4"/>
    </row>
    <row r="314" spans="1:28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AA314" s="4"/>
      <c r="AB314" s="4"/>
    </row>
    <row r="315" spans="1:28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AA315" s="4"/>
      <c r="AB315" s="4"/>
    </row>
    <row r="316" spans="1:28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AA316" s="4"/>
      <c r="AB316" s="4"/>
    </row>
    <row r="317" spans="1:28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AA317" s="4"/>
      <c r="AB317" s="4"/>
    </row>
    <row r="318" spans="1:28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AA318" s="4"/>
      <c r="AB318" s="4"/>
    </row>
    <row r="319" spans="1:28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AA319" s="4"/>
      <c r="AB319" s="4"/>
    </row>
    <row r="320" spans="1:28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AA320" s="4"/>
      <c r="AB320" s="4"/>
    </row>
    <row r="321" spans="1:28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AA321" s="4"/>
      <c r="AB321" s="4"/>
    </row>
    <row r="322" spans="1:28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AA322" s="4"/>
      <c r="AB322" s="4"/>
    </row>
    <row r="323" spans="1:28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AA323" s="4"/>
      <c r="AB323" s="4"/>
    </row>
    <row r="324" spans="1:28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AA324" s="4"/>
      <c r="AB324" s="4"/>
    </row>
    <row r="325" spans="1:28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AA325" s="4"/>
      <c r="AB325" s="4"/>
    </row>
    <row r="326" spans="1:28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AA326" s="4"/>
      <c r="AB326" s="4"/>
    </row>
    <row r="327" spans="1:28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AA327" s="4"/>
      <c r="AB327" s="4"/>
    </row>
    <row r="328" spans="1:28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AA328" s="4"/>
      <c r="AB328" s="4"/>
    </row>
    <row r="329" spans="1:28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AA329" s="4"/>
      <c r="AB329" s="4"/>
    </row>
    <row r="330" spans="1:28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AA330" s="4"/>
      <c r="AB330" s="4"/>
    </row>
    <row r="331" spans="1:28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AA331" s="4"/>
      <c r="AB331" s="4"/>
    </row>
    <row r="332" spans="1:28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AA332" s="4"/>
      <c r="AB332" s="4"/>
    </row>
    <row r="333" spans="1:28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AA333" s="4"/>
      <c r="AB333" s="4"/>
    </row>
    <row r="334" spans="1:28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AA334" s="4"/>
      <c r="AB334" s="4"/>
    </row>
    <row r="335" spans="1:28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AA335" s="4"/>
      <c r="AB335" s="4"/>
    </row>
    <row r="336" spans="1:28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AA336" s="4"/>
      <c r="AB336" s="4"/>
    </row>
    <row r="337" spans="1:28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AA337" s="4"/>
      <c r="AB337" s="4"/>
    </row>
    <row r="338" spans="1:28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AA338" s="4"/>
      <c r="AB338" s="4"/>
    </row>
    <row r="339" spans="1:28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AA339" s="4"/>
      <c r="AB339" s="4"/>
    </row>
    <row r="340" spans="1:28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AA340" s="4"/>
      <c r="AB340" s="4"/>
    </row>
    <row r="341" spans="1:28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AA341" s="4"/>
      <c r="AB341" s="4"/>
    </row>
    <row r="342" spans="1:28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AA342" s="4"/>
      <c r="AB342" s="4"/>
    </row>
    <row r="343" spans="1:28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AA343" s="4"/>
      <c r="AB343" s="4"/>
    </row>
    <row r="344" spans="1:28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AA344" s="4"/>
      <c r="AB344" s="4"/>
    </row>
    <row r="345" spans="1:28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AA345" s="4"/>
      <c r="AB345" s="4"/>
    </row>
    <row r="346" spans="1:28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AA346" s="4"/>
      <c r="AB346" s="4"/>
    </row>
    <row r="347" spans="1:28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AA347" s="4"/>
      <c r="AB347" s="4"/>
    </row>
    <row r="348" spans="1:28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AA348" s="4"/>
      <c r="AB348" s="4"/>
    </row>
    <row r="349" spans="1:28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AA349" s="4"/>
      <c r="AB349" s="4"/>
    </row>
    <row r="350" spans="1:28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AA350" s="4"/>
      <c r="AB350" s="4"/>
    </row>
    <row r="351" spans="1:28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AA351" s="4"/>
      <c r="AB351" s="4"/>
    </row>
    <row r="352" spans="1:28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AA352" s="4"/>
      <c r="AB352" s="4"/>
    </row>
    <row r="353" spans="1:28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AA353" s="4"/>
      <c r="AB353" s="4"/>
    </row>
    <row r="354" spans="1:28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AA354" s="4"/>
      <c r="AB354" s="4"/>
    </row>
    <row r="355" spans="1:28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AA355" s="4"/>
      <c r="AB355" s="4"/>
    </row>
    <row r="356" spans="1:28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AA356" s="4"/>
      <c r="AB356" s="4"/>
    </row>
    <row r="357" spans="1:28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AA357" s="4"/>
      <c r="AB357" s="4"/>
    </row>
    <row r="358" spans="1:28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AA358" s="4"/>
      <c r="AB358" s="4"/>
    </row>
    <row r="359" spans="1:28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AA359" s="4"/>
      <c r="AB359" s="4"/>
    </row>
    <row r="360" spans="1:28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AA360" s="4"/>
      <c r="AB360" s="4"/>
    </row>
    <row r="361" spans="1:28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AA361" s="4"/>
      <c r="AB361" s="4"/>
    </row>
    <row r="362" spans="1:28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AA362" s="4"/>
      <c r="AB362" s="4"/>
    </row>
    <row r="363" spans="1:28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AA363" s="4"/>
      <c r="AB363" s="4"/>
    </row>
    <row r="364" spans="1:28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AA364" s="4"/>
      <c r="AB364" s="4"/>
    </row>
    <row r="365" spans="1:28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AA365" s="4"/>
      <c r="AB365" s="4"/>
    </row>
    <row r="366" spans="1:28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AA366" s="4"/>
      <c r="AB366" s="4"/>
    </row>
    <row r="367" spans="1:28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AA367" s="4"/>
      <c r="AB367" s="4"/>
    </row>
    <row r="368" spans="1:28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AA368" s="4"/>
      <c r="AB368" s="4"/>
    </row>
    <row r="369" spans="1:28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AA369" s="4"/>
      <c r="AB369" s="4"/>
    </row>
    <row r="370" spans="1:28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AA370" s="4"/>
      <c r="AB370" s="4"/>
    </row>
    <row r="371" spans="1:28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AA371" s="4"/>
      <c r="AB371" s="4"/>
    </row>
    <row r="372" spans="1:28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AA372" s="4"/>
      <c r="AB372" s="4"/>
    </row>
    <row r="373" spans="1:28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AA373" s="4"/>
      <c r="AB373" s="4"/>
    </row>
    <row r="374" spans="1:28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AA374" s="4"/>
      <c r="AB374" s="4"/>
    </row>
    <row r="375" spans="1:28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AA375" s="4"/>
      <c r="AB375" s="4"/>
    </row>
    <row r="376" spans="1:28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AA376" s="4"/>
      <c r="AB376" s="4"/>
    </row>
    <row r="377" spans="1:28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AA377" s="4"/>
      <c r="AB377" s="4"/>
    </row>
    <row r="378" spans="1:28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AA378" s="4"/>
      <c r="AB378" s="4"/>
    </row>
    <row r="379" spans="1:28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AA379" s="4"/>
      <c r="AB379" s="4"/>
    </row>
    <row r="380" spans="1:28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AA380" s="4"/>
      <c r="AB380" s="4"/>
    </row>
    <row r="381" spans="1:28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AA381" s="4"/>
      <c r="AB381" s="4"/>
    </row>
    <row r="382" spans="1:28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AA382" s="4"/>
      <c r="AB382" s="4"/>
    </row>
    <row r="383" spans="1:28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AA383" s="4"/>
      <c r="AB383" s="4"/>
    </row>
    <row r="384" spans="1:28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AA384" s="4"/>
      <c r="AB384" s="4"/>
    </row>
    <row r="385" spans="1:28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AA385" s="4"/>
      <c r="AB385" s="4"/>
    </row>
    <row r="386" spans="1:28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AA386" s="4"/>
      <c r="AB386" s="4"/>
    </row>
    <row r="387" spans="1:28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AA387" s="4"/>
      <c r="AB387" s="4"/>
    </row>
    <row r="388" spans="1:28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AA388" s="4"/>
      <c r="AB388" s="4"/>
    </row>
    <row r="389" spans="1:28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AA389" s="4"/>
      <c r="AB389" s="4"/>
    </row>
    <row r="390" spans="1:28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AA390" s="4"/>
      <c r="AB390" s="4"/>
    </row>
    <row r="391" spans="1:28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AA391" s="4"/>
      <c r="AB391" s="4"/>
    </row>
    <row r="392" spans="1:28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AA392" s="4"/>
      <c r="AB392" s="4"/>
    </row>
    <row r="393" spans="1:28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AA393" s="4"/>
      <c r="AB393" s="4"/>
    </row>
    <row r="394" spans="1:28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AA394" s="4"/>
      <c r="AB394" s="4"/>
    </row>
    <row r="395" spans="1:28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AA395" s="4"/>
      <c r="AB395" s="4"/>
    </row>
    <row r="396" spans="1:28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AA396" s="4"/>
      <c r="AB396" s="4"/>
    </row>
    <row r="397" spans="1:28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AA397" s="4"/>
      <c r="AB397" s="4"/>
    </row>
    <row r="398" spans="1:28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AA398" s="4"/>
      <c r="AB398" s="4"/>
    </row>
    <row r="399" spans="1:28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AA399" s="4"/>
      <c r="AB399" s="4"/>
    </row>
    <row r="400" spans="1:28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AA400" s="4"/>
      <c r="AB400" s="4"/>
    </row>
    <row r="401" spans="1:28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AA401" s="4"/>
      <c r="AB401" s="4"/>
    </row>
    <row r="402" spans="1:28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AA402" s="4"/>
      <c r="AB402" s="4"/>
    </row>
    <row r="403" spans="1:28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AA403" s="4"/>
      <c r="AB403" s="4"/>
    </row>
    <row r="404" spans="1:28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AA404" s="4"/>
      <c r="AB404" s="4"/>
    </row>
    <row r="405" spans="1:28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AA405" s="4"/>
      <c r="AB405" s="4"/>
    </row>
    <row r="406" spans="1:28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AA406" s="4"/>
      <c r="AB406" s="4"/>
    </row>
    <row r="407" spans="1:28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AA407" s="4"/>
      <c r="AB407" s="4"/>
    </row>
    <row r="408" spans="1:28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AA408" s="4"/>
      <c r="AB408" s="4"/>
    </row>
    <row r="409" spans="1:28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AA409" s="4"/>
      <c r="AB409" s="4"/>
    </row>
    <row r="410" spans="1:28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AA410" s="4"/>
      <c r="AB410" s="4"/>
    </row>
    <row r="411" spans="1:28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AA411" s="4"/>
      <c r="AB411" s="4"/>
    </row>
    <row r="412" spans="1:28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AA412" s="4"/>
      <c r="AB412" s="4"/>
    </row>
    <row r="413" spans="1:28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AA413" s="4"/>
      <c r="AB413" s="4"/>
    </row>
    <row r="414" spans="1:28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AA414" s="4"/>
      <c r="AB414" s="4"/>
    </row>
    <row r="415" spans="1:28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AA415" s="4"/>
      <c r="AB415" s="4"/>
    </row>
    <row r="416" spans="1:28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AA416" s="4"/>
      <c r="AB416" s="4"/>
    </row>
    <row r="417" spans="1:28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AA417" s="4"/>
      <c r="AB417" s="4"/>
    </row>
    <row r="418" spans="1:28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AA418" s="4"/>
      <c r="AB418" s="4"/>
    </row>
    <row r="419" spans="1:28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AA419" s="4"/>
      <c r="AB419" s="4"/>
    </row>
    <row r="420" spans="1:28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AA420" s="4"/>
      <c r="AB420" s="4"/>
    </row>
    <row r="421" spans="1:28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AA421" s="4"/>
      <c r="AB421" s="4"/>
    </row>
    <row r="422" spans="1:28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AA422" s="4"/>
      <c r="AB422" s="4"/>
    </row>
    <row r="423" spans="1:28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AA423" s="4"/>
      <c r="AB423" s="4"/>
    </row>
    <row r="424" spans="1:28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AA424" s="4"/>
      <c r="AB424" s="4"/>
    </row>
    <row r="425" spans="1:28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AA425" s="4"/>
      <c r="AB425" s="4"/>
    </row>
    <row r="426" spans="1:28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AA426" s="4"/>
      <c r="AB426" s="4"/>
    </row>
    <row r="427" spans="1:28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AA427" s="4"/>
      <c r="AB427" s="4"/>
    </row>
    <row r="428" spans="1:28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AA428" s="4"/>
      <c r="AB428" s="4"/>
    </row>
    <row r="429" spans="1:28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AA429" s="4"/>
      <c r="AB429" s="4"/>
    </row>
    <row r="430" spans="1:28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AA430" s="4"/>
      <c r="AB430" s="4"/>
    </row>
    <row r="431" spans="1:28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AA431" s="4"/>
      <c r="AB431" s="4"/>
    </row>
    <row r="432" spans="1:28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AA432" s="4"/>
      <c r="AB432" s="4"/>
    </row>
    <row r="433" spans="1:28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AA433" s="4"/>
      <c r="AB433" s="4"/>
    </row>
    <row r="434" spans="1:28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AA434" s="4"/>
      <c r="AB434" s="4"/>
    </row>
    <row r="435" spans="1:28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AA435" s="4"/>
      <c r="AB435" s="4"/>
    </row>
    <row r="436" spans="1:28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AA436" s="4"/>
      <c r="AB436" s="4"/>
    </row>
    <row r="437" spans="1:28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AA437" s="4"/>
      <c r="AB437" s="4"/>
    </row>
    <row r="438" spans="1:28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AA438" s="4"/>
      <c r="AB438" s="4"/>
    </row>
    <row r="439" spans="1:28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AA439" s="4"/>
      <c r="AB439" s="4"/>
    </row>
    <row r="440" spans="1:28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AA440" s="4"/>
      <c r="AB440" s="4"/>
    </row>
    <row r="441" spans="1:28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AA441" s="4"/>
      <c r="AB441" s="4"/>
    </row>
    <row r="442" spans="1:28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AA442" s="4"/>
      <c r="AB442" s="4"/>
    </row>
    <row r="443" spans="1:28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AA443" s="4"/>
      <c r="AB443" s="4"/>
    </row>
    <row r="444" spans="1:28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AA444" s="4"/>
      <c r="AB444" s="4"/>
    </row>
    <row r="445" spans="1:28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AA445" s="4"/>
      <c r="AB445" s="4"/>
    </row>
    <row r="446" spans="1:28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AA446" s="4"/>
      <c r="AB446" s="4"/>
    </row>
    <row r="447" spans="1:28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AA447" s="4"/>
      <c r="AB447" s="4"/>
    </row>
    <row r="448" spans="1:28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AA448" s="4"/>
      <c r="AB448" s="4"/>
    </row>
    <row r="449" spans="1:28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AA449" s="4"/>
      <c r="AB449" s="4"/>
    </row>
    <row r="450" spans="1:28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AA450" s="4"/>
      <c r="AB450" s="4"/>
    </row>
    <row r="451" spans="1:28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AA451" s="4"/>
      <c r="AB451" s="4"/>
    </row>
    <row r="452" spans="1:28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AA452" s="4"/>
      <c r="AB452" s="4"/>
    </row>
    <row r="453" spans="1:28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AA453" s="4"/>
      <c r="AB453" s="4"/>
    </row>
    <row r="454" spans="1:28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AA454" s="4"/>
      <c r="AB454" s="4"/>
    </row>
    <row r="455" spans="1:28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AA455" s="4"/>
      <c r="AB455" s="4"/>
    </row>
    <row r="456" spans="1:28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AA456" s="4"/>
      <c r="AB456" s="4"/>
    </row>
    <row r="457" spans="1:28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AA457" s="4"/>
      <c r="AB457" s="4"/>
    </row>
    <row r="458" spans="1:28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AA458" s="4"/>
      <c r="AB458" s="4"/>
    </row>
    <row r="459" spans="1:28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AA459" s="4"/>
      <c r="AB459" s="4"/>
    </row>
    <row r="460" spans="1:28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AA460" s="4"/>
      <c r="AB460" s="4"/>
    </row>
    <row r="461" spans="1:28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AA461" s="4"/>
      <c r="AB461" s="4"/>
    </row>
    <row r="462" spans="1:28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AA462" s="4"/>
      <c r="AB462" s="4"/>
    </row>
    <row r="463" spans="1:28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AA463" s="4"/>
      <c r="AB463" s="4"/>
    </row>
    <row r="464" spans="1:28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AA464" s="4"/>
      <c r="AB464" s="4"/>
    </row>
    <row r="465" spans="1:28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AA465" s="4"/>
      <c r="AB465" s="4"/>
    </row>
    <row r="466" spans="1:28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AA466" s="4"/>
      <c r="AB466" s="4"/>
    </row>
    <row r="467" spans="1:28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AA467" s="4"/>
      <c r="AB467" s="4"/>
    </row>
    <row r="468" spans="1:28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AA468" s="4"/>
      <c r="AB468" s="4"/>
    </row>
    <row r="469" spans="1:28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AA469" s="4"/>
      <c r="AB469" s="4"/>
    </row>
    <row r="470" spans="1:28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AA470" s="4"/>
      <c r="AB470" s="4"/>
    </row>
    <row r="471" spans="1:28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AA471" s="4"/>
      <c r="AB471" s="4"/>
    </row>
    <row r="472" spans="1:28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AA472" s="4"/>
      <c r="AB472" s="4"/>
    </row>
    <row r="473" spans="1:28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AA473" s="4"/>
      <c r="AB473" s="4"/>
    </row>
    <row r="474" spans="1:28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AA474" s="4"/>
      <c r="AB474" s="4"/>
    </row>
    <row r="475" spans="1:28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AA475" s="4"/>
      <c r="AB475" s="4"/>
    </row>
    <row r="476" spans="1:28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AA476" s="4"/>
      <c r="AB476" s="4"/>
    </row>
    <row r="477" spans="1:28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AA477" s="4"/>
      <c r="AB477" s="4"/>
    </row>
    <row r="478" spans="1:28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AA478" s="4"/>
      <c r="AB478" s="4"/>
    </row>
    <row r="479" spans="1:28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AA479" s="4"/>
      <c r="AB479" s="4"/>
    </row>
    <row r="480" spans="1:28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AA480" s="4"/>
      <c r="AB480" s="4"/>
    </row>
    <row r="481" spans="1:28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AA481" s="4"/>
      <c r="AB481" s="4"/>
    </row>
    <row r="482" spans="1:28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AA482" s="4"/>
      <c r="AB482" s="4"/>
    </row>
    <row r="483" spans="1:28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AA483" s="4"/>
      <c r="AB483" s="4"/>
    </row>
    <row r="484" spans="1:28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AA484" s="4"/>
      <c r="AB484" s="4"/>
    </row>
    <row r="485" spans="1:28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AA485" s="4"/>
      <c r="AB485" s="4"/>
    </row>
    <row r="486" spans="1:28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AA486" s="4"/>
      <c r="AB486" s="4"/>
    </row>
    <row r="487" spans="1:28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AA487" s="4"/>
      <c r="AB487" s="4"/>
    </row>
    <row r="488" spans="1:28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AA488" s="4"/>
      <c r="AB488" s="4"/>
    </row>
    <row r="489" spans="1:28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AA489" s="4"/>
      <c r="AB489" s="4"/>
    </row>
    <row r="490" spans="1:28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AA490" s="4"/>
      <c r="AB490" s="4"/>
    </row>
    <row r="491" spans="1:28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AA491" s="4"/>
      <c r="AB491" s="4"/>
    </row>
    <row r="492" spans="1:28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AA492" s="4"/>
      <c r="AB492" s="4"/>
    </row>
    <row r="493" spans="1:28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AA493" s="4"/>
      <c r="AB493" s="4"/>
    </row>
    <row r="494" spans="1:28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AA494" s="4"/>
      <c r="AB494" s="4"/>
    </row>
    <row r="495" spans="1:28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AA495" s="4"/>
      <c r="AB495" s="4"/>
    </row>
    <row r="496" spans="1:28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AA496" s="4"/>
      <c r="AB496" s="4"/>
    </row>
    <row r="497" spans="1:28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AA497" s="4"/>
      <c r="AB497" s="4"/>
    </row>
    <row r="498" spans="1:28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AA498" s="4"/>
      <c r="AB498" s="4"/>
    </row>
    <row r="499" spans="1:28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AA499" s="4"/>
      <c r="AB499" s="4"/>
    </row>
    <row r="500" spans="1:28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AA500" s="4"/>
      <c r="AB500" s="4"/>
    </row>
    <row r="501" spans="1:28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AA501" s="4"/>
      <c r="AB501" s="4"/>
    </row>
    <row r="502" spans="1:28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AA502" s="4"/>
      <c r="AB502" s="4"/>
    </row>
    <row r="503" spans="1:28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AA503" s="4"/>
      <c r="AB503" s="4"/>
    </row>
    <row r="504" spans="1:28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AA504" s="4"/>
      <c r="AB504" s="4"/>
    </row>
    <row r="505" spans="1:28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AA505" s="4"/>
      <c r="AB505" s="4"/>
    </row>
    <row r="506" spans="1:28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AA506" s="4"/>
      <c r="AB506" s="4"/>
    </row>
    <row r="507" spans="1:28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AA507" s="4"/>
      <c r="AB507" s="4"/>
    </row>
    <row r="508" spans="1:28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AA508" s="4"/>
      <c r="AB508" s="4"/>
    </row>
    <row r="509" spans="1:28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AA509" s="4"/>
      <c r="AB509" s="4"/>
    </row>
    <row r="510" spans="1:28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AA510" s="4"/>
      <c r="AB510" s="4"/>
    </row>
    <row r="511" spans="1:28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AA511" s="4"/>
      <c r="AB511" s="4"/>
    </row>
    <row r="512" spans="1:28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AA512" s="4"/>
      <c r="AB512" s="4"/>
    </row>
    <row r="513" spans="1:28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AA513" s="4"/>
      <c r="AB513" s="4"/>
    </row>
    <row r="514" spans="1:28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AA514" s="4"/>
      <c r="AB514" s="4"/>
    </row>
    <row r="515" spans="1:28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AA515" s="4"/>
      <c r="AB515" s="4"/>
    </row>
    <row r="516" spans="1:28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AA516" s="4"/>
      <c r="AB516" s="4"/>
    </row>
    <row r="517" spans="1:28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AA517" s="4"/>
      <c r="AB517" s="4"/>
    </row>
    <row r="518" spans="1:28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AA518" s="4"/>
      <c r="AB518" s="4"/>
    </row>
    <row r="519" spans="1:28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AA519" s="4"/>
      <c r="AB519" s="4"/>
    </row>
    <row r="520" spans="1:28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AA520" s="4"/>
      <c r="AB520" s="4"/>
    </row>
    <row r="521" spans="1:28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AA521" s="4"/>
      <c r="AB521" s="4"/>
    </row>
    <row r="522" spans="1:28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AA522" s="4"/>
      <c r="AB522" s="4"/>
    </row>
    <row r="523" spans="1:28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AA523" s="4"/>
      <c r="AB523" s="4"/>
    </row>
    <row r="524" spans="1:28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AA524" s="4"/>
      <c r="AB524" s="4"/>
    </row>
    <row r="525" spans="1:28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AA525" s="4"/>
      <c r="AB525" s="4"/>
    </row>
    <row r="526" spans="1:28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AA526" s="4"/>
      <c r="AB526" s="4"/>
    </row>
    <row r="527" spans="1:28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AA527" s="4"/>
      <c r="AB527" s="4"/>
    </row>
    <row r="528" spans="1:28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AA528" s="4"/>
      <c r="AB528" s="4"/>
    </row>
    <row r="529" spans="1:28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AA529" s="4"/>
      <c r="AB529" s="4"/>
    </row>
    <row r="530" spans="1:28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AA530" s="4"/>
      <c r="AB530" s="4"/>
    </row>
    <row r="531" spans="1:28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AA531" s="4"/>
      <c r="AB531" s="4"/>
    </row>
    <row r="532" spans="1:28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AA532" s="4"/>
      <c r="AB532" s="4"/>
    </row>
    <row r="533" spans="1:28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AA533" s="4"/>
      <c r="AB533" s="4"/>
    </row>
    <row r="534" spans="1:28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AA534" s="4"/>
      <c r="AB534" s="4"/>
    </row>
    <row r="535" spans="1:28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AA535" s="4"/>
      <c r="AB535" s="4"/>
    </row>
    <row r="536" spans="1:28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AA536" s="4"/>
      <c r="AB536" s="4"/>
    </row>
    <row r="537" spans="1:28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AA537" s="4"/>
      <c r="AB537" s="4"/>
    </row>
    <row r="538" spans="1:28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AA538" s="4"/>
      <c r="AB538" s="4"/>
    </row>
    <row r="539" spans="1:28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AA539" s="4"/>
      <c r="AB539" s="4"/>
    </row>
    <row r="540" spans="1:28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AA540" s="4"/>
      <c r="AB540" s="4"/>
    </row>
    <row r="541" spans="1:28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AA541" s="4"/>
      <c r="AB541" s="4"/>
    </row>
    <row r="542" spans="1:28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AA542" s="4"/>
      <c r="AB542" s="4"/>
    </row>
    <row r="543" spans="1:28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AA543" s="4"/>
      <c r="AB543" s="4"/>
    </row>
    <row r="544" spans="1:28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AA544" s="4"/>
      <c r="AB544" s="4"/>
    </row>
    <row r="545" spans="1:28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AA545" s="4"/>
      <c r="AB545" s="4"/>
    </row>
    <row r="546" spans="1:28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AA546" s="4"/>
      <c r="AB546" s="4"/>
    </row>
    <row r="547" spans="1:28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AA547" s="4"/>
      <c r="AB547" s="4"/>
    </row>
    <row r="548" spans="1:28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AA548" s="4"/>
      <c r="AB548" s="4"/>
    </row>
    <row r="549" spans="1:28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AA549" s="4"/>
      <c r="AB549" s="4"/>
    </row>
    <row r="550" spans="1:28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AA550" s="4"/>
      <c r="AB550" s="4"/>
    </row>
    <row r="551" spans="1:28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AA551" s="4"/>
      <c r="AB551" s="4"/>
    </row>
    <row r="552" spans="1:28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AA552" s="4"/>
      <c r="AB552" s="4"/>
    </row>
    <row r="553" spans="1:28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AA553" s="4"/>
      <c r="AB553" s="4"/>
    </row>
    <row r="554" spans="1:28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AA554" s="4"/>
      <c r="AB554" s="4"/>
    </row>
    <row r="555" spans="1:28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AA555" s="4"/>
      <c r="AB555" s="4"/>
    </row>
    <row r="556" spans="1:28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AA556" s="4"/>
      <c r="AB556" s="4"/>
    </row>
    <row r="557" spans="1:28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AA557" s="4"/>
      <c r="AB557" s="4"/>
    </row>
    <row r="558" spans="1:28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AA558" s="4"/>
      <c r="AB558" s="4"/>
    </row>
    <row r="559" spans="1:28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AA559" s="4"/>
      <c r="AB559" s="4"/>
    </row>
    <row r="560" spans="1:28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AA560" s="4"/>
      <c r="AB560" s="4"/>
    </row>
    <row r="561" spans="1:28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AA561" s="4"/>
      <c r="AB561" s="4"/>
    </row>
    <row r="562" spans="1:28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AA562" s="4"/>
      <c r="AB562" s="4"/>
    </row>
    <row r="563" spans="1:28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AA563" s="4"/>
      <c r="AB563" s="4"/>
    </row>
    <row r="564" spans="1:28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AA564" s="4"/>
      <c r="AB564" s="4"/>
    </row>
    <row r="565" spans="1:28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AA565" s="4"/>
      <c r="AB565" s="4"/>
    </row>
    <row r="566" spans="1:28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AA566" s="4"/>
      <c r="AB566" s="4"/>
    </row>
    <row r="567" spans="1:28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AA567" s="4"/>
      <c r="AB567" s="4"/>
    </row>
    <row r="568" spans="1:28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AA568" s="4"/>
      <c r="AB568" s="4"/>
    </row>
    <row r="569" spans="1:28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AA569" s="4"/>
      <c r="AB569" s="4"/>
    </row>
    <row r="570" spans="1:28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AA570" s="4"/>
      <c r="AB570" s="4"/>
    </row>
    <row r="571" spans="1:28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AA571" s="4"/>
      <c r="AB571" s="4"/>
    </row>
    <row r="572" spans="1:28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AA572" s="4"/>
      <c r="AB572" s="4"/>
    </row>
    <row r="573" spans="1:28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AA573" s="4"/>
      <c r="AB573" s="4"/>
    </row>
    <row r="574" spans="1:28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AA574" s="4"/>
      <c r="AB574" s="4"/>
    </row>
    <row r="575" spans="1:28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AA575" s="4"/>
      <c r="AB575" s="4"/>
    </row>
    <row r="576" spans="1:28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AA576" s="4"/>
      <c r="AB576" s="4"/>
    </row>
    <row r="577" spans="1:28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AA577" s="4"/>
      <c r="AB577" s="4"/>
    </row>
    <row r="578" spans="1:28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AA578" s="4"/>
      <c r="AB578" s="4"/>
    </row>
    <row r="579" spans="1:28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AA579" s="4"/>
      <c r="AB579" s="4"/>
    </row>
    <row r="580" spans="1:28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AA580" s="4"/>
      <c r="AB580" s="4"/>
    </row>
    <row r="581" spans="1:28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AA581" s="4"/>
      <c r="AB581" s="4"/>
    </row>
    <row r="582" spans="1:28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AA582" s="4"/>
      <c r="AB582" s="4"/>
    </row>
    <row r="583" spans="1:28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AA583" s="4"/>
      <c r="AB583" s="4"/>
    </row>
    <row r="584" spans="1:28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AA584" s="4"/>
      <c r="AB584" s="4"/>
    </row>
    <row r="585" spans="1:28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AA585" s="4"/>
      <c r="AB585" s="4"/>
    </row>
    <row r="586" spans="1:28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AA586" s="4"/>
      <c r="AB586" s="4"/>
    </row>
    <row r="587" spans="1:28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AA587" s="4"/>
      <c r="AB587" s="4"/>
    </row>
    <row r="588" spans="1:28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AA588" s="4"/>
      <c r="AB588" s="4"/>
    </row>
    <row r="589" spans="1:28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AA589" s="4"/>
      <c r="AB589" s="4"/>
    </row>
    <row r="590" spans="1:28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AA590" s="4"/>
      <c r="AB590" s="4"/>
    </row>
    <row r="591" spans="1:28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AA591" s="4"/>
      <c r="AB591" s="4"/>
    </row>
    <row r="592" spans="1:28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AA592" s="4"/>
      <c r="AB592" s="4"/>
    </row>
    <row r="593" spans="1:28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AA593" s="4"/>
      <c r="AB593" s="4"/>
    </row>
    <row r="594" spans="1:28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AA594" s="4"/>
      <c r="AB594" s="4"/>
    </row>
    <row r="595" spans="1:28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AA595" s="4"/>
      <c r="AB595" s="4"/>
    </row>
    <row r="596" spans="1:28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AA596" s="4"/>
      <c r="AB596" s="4"/>
    </row>
    <row r="597" spans="1:28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AA597" s="4"/>
      <c r="AB597" s="4"/>
    </row>
    <row r="598" spans="1:28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AA598" s="4"/>
      <c r="AB598" s="4"/>
    </row>
    <row r="599" spans="1:28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AA599" s="4"/>
      <c r="AB599" s="4"/>
    </row>
    <row r="600" spans="1:28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AA600" s="4"/>
      <c r="AB600" s="4"/>
    </row>
    <row r="601" spans="1:28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AA601" s="4"/>
      <c r="AB601" s="4"/>
    </row>
    <row r="602" spans="1:28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AA602" s="4"/>
      <c r="AB602" s="4"/>
    </row>
    <row r="603" spans="1:28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AA603" s="4"/>
      <c r="AB603" s="4"/>
    </row>
    <row r="604" spans="1:28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AA604" s="4"/>
      <c r="AB604" s="4"/>
    </row>
    <row r="605" spans="1:28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AA605" s="4"/>
      <c r="AB605" s="4"/>
    </row>
    <row r="606" spans="1:28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AA606" s="4"/>
      <c r="AB606" s="4"/>
    </row>
    <row r="607" spans="1:28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AA607" s="4"/>
      <c r="AB607" s="4"/>
    </row>
    <row r="608" spans="1:28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AA608" s="4"/>
      <c r="AB608" s="4"/>
    </row>
    <row r="609" spans="1:28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AA609" s="4"/>
      <c r="AB609" s="4"/>
    </row>
    <row r="610" spans="1:28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AA610" s="4"/>
      <c r="AB610" s="4"/>
    </row>
    <row r="611" spans="1:28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AA611" s="4"/>
      <c r="AB611" s="4"/>
    </row>
    <row r="612" spans="1:28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AA612" s="4"/>
      <c r="AB612" s="4"/>
    </row>
    <row r="613" spans="1:28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AA613" s="4"/>
      <c r="AB613" s="4"/>
    </row>
    <row r="614" spans="1:28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AA614" s="4"/>
      <c r="AB614" s="4"/>
    </row>
    <row r="615" spans="1:28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AA615" s="4"/>
      <c r="AB615" s="4"/>
    </row>
    <row r="616" spans="1:28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AA616" s="4"/>
      <c r="AB616" s="4"/>
    </row>
    <row r="617" spans="1:28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AA617" s="4"/>
      <c r="AB617" s="4"/>
    </row>
    <row r="618" spans="1:28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AA618" s="4"/>
      <c r="AB618" s="4"/>
    </row>
    <row r="619" spans="1:28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AA619" s="4"/>
      <c r="AB619" s="4"/>
    </row>
    <row r="620" spans="1:28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AA620" s="4"/>
      <c r="AB620" s="4"/>
    </row>
    <row r="621" spans="1:28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AA621" s="4"/>
      <c r="AB621" s="4"/>
    </row>
    <row r="622" spans="1:28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AA622" s="4"/>
      <c r="AB622" s="4"/>
    </row>
    <row r="623" spans="1:28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AA623" s="4"/>
      <c r="AB623" s="4"/>
    </row>
    <row r="624" spans="1:28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AA624" s="4"/>
      <c r="AB624" s="4"/>
    </row>
    <row r="625" spans="1:28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AA625" s="4"/>
      <c r="AB625" s="4"/>
    </row>
    <row r="626" spans="1:28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AA626" s="4"/>
      <c r="AB626" s="4"/>
    </row>
    <row r="627" spans="1:28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AA627" s="4"/>
      <c r="AB627" s="4"/>
    </row>
    <row r="628" spans="1:28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AA628" s="4"/>
      <c r="AB628" s="4"/>
    </row>
    <row r="629" spans="1:28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AA629" s="4"/>
      <c r="AB629" s="4"/>
    </row>
    <row r="630" spans="1:28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AA630" s="4"/>
      <c r="AB630" s="4"/>
    </row>
    <row r="631" spans="1:28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AA631" s="4"/>
      <c r="AB631" s="4"/>
    </row>
    <row r="632" spans="1:28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AA632" s="4"/>
      <c r="AB632" s="4"/>
    </row>
    <row r="633" spans="1:28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AA633" s="4"/>
      <c r="AB633" s="4"/>
    </row>
    <row r="634" spans="1:28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AA634" s="4"/>
      <c r="AB634" s="4"/>
    </row>
    <row r="635" spans="1:28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AA635" s="4"/>
      <c r="AB635" s="4"/>
    </row>
    <row r="636" spans="1:28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AA636" s="4"/>
      <c r="AB636" s="4"/>
    </row>
    <row r="637" spans="1:28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AA637" s="4"/>
      <c r="AB637" s="4"/>
    </row>
    <row r="638" spans="1:28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AA638" s="4"/>
      <c r="AB638" s="4"/>
    </row>
    <row r="639" spans="1:28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AA639" s="4"/>
      <c r="AB639" s="4"/>
    </row>
    <row r="640" spans="1:28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AA640" s="4"/>
      <c r="AB640" s="4"/>
    </row>
    <row r="641" spans="1:28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AA641" s="4"/>
      <c r="AB641" s="4"/>
    </row>
    <row r="642" spans="1:28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AA642" s="4"/>
      <c r="AB642" s="4"/>
    </row>
    <row r="643" spans="1:28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AA643" s="4"/>
      <c r="AB643" s="4"/>
    </row>
    <row r="644" spans="1:28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AA644" s="4"/>
      <c r="AB644" s="4"/>
    </row>
    <row r="645" spans="1:28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AA645" s="4"/>
      <c r="AB645" s="4"/>
    </row>
    <row r="646" spans="1:28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AA646" s="4"/>
      <c r="AB646" s="4"/>
    </row>
    <row r="647" spans="1:28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AA647" s="4"/>
      <c r="AB647" s="4"/>
    </row>
    <row r="648" spans="1:28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AA648" s="4"/>
      <c r="AB648" s="4"/>
    </row>
    <row r="649" spans="1:28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AA649" s="4"/>
      <c r="AB649" s="4"/>
    </row>
    <row r="650" spans="1:28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AA650" s="4"/>
      <c r="AB650" s="4"/>
    </row>
    <row r="651" spans="1:28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AA651" s="4"/>
      <c r="AB651" s="4"/>
    </row>
    <row r="652" spans="1:28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AA652" s="4"/>
      <c r="AB652" s="4"/>
    </row>
    <row r="653" spans="1:28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AA653" s="4"/>
      <c r="AB653" s="4"/>
    </row>
    <row r="654" spans="1:28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AA654" s="4"/>
      <c r="AB654" s="4"/>
    </row>
    <row r="655" spans="1:28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AA655" s="4"/>
      <c r="AB655" s="4"/>
    </row>
    <row r="656" spans="1:28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AA656" s="4"/>
      <c r="AB656" s="4"/>
    </row>
    <row r="657" spans="1:28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AA657" s="4"/>
      <c r="AB657" s="4"/>
    </row>
    <row r="658" spans="1:28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AA658" s="4"/>
      <c r="AB658" s="4"/>
    </row>
    <row r="659" spans="1:28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AA659" s="4"/>
      <c r="AB659" s="4"/>
    </row>
    <row r="660" spans="1:28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AA660" s="4"/>
      <c r="AB660" s="4"/>
    </row>
    <row r="661" spans="1:28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AA661" s="4"/>
      <c r="AB661" s="4"/>
    </row>
    <row r="662" spans="1:28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AA662" s="4"/>
      <c r="AB662" s="4"/>
    </row>
    <row r="663" spans="1:28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AA663" s="4"/>
      <c r="AB663" s="4"/>
    </row>
    <row r="664" spans="1:28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AA664" s="4"/>
      <c r="AB664" s="4"/>
    </row>
    <row r="665" spans="1:28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AA665" s="4"/>
      <c r="AB665" s="4"/>
    </row>
    <row r="666" spans="1:28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AA666" s="4"/>
      <c r="AB666" s="4"/>
    </row>
    <row r="667" spans="1:28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AA667" s="4"/>
      <c r="AB667" s="4"/>
    </row>
    <row r="668" spans="1:28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AA668" s="4"/>
      <c r="AB668" s="4"/>
    </row>
    <row r="669" spans="1:28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AA669" s="4"/>
      <c r="AB669" s="4"/>
    </row>
    <row r="670" spans="1:28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AA670" s="4"/>
      <c r="AB670" s="4"/>
    </row>
    <row r="671" spans="1:28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AA671" s="4"/>
      <c r="AB671" s="4"/>
    </row>
    <row r="672" spans="1:28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AA672" s="4"/>
      <c r="AB672" s="4"/>
    </row>
    <row r="673" spans="1:28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AA673" s="4"/>
      <c r="AB673" s="4"/>
    </row>
    <row r="674" spans="1:28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AA674" s="4"/>
      <c r="AB674" s="4"/>
    </row>
    <row r="675" spans="1:28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AA675" s="4"/>
      <c r="AB675" s="4"/>
    </row>
    <row r="676" spans="1:28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AA676" s="4"/>
      <c r="AB676" s="4"/>
    </row>
    <row r="677" spans="1:28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AA677" s="4"/>
      <c r="AB677" s="4"/>
    </row>
    <row r="678" spans="1:28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AA678" s="4"/>
      <c r="AB678" s="4"/>
    </row>
    <row r="679" spans="1:28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AA679" s="4"/>
      <c r="AB679" s="4"/>
    </row>
    <row r="680" spans="1:28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AA680" s="4"/>
      <c r="AB680" s="4"/>
    </row>
    <row r="681" spans="1:28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AA681" s="4"/>
      <c r="AB681" s="4"/>
    </row>
    <row r="682" spans="1:28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AA682" s="4"/>
      <c r="AB682" s="4"/>
    </row>
    <row r="683" spans="1:28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AA683" s="4"/>
      <c r="AB683" s="4"/>
    </row>
    <row r="684" spans="1:28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AA684" s="4"/>
      <c r="AB684" s="4"/>
    </row>
    <row r="685" spans="1:28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AA685" s="4"/>
      <c r="AB685" s="4"/>
    </row>
    <row r="686" spans="1:28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AA686" s="4"/>
      <c r="AB686" s="4"/>
    </row>
    <row r="687" spans="1:28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AA687" s="4"/>
      <c r="AB687" s="4"/>
    </row>
    <row r="688" spans="1:28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AA688" s="4"/>
      <c r="AB688" s="4"/>
    </row>
    <row r="689" spans="1:28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AA689" s="4"/>
      <c r="AB689" s="4"/>
    </row>
    <row r="690" spans="1:28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AA690" s="4"/>
      <c r="AB690" s="4"/>
    </row>
    <row r="691" spans="1:28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AA691" s="4"/>
      <c r="AB691" s="4"/>
    </row>
    <row r="692" spans="1:28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AA692" s="4"/>
      <c r="AB692" s="4"/>
    </row>
    <row r="693" spans="1:28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AA693" s="4"/>
      <c r="AB693" s="4"/>
    </row>
    <row r="694" spans="1:28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AA694" s="4"/>
      <c r="AB694" s="4"/>
    </row>
    <row r="695" spans="1:28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AA695" s="4"/>
      <c r="AB695" s="4"/>
    </row>
    <row r="696" spans="1:28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AA696" s="4"/>
      <c r="AB696" s="4"/>
    </row>
    <row r="697" spans="1:28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AA697" s="4"/>
      <c r="AB697" s="4"/>
    </row>
    <row r="698" spans="1:28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AA698" s="4"/>
      <c r="AB698" s="4"/>
    </row>
    <row r="699" spans="1:28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AA699" s="4"/>
      <c r="AB699" s="4"/>
    </row>
    <row r="700" spans="1:28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AA700" s="4"/>
      <c r="AB700" s="4"/>
    </row>
    <row r="701" spans="1:28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AA701" s="4"/>
      <c r="AB701" s="4"/>
    </row>
    <row r="702" spans="1:28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AA702" s="4"/>
      <c r="AB702" s="4"/>
    </row>
    <row r="703" spans="1:28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AA703" s="4"/>
      <c r="AB703" s="4"/>
    </row>
    <row r="704" spans="1:28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AA704" s="4"/>
      <c r="AB704" s="4"/>
    </row>
    <row r="705" spans="1:28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AA705" s="4"/>
      <c r="AB705" s="4"/>
    </row>
    <row r="706" spans="1:28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AA706" s="4"/>
      <c r="AB706" s="4"/>
    </row>
    <row r="707" spans="1:28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AA707" s="4"/>
      <c r="AB707" s="4"/>
    </row>
    <row r="708" spans="1:28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AA708" s="4"/>
      <c r="AB708" s="4"/>
    </row>
    <row r="709" spans="1:28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AA709" s="4"/>
      <c r="AB709" s="4"/>
    </row>
    <row r="710" spans="1:28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AA710" s="4"/>
      <c r="AB710" s="4"/>
    </row>
    <row r="711" spans="1:28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AA711" s="4"/>
      <c r="AB711" s="4"/>
    </row>
    <row r="712" spans="1:28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AA712" s="4"/>
      <c r="AB712" s="4"/>
    </row>
    <row r="713" spans="1:28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AA713" s="4"/>
      <c r="AB713" s="4"/>
    </row>
    <row r="714" spans="1:28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AA714" s="4"/>
      <c r="AB714" s="4"/>
    </row>
    <row r="715" spans="1:28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AA715" s="4"/>
      <c r="AB715" s="4"/>
    </row>
    <row r="716" spans="1:28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AA716" s="4"/>
      <c r="AB716" s="4"/>
    </row>
    <row r="717" spans="1:28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AA717" s="4"/>
      <c r="AB717" s="4"/>
    </row>
    <row r="718" spans="1:28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AA718" s="4"/>
      <c r="AB718" s="4"/>
    </row>
    <row r="719" spans="1:28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AA719" s="4"/>
      <c r="AB719" s="4"/>
    </row>
    <row r="720" spans="1:28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AA720" s="4"/>
      <c r="AB720" s="4"/>
    </row>
    <row r="721" spans="1:28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AA721" s="4"/>
      <c r="AB721" s="4"/>
    </row>
    <row r="722" spans="1:28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AA722" s="4"/>
      <c r="AB722" s="4"/>
    </row>
    <row r="723" spans="1:28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AA723" s="4"/>
      <c r="AB723" s="4"/>
    </row>
    <row r="724" spans="1:28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AA724" s="4"/>
      <c r="AB724" s="4"/>
    </row>
    <row r="725" spans="1:28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AA725" s="4"/>
      <c r="AB725" s="4"/>
    </row>
    <row r="726" spans="1:28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AA726" s="4"/>
      <c r="AB726" s="4"/>
    </row>
    <row r="727" spans="1:28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AA727" s="4"/>
      <c r="AB727" s="4"/>
    </row>
    <row r="728" spans="1:28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AA728" s="4"/>
      <c r="AB728" s="4"/>
    </row>
    <row r="729" spans="1:28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AA729" s="4"/>
      <c r="AB729" s="4"/>
    </row>
    <row r="730" spans="1:28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AA730" s="4"/>
      <c r="AB730" s="4"/>
    </row>
    <row r="731" spans="1:28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AA731" s="4"/>
      <c r="AB731" s="4"/>
    </row>
    <row r="732" spans="1:28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AA732" s="4"/>
      <c r="AB732" s="4"/>
    </row>
    <row r="733" spans="1:28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AA733" s="4"/>
      <c r="AB733" s="4"/>
    </row>
    <row r="734" spans="1:28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AA734" s="4"/>
      <c r="AB734" s="4"/>
    </row>
    <row r="735" spans="1:28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AA735" s="4"/>
      <c r="AB735" s="4"/>
    </row>
    <row r="736" spans="1:28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AA736" s="4"/>
      <c r="AB736" s="4"/>
    </row>
    <row r="737" spans="1:28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AA737" s="4"/>
      <c r="AB737" s="4"/>
    </row>
    <row r="738" spans="1:28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AA738" s="4"/>
      <c r="AB738" s="4"/>
    </row>
    <row r="739" spans="1:28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AA739" s="4"/>
      <c r="AB739" s="4"/>
    </row>
    <row r="740" spans="1:28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AA740" s="4"/>
      <c r="AB740" s="4"/>
    </row>
    <row r="741" spans="1:28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AA741" s="4"/>
      <c r="AB741" s="4"/>
    </row>
    <row r="742" spans="1:28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AA742" s="4"/>
      <c r="AB742" s="4"/>
    </row>
    <row r="743" spans="1:28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AA743" s="4"/>
      <c r="AB743" s="4"/>
    </row>
    <row r="744" spans="1:28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AA744" s="4"/>
      <c r="AB744" s="4"/>
    </row>
    <row r="745" spans="1:28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AA745" s="4"/>
      <c r="AB745" s="4"/>
    </row>
    <row r="746" spans="1:28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AA746" s="4"/>
      <c r="AB746" s="4"/>
    </row>
    <row r="747" spans="1:28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AA747" s="4"/>
      <c r="AB747" s="4"/>
    </row>
    <row r="748" spans="1:28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AA748" s="4"/>
      <c r="AB748" s="4"/>
    </row>
    <row r="749" spans="1:28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AA749" s="4"/>
      <c r="AB749" s="4"/>
    </row>
    <row r="750" spans="1:28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AA750" s="4"/>
      <c r="AB750" s="4"/>
    </row>
    <row r="751" spans="1:28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AA751" s="4"/>
      <c r="AB751" s="4"/>
    </row>
    <row r="752" spans="1:28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AA752" s="4"/>
      <c r="AB752" s="4"/>
    </row>
    <row r="753" spans="1:28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AA753" s="4"/>
      <c r="AB753" s="4"/>
    </row>
    <row r="754" spans="1:28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AA754" s="4"/>
      <c r="AB754" s="4"/>
    </row>
    <row r="755" spans="1:28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AA755" s="4"/>
      <c r="AB755" s="4"/>
    </row>
    <row r="756" spans="1:28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AA756" s="4"/>
      <c r="AB756" s="4"/>
    </row>
    <row r="757" spans="1:28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AA757" s="4"/>
      <c r="AB757" s="4"/>
    </row>
    <row r="758" spans="1:28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AA758" s="4"/>
      <c r="AB758" s="4"/>
    </row>
    <row r="759" spans="1:28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AA759" s="4"/>
      <c r="AB759" s="4"/>
    </row>
    <row r="760" spans="1:28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AA760" s="4"/>
      <c r="AB760" s="4"/>
    </row>
    <row r="761" spans="1:28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AA761" s="4"/>
      <c r="AB761" s="4"/>
    </row>
    <row r="762" spans="1:28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AA762" s="4"/>
      <c r="AB762" s="4"/>
    </row>
    <row r="763" spans="1:28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AA763" s="4"/>
      <c r="AB763" s="4"/>
    </row>
    <row r="764" spans="1:28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AA764" s="4"/>
      <c r="AB764" s="4"/>
    </row>
    <row r="765" spans="1:28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AA765" s="4"/>
      <c r="AB765" s="4"/>
    </row>
    <row r="766" spans="1:28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AA766" s="4"/>
      <c r="AB766" s="4"/>
    </row>
    <row r="767" spans="1:28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AA767" s="4"/>
      <c r="AB767" s="4"/>
    </row>
    <row r="768" spans="1:28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AA768" s="4"/>
      <c r="AB768" s="4"/>
    </row>
    <row r="769" spans="1:28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AA769" s="4"/>
      <c r="AB769" s="4"/>
    </row>
    <row r="770" spans="1:28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AA770" s="4"/>
      <c r="AB770" s="4"/>
    </row>
    <row r="771" spans="1:28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AA771" s="4"/>
      <c r="AB771" s="4"/>
    </row>
    <row r="772" spans="1:28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AA772" s="4"/>
      <c r="AB772" s="4"/>
    </row>
    <row r="773" spans="1:28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AA773" s="4"/>
      <c r="AB773" s="4"/>
    </row>
    <row r="774" spans="1:28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AA774" s="4"/>
      <c r="AB774" s="4"/>
    </row>
    <row r="775" spans="1:28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AA775" s="4"/>
      <c r="AB775" s="4"/>
    </row>
    <row r="776" spans="1:28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AA776" s="4"/>
      <c r="AB776" s="4"/>
    </row>
    <row r="777" spans="1:28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AA777" s="4"/>
      <c r="AB777" s="4"/>
    </row>
    <row r="778" spans="1:28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AA778" s="4"/>
      <c r="AB778" s="4"/>
    </row>
    <row r="779" spans="1:28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AA779" s="4"/>
      <c r="AB779" s="4"/>
    </row>
    <row r="780" spans="1:28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AA780" s="4"/>
      <c r="AB780" s="4"/>
    </row>
    <row r="781" spans="1:28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AA781" s="4"/>
      <c r="AB781" s="4"/>
    </row>
    <row r="782" spans="1:28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AA782" s="4"/>
      <c r="AB782" s="4"/>
    </row>
    <row r="783" spans="1:28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AA783" s="4"/>
      <c r="AB783" s="4"/>
    </row>
    <row r="784" spans="1:28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AA784" s="4"/>
      <c r="AB784" s="4"/>
    </row>
    <row r="785" spans="1:28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AA785" s="4"/>
      <c r="AB785" s="4"/>
    </row>
    <row r="786" spans="1:28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AA786" s="4"/>
      <c r="AB786" s="4"/>
    </row>
    <row r="787" spans="1:28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AA787" s="4"/>
      <c r="AB787" s="4"/>
    </row>
    <row r="788" spans="1:28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AA788" s="4"/>
      <c r="AB788" s="4"/>
    </row>
    <row r="789" spans="1:28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AA789" s="4"/>
      <c r="AB789" s="4"/>
    </row>
    <row r="790" spans="1:28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AA790" s="4"/>
      <c r="AB790" s="4"/>
    </row>
    <row r="791" spans="1:28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AA791" s="4"/>
      <c r="AB791" s="4"/>
    </row>
    <row r="792" spans="1:28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AA792" s="4"/>
      <c r="AB792" s="4"/>
    </row>
    <row r="793" spans="1:28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AA793" s="4"/>
      <c r="AB793" s="4"/>
    </row>
    <row r="794" spans="1:28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AA794" s="4"/>
      <c r="AB794" s="4"/>
    </row>
    <row r="795" spans="1:28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AA795" s="4"/>
      <c r="AB795" s="4"/>
    </row>
    <row r="796" spans="1:28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AA796" s="4"/>
      <c r="AB796" s="4"/>
    </row>
    <row r="797" spans="1:28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AA797" s="4"/>
      <c r="AB797" s="4"/>
    </row>
    <row r="798" spans="1:28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AA798" s="4"/>
      <c r="AB798" s="4"/>
    </row>
    <row r="799" spans="1:28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AA799" s="4"/>
      <c r="AB799" s="4"/>
    </row>
    <row r="800" spans="1:28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AA800" s="4"/>
      <c r="AB800" s="4"/>
    </row>
    <row r="801" spans="1:28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AA801" s="4"/>
      <c r="AB801" s="4"/>
    </row>
    <row r="802" spans="1:28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AA802" s="4"/>
      <c r="AB802" s="4"/>
    </row>
    <row r="803" spans="1:28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AA803" s="4"/>
      <c r="AB803" s="4"/>
    </row>
    <row r="804" spans="1:28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AA804" s="4"/>
      <c r="AB804" s="4"/>
    </row>
    <row r="805" spans="1:28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AA805" s="4"/>
      <c r="AB805" s="4"/>
    </row>
    <row r="806" spans="1:28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AA806" s="4"/>
      <c r="AB806" s="4"/>
    </row>
    <row r="807" spans="1:28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AA807" s="4"/>
      <c r="AB807" s="4"/>
    </row>
    <row r="808" spans="1:28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AA808" s="4"/>
      <c r="AB808" s="4"/>
    </row>
    <row r="809" spans="1:28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AA809" s="4"/>
      <c r="AB809" s="4"/>
    </row>
    <row r="810" spans="1:28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AA810" s="4"/>
      <c r="AB810" s="4"/>
    </row>
    <row r="811" spans="1:28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AA811" s="4"/>
      <c r="AB811" s="4"/>
    </row>
    <row r="812" spans="1:28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AA812" s="4"/>
      <c r="AB812" s="4"/>
    </row>
    <row r="813" spans="1:28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AA813" s="4"/>
      <c r="AB813" s="4"/>
    </row>
    <row r="814" spans="1:28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AA814" s="4"/>
      <c r="AB814" s="4"/>
    </row>
    <row r="815" spans="1:28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AA815" s="4"/>
      <c r="AB815" s="4"/>
    </row>
    <row r="816" spans="1:28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AA816" s="4"/>
      <c r="AB816" s="4"/>
    </row>
    <row r="817" spans="1:28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AA817" s="4"/>
      <c r="AB817" s="4"/>
    </row>
    <row r="818" spans="1:28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AA818" s="4"/>
      <c r="AB818" s="4"/>
    </row>
    <row r="819" spans="1:28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AA819" s="4"/>
      <c r="AB819" s="4"/>
    </row>
    <row r="820" spans="1:28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AA820" s="4"/>
      <c r="AB820" s="4"/>
    </row>
    <row r="821" spans="1:28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AA821" s="4"/>
      <c r="AB821" s="4"/>
    </row>
    <row r="822" spans="1:28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AA822" s="4"/>
      <c r="AB822" s="4"/>
    </row>
    <row r="823" spans="1:28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AA823" s="4"/>
      <c r="AB823" s="4"/>
    </row>
    <row r="824" spans="1:28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AA824" s="4"/>
      <c r="AB824" s="4"/>
    </row>
    <row r="825" spans="1:28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AA825" s="4"/>
      <c r="AB825" s="4"/>
    </row>
    <row r="826" spans="1:28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AA826" s="4"/>
      <c r="AB826" s="4"/>
    </row>
    <row r="827" spans="1:28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AA827" s="4"/>
      <c r="AB827" s="4"/>
    </row>
    <row r="828" spans="1:28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AA828" s="4"/>
      <c r="AB828" s="4"/>
    </row>
    <row r="829" spans="1:28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AA829" s="4"/>
      <c r="AB829" s="4"/>
    </row>
    <row r="830" spans="1:28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AA830" s="4"/>
      <c r="AB830" s="4"/>
    </row>
    <row r="831" spans="1:28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AA831" s="4"/>
      <c r="AB831" s="4"/>
    </row>
    <row r="832" spans="1:28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AA832" s="4"/>
      <c r="AB832" s="4"/>
    </row>
    <row r="833" spans="1:28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AA833" s="4"/>
      <c r="AB833" s="4"/>
    </row>
    <row r="834" spans="1:28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AA834" s="4"/>
      <c r="AB834" s="4"/>
    </row>
    <row r="835" spans="1:28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AA835" s="4"/>
      <c r="AB835" s="4"/>
    </row>
    <row r="836" spans="1:28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AA836" s="4"/>
      <c r="AB836" s="4"/>
    </row>
    <row r="837" spans="1:28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AA837" s="4"/>
      <c r="AB837" s="4"/>
    </row>
    <row r="838" spans="1:28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AA838" s="4"/>
      <c r="AB838" s="4"/>
    </row>
    <row r="839" spans="1:28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AA839" s="4"/>
      <c r="AB839" s="4"/>
    </row>
    <row r="840" spans="1:28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AA840" s="4"/>
      <c r="AB840" s="4"/>
    </row>
    <row r="841" spans="1:28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AA841" s="4"/>
      <c r="AB841" s="4"/>
    </row>
    <row r="842" spans="1:28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AA842" s="4"/>
      <c r="AB842" s="4"/>
    </row>
    <row r="843" spans="1:28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AA843" s="4"/>
      <c r="AB843" s="4"/>
    </row>
    <row r="844" spans="1:28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AA844" s="4"/>
      <c r="AB844" s="4"/>
    </row>
    <row r="845" spans="1:28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AA845" s="4"/>
      <c r="AB845" s="4"/>
    </row>
    <row r="846" spans="1:28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AA846" s="4"/>
      <c r="AB846" s="4"/>
    </row>
    <row r="847" spans="1:28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AA847" s="4"/>
      <c r="AB847" s="4"/>
    </row>
    <row r="848" spans="1:28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AA848" s="4"/>
      <c r="AB848" s="4"/>
    </row>
    <row r="849" spans="1:28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AA849" s="4"/>
      <c r="AB849" s="4"/>
    </row>
    <row r="850" spans="1:28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AA850" s="4"/>
      <c r="AB850" s="4"/>
    </row>
    <row r="851" spans="1:28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AA851" s="4"/>
      <c r="AB851" s="4"/>
    </row>
    <row r="852" spans="1:28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AA852" s="4"/>
      <c r="AB852" s="4"/>
    </row>
    <row r="853" spans="1:28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AA853" s="4"/>
      <c r="AB853" s="4"/>
    </row>
    <row r="854" spans="1:28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AA854" s="4"/>
      <c r="AB854" s="4"/>
    </row>
    <row r="855" spans="1:28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AA855" s="4"/>
      <c r="AB855" s="4"/>
    </row>
    <row r="856" spans="1:28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AA856" s="4"/>
      <c r="AB856" s="4"/>
    </row>
    <row r="857" spans="1:28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AA857" s="4"/>
      <c r="AB857" s="4"/>
    </row>
    <row r="858" spans="1:28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AA858" s="4"/>
      <c r="AB858" s="4"/>
    </row>
    <row r="859" spans="1:28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AA859" s="4"/>
      <c r="AB859" s="4"/>
    </row>
    <row r="860" spans="1:28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AA860" s="4"/>
      <c r="AB860" s="4"/>
    </row>
    <row r="861" spans="1:28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AA861" s="4"/>
      <c r="AB861" s="4"/>
    </row>
    <row r="862" spans="1:28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AA862" s="4"/>
      <c r="AB862" s="4"/>
    </row>
    <row r="863" spans="1:28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AA863" s="4"/>
      <c r="AB863" s="4"/>
    </row>
    <row r="864" spans="1:28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AA864" s="4"/>
      <c r="AB864" s="4"/>
    </row>
    <row r="865" spans="1:28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AA865" s="4"/>
      <c r="AB865" s="4"/>
    </row>
    <row r="866" spans="1:28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AA866" s="4"/>
      <c r="AB866" s="4"/>
    </row>
    <row r="867" spans="1:28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AA867" s="4"/>
      <c r="AB867" s="4"/>
    </row>
    <row r="868" spans="1:28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AA868" s="4"/>
      <c r="AB868" s="4"/>
    </row>
    <row r="869" spans="1:28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AA869" s="4"/>
      <c r="AB869" s="4"/>
    </row>
    <row r="870" spans="1:28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AA870" s="4"/>
      <c r="AB870" s="4"/>
    </row>
    <row r="871" spans="1:28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AA871" s="4"/>
      <c r="AB871" s="4"/>
    </row>
    <row r="872" spans="1:28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AA872" s="4"/>
      <c r="AB872" s="4"/>
    </row>
    <row r="873" spans="1:28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AA873" s="4"/>
      <c r="AB873" s="4"/>
    </row>
    <row r="874" spans="1:28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AA874" s="4"/>
      <c r="AB874" s="4"/>
    </row>
    <row r="875" spans="1:28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AA875" s="4"/>
      <c r="AB875" s="4"/>
    </row>
    <row r="876" spans="1:28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AA876" s="4"/>
      <c r="AB876" s="4"/>
    </row>
    <row r="877" spans="1:28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AA877" s="4"/>
      <c r="AB877" s="4"/>
    </row>
    <row r="878" spans="1:28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AA878" s="4"/>
      <c r="AB878" s="4"/>
    </row>
    <row r="879" spans="1:28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AA879" s="4"/>
      <c r="AB879" s="4"/>
    </row>
    <row r="880" spans="1:28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AA880" s="4"/>
      <c r="AB880" s="4"/>
    </row>
    <row r="881" spans="1:28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AA881" s="4"/>
      <c r="AB881" s="4"/>
    </row>
    <row r="882" spans="1:28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AA882" s="4"/>
      <c r="AB882" s="4"/>
    </row>
    <row r="883" spans="1:28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AA883" s="4"/>
      <c r="AB883" s="4"/>
    </row>
    <row r="884" spans="1:28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AA884" s="4"/>
      <c r="AB884" s="4"/>
    </row>
    <row r="885" spans="1:28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AA885" s="4"/>
      <c r="AB885" s="4"/>
    </row>
    <row r="886" spans="1:28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AA886" s="4"/>
      <c r="AB886" s="4"/>
    </row>
    <row r="887" spans="1:28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AA887" s="4"/>
      <c r="AB887" s="4"/>
    </row>
    <row r="888" spans="1:28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AA888" s="4"/>
      <c r="AB888" s="4"/>
    </row>
    <row r="889" spans="1:28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AA889" s="4"/>
      <c r="AB889" s="4"/>
    </row>
    <row r="890" spans="1:28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AA890" s="4"/>
      <c r="AB890" s="4"/>
    </row>
    <row r="891" spans="1:28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AA891" s="4"/>
      <c r="AB891" s="4"/>
    </row>
    <row r="892" spans="1:28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AA892" s="4"/>
      <c r="AB892" s="4"/>
    </row>
    <row r="893" spans="1:28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AA893" s="4"/>
      <c r="AB893" s="4"/>
    </row>
    <row r="894" spans="1:28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AA894" s="4"/>
      <c r="AB894" s="4"/>
    </row>
    <row r="895" spans="1:28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AA895" s="4"/>
      <c r="AB895" s="4"/>
    </row>
    <row r="896" spans="1:28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AA896" s="4"/>
      <c r="AB896" s="4"/>
    </row>
    <row r="897" spans="1:28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AA897" s="4"/>
      <c r="AB897" s="4"/>
    </row>
    <row r="898" spans="1:28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AA898" s="4"/>
      <c r="AB898" s="4"/>
    </row>
    <row r="899" spans="1:28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AA899" s="4"/>
      <c r="AB899" s="4"/>
    </row>
    <row r="900" spans="1:28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AA900" s="4"/>
      <c r="AB900" s="4"/>
    </row>
    <row r="901" spans="1:28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AA901" s="4"/>
      <c r="AB901" s="4"/>
    </row>
    <row r="902" spans="1:28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AA902" s="4"/>
      <c r="AB902" s="4"/>
    </row>
    <row r="903" spans="1:28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AA903" s="4"/>
      <c r="AB903" s="4"/>
    </row>
    <row r="904" spans="1:28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AA904" s="4"/>
      <c r="AB904" s="4"/>
    </row>
    <row r="905" spans="1:28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AA905" s="4"/>
      <c r="AB905" s="4"/>
    </row>
    <row r="906" spans="1:28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AA906" s="4"/>
      <c r="AB906" s="4"/>
    </row>
    <row r="907" spans="1:28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AA907" s="4"/>
      <c r="AB907" s="4"/>
    </row>
    <row r="908" spans="1:28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AA908" s="4"/>
      <c r="AB908" s="4"/>
    </row>
    <row r="909" spans="1:28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AA909" s="4"/>
      <c r="AB909" s="4"/>
    </row>
    <row r="910" spans="1:28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AA910" s="4"/>
      <c r="AB910" s="4"/>
    </row>
    <row r="911" spans="1:28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AA911" s="4"/>
      <c r="AB911" s="4"/>
    </row>
    <row r="912" spans="1:28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AA912" s="4"/>
      <c r="AB912" s="4"/>
    </row>
    <row r="913" spans="1:28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AA913" s="4"/>
      <c r="AB913" s="4"/>
    </row>
    <row r="914" spans="1:28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AA914" s="4"/>
      <c r="AB914" s="4"/>
    </row>
    <row r="915" spans="1:28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AA915" s="4"/>
      <c r="AB915" s="4"/>
    </row>
    <row r="916" spans="1:28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AA916" s="4"/>
      <c r="AB916" s="4"/>
    </row>
    <row r="917" spans="1:28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AA917" s="4"/>
      <c r="AB917" s="4"/>
    </row>
    <row r="918" spans="1:28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AA918" s="4"/>
      <c r="AB918" s="4"/>
    </row>
    <row r="919" spans="1:28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AA919" s="4"/>
      <c r="AB919" s="4"/>
    </row>
    <row r="920" spans="1:28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AA920" s="4"/>
      <c r="AB920" s="4"/>
    </row>
    <row r="921" spans="1:28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AA921" s="4"/>
      <c r="AB921" s="4"/>
    </row>
    <row r="922" spans="1:28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AA922" s="4"/>
      <c r="AB922" s="4"/>
    </row>
    <row r="923" spans="1:28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AA923" s="4"/>
      <c r="AB923" s="4"/>
    </row>
    <row r="924" spans="1:28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AA924" s="4"/>
      <c r="AB924" s="4"/>
    </row>
    <row r="925" spans="1:28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AA925" s="4"/>
      <c r="AB925" s="4"/>
    </row>
    <row r="926" spans="1:28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AA926" s="4"/>
      <c r="AB926" s="4"/>
    </row>
    <row r="927" spans="1:28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AA927" s="4"/>
      <c r="AB927" s="4"/>
    </row>
    <row r="928" spans="1:28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AA928" s="4"/>
      <c r="AB928" s="4"/>
    </row>
    <row r="929" spans="1:28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AA929" s="4"/>
      <c r="AB929" s="4"/>
    </row>
    <row r="930" spans="1:28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AA930" s="4"/>
      <c r="AB930" s="4"/>
    </row>
    <row r="931" spans="1:28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AA931" s="4"/>
      <c r="AB931" s="4"/>
    </row>
    <row r="932" spans="1:28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AA932" s="4"/>
      <c r="AB932" s="4"/>
    </row>
    <row r="933" spans="1:28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AA933" s="4"/>
      <c r="AB933" s="4"/>
    </row>
    <row r="934" spans="1:28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AA934" s="4"/>
      <c r="AB934" s="4"/>
    </row>
    <row r="935" spans="1:28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AA935" s="4"/>
      <c r="AB935" s="4"/>
    </row>
    <row r="936" spans="1:28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AA936" s="4"/>
      <c r="AB936" s="4"/>
    </row>
    <row r="937" spans="1:28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AA937" s="4"/>
      <c r="AB937" s="4"/>
    </row>
    <row r="938" spans="1:28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AA938" s="4"/>
      <c r="AB938" s="4"/>
    </row>
    <row r="939" spans="1:28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AA939" s="4"/>
      <c r="AB939" s="4"/>
    </row>
    <row r="940" spans="1:28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AA940" s="4"/>
      <c r="AB940" s="4"/>
    </row>
    <row r="941" spans="1:28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AA941" s="4"/>
      <c r="AB941" s="4"/>
    </row>
    <row r="942" spans="1:28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AA942" s="4"/>
      <c r="AB942" s="4"/>
    </row>
    <row r="943" spans="1:28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AA943" s="4"/>
      <c r="AB943" s="4"/>
    </row>
    <row r="944" spans="1:28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AA944" s="4"/>
      <c r="AB944" s="4"/>
    </row>
    <row r="945" spans="1:28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AA945" s="4"/>
      <c r="AB945" s="4"/>
    </row>
    <row r="946" spans="1:28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AA946" s="4"/>
      <c r="AB946" s="4"/>
    </row>
    <row r="947" spans="1:28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AA947" s="4"/>
      <c r="AB947" s="4"/>
    </row>
    <row r="948" spans="1:28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AA948" s="4"/>
      <c r="AB948" s="4"/>
    </row>
    <row r="949" spans="1:28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AA949" s="4"/>
      <c r="AB949" s="4"/>
    </row>
    <row r="950" spans="1:28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AA950" s="4"/>
      <c r="AB950" s="4"/>
    </row>
    <row r="951" spans="1:28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AA951" s="4"/>
      <c r="AB951" s="4"/>
    </row>
    <row r="952" spans="1:28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AA952" s="4"/>
      <c r="AB952" s="4"/>
    </row>
    <row r="953" spans="1:28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AA953" s="4"/>
      <c r="AB953" s="4"/>
    </row>
    <row r="954" spans="1:28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AA954" s="4"/>
      <c r="AB954" s="4"/>
    </row>
    <row r="955" spans="1:28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AA955" s="4"/>
      <c r="AB955" s="4"/>
    </row>
    <row r="956" spans="1:28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AA956" s="4"/>
      <c r="AB956" s="4"/>
    </row>
    <row r="957" spans="1:28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AA957" s="4"/>
      <c r="AB957" s="4"/>
    </row>
    <row r="958" spans="1:28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AA958" s="4"/>
      <c r="AB958" s="4"/>
    </row>
    <row r="959" spans="1:28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AA959" s="4"/>
      <c r="AB959" s="4"/>
    </row>
    <row r="960" spans="1:28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AA960" s="4"/>
      <c r="AB960" s="4"/>
    </row>
    <row r="961" spans="1:28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AA961" s="4"/>
      <c r="AB961" s="4"/>
    </row>
    <row r="962" spans="1:28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AA962" s="4"/>
      <c r="AB962" s="4"/>
    </row>
    <row r="963" spans="1:28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AA963" s="4"/>
      <c r="AB963" s="4"/>
    </row>
    <row r="964" spans="1:28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AA964" s="4"/>
      <c r="AB964" s="4"/>
    </row>
    <row r="965" spans="1:28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AA965" s="4"/>
      <c r="AB965" s="4"/>
    </row>
    <row r="966" spans="1:28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AA966" s="4"/>
      <c r="AB966" s="4"/>
    </row>
    <row r="967" spans="1:28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AA967" s="4"/>
      <c r="AB967" s="4"/>
    </row>
    <row r="968" spans="1:28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AA968" s="4"/>
      <c r="AB968" s="4"/>
    </row>
    <row r="969" spans="1:28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AA969" s="4"/>
      <c r="AB969" s="4"/>
    </row>
    <row r="970" spans="1:28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AA970" s="4"/>
      <c r="AB970" s="4"/>
    </row>
    <row r="971" spans="1:28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AA971" s="4"/>
      <c r="AB971" s="4"/>
    </row>
    <row r="972" spans="1:28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AA972" s="4"/>
      <c r="AB972" s="4"/>
    </row>
    <row r="973" spans="1:28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AA973" s="4"/>
      <c r="AB973" s="4"/>
    </row>
    <row r="974" spans="1:28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AA974" s="4"/>
      <c r="AB974" s="4"/>
    </row>
    <row r="975" spans="1:28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AA975" s="4"/>
      <c r="AB975" s="4"/>
    </row>
    <row r="976" spans="1:28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AA976" s="4"/>
      <c r="AB976" s="4"/>
    </row>
    <row r="977" spans="1:28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AA977" s="4"/>
      <c r="AB977" s="4"/>
    </row>
    <row r="978" spans="1:28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AA978" s="4"/>
      <c r="AB978" s="4"/>
    </row>
    <row r="979" spans="1:28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AA979" s="4"/>
      <c r="AB979" s="4"/>
    </row>
    <row r="980" spans="1:28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AA980" s="4"/>
      <c r="AB980" s="4"/>
    </row>
    <row r="981" spans="1:28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AA981" s="4"/>
      <c r="AB981" s="4"/>
    </row>
    <row r="982" spans="1:28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AA982" s="4"/>
      <c r="AB982" s="4"/>
    </row>
    <row r="983" spans="1:28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AA983" s="4"/>
      <c r="AB983" s="4"/>
    </row>
    <row r="984" spans="1:28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AA984" s="4"/>
      <c r="AB984" s="4"/>
    </row>
    <row r="985" spans="1:28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AA985" s="4"/>
      <c r="AB985" s="4"/>
    </row>
    <row r="986" spans="1:28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AA986" s="4"/>
      <c r="AB986" s="4"/>
    </row>
    <row r="987" spans="1:28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AA987" s="4"/>
      <c r="AB987" s="4"/>
    </row>
    <row r="988" spans="1:28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AA988" s="4"/>
      <c r="AB988" s="4"/>
    </row>
    <row r="989" spans="1:28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AA989" s="4"/>
      <c r="AB989" s="4"/>
    </row>
    <row r="990" spans="1:28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AA990" s="4"/>
      <c r="AB990" s="4"/>
    </row>
    <row r="991" spans="1:28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AA991" s="4"/>
      <c r="AB991" s="4"/>
    </row>
    <row r="992" spans="1:28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AA992" s="4"/>
      <c r="AB992" s="4"/>
    </row>
    <row r="993" spans="1:28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AA993" s="4"/>
      <c r="AB993" s="4"/>
    </row>
    <row r="994" spans="1:28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AA994" s="4"/>
      <c r="AB994" s="4"/>
    </row>
    <row r="995" spans="1:28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AA995" s="4"/>
      <c r="AB995" s="4"/>
    </row>
    <row r="996" spans="1:28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AA996" s="4"/>
      <c r="AB996" s="4"/>
    </row>
    <row r="997" spans="1:28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AA997" s="4"/>
      <c r="AB997" s="4"/>
    </row>
    <row r="998" spans="1:28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AA998" s="4"/>
      <c r="AB998" s="4"/>
    </row>
    <row r="999" spans="1:28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AA999" s="4"/>
      <c r="AB999" s="4"/>
    </row>
    <row r="1000" spans="1:28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AA1000" s="4"/>
      <c r="AB1000" s="4"/>
    </row>
  </sheetData>
  <mergeCells count="6">
    <mergeCell ref="P3:Q3"/>
    <mergeCell ref="A3:B3"/>
    <mergeCell ref="C3:F3"/>
    <mergeCell ref="G3:H3"/>
    <mergeCell ref="I3:J3"/>
    <mergeCell ref="K3:O3"/>
  </mergeCells>
  <conditionalFormatting sqref="A5:Q304">
    <cfRule type="expression" dxfId="4" priority="4">
      <formula>$Q5&lt;&gt;""</formula>
    </cfRule>
  </conditionalFormatting>
  <conditionalFormatting sqref="H5:H304">
    <cfRule type="expression" dxfId="3" priority="1">
      <formula>$R5=1</formula>
    </cfRule>
  </conditionalFormatting>
  <conditionalFormatting sqref="J5:J304">
    <cfRule type="expression" dxfId="2" priority="2">
      <formula>$S5=1</formula>
    </cfRule>
  </conditionalFormatting>
  <conditionalFormatting sqref="P5:P304">
    <cfRule type="expression" dxfId="1" priority="3">
      <formula>$T5=1</formula>
    </cfRule>
  </conditionalFormatting>
  <pageMargins left="0.75" right="0.75" top="1" bottom="1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42578125" defaultRowHeight="15" customHeight="1" x14ac:dyDescent="0.25"/>
  <cols>
    <col min="1" max="1" width="30" customWidth="1"/>
    <col min="2" max="54" width="14" customWidth="1"/>
  </cols>
  <sheetData>
    <row r="1" spans="1:54" ht="15" customHeight="1" x14ac:dyDescent="0.25">
      <c r="A1" s="5" t="s">
        <v>191</v>
      </c>
      <c r="B1" s="121" t="str">
        <f>IF(Crédits!A5="","Crédit 1",Crédits!A5)</f>
        <v>Prêt auto</v>
      </c>
      <c r="C1" s="111"/>
      <c r="D1" s="111"/>
      <c r="E1" s="111"/>
      <c r="F1" s="111"/>
      <c r="G1" s="111"/>
      <c r="H1" s="111"/>
      <c r="I1" s="122"/>
      <c r="J1" s="123" t="str">
        <f>IF(Crédits!A6="","Crédit 2",Crédits!A6)</f>
        <v>Carte revolving</v>
      </c>
      <c r="K1" s="111"/>
      <c r="L1" s="111"/>
      <c r="M1" s="111"/>
      <c r="N1" s="111"/>
      <c r="O1" s="111"/>
      <c r="P1" s="111"/>
      <c r="Q1" s="122"/>
      <c r="R1" s="124" t="str">
        <f>IF(Crédits!A7="","Crédit 3",Crédits!A7)</f>
        <v>Prêt travaux</v>
      </c>
      <c r="S1" s="111"/>
      <c r="T1" s="111"/>
      <c r="U1" s="111"/>
      <c r="V1" s="111"/>
      <c r="W1" s="111"/>
      <c r="X1" s="111"/>
      <c r="Y1" s="122"/>
      <c r="Z1" s="125" t="str">
        <f>IF(Crédits!A8="","Crédit 4",Crédits!A8)</f>
        <v>Prêt étudiant</v>
      </c>
      <c r="AA1" s="111"/>
      <c r="AB1" s="111"/>
      <c r="AC1" s="111"/>
      <c r="AD1" s="111"/>
      <c r="AE1" s="111"/>
      <c r="AF1" s="111"/>
      <c r="AG1" s="122"/>
      <c r="AH1" s="126" t="str">
        <f>IF(Crédits!A9="","Crédit 5",Crédits!A9)</f>
        <v>Dette perso A</v>
      </c>
      <c r="AI1" s="111"/>
      <c r="AJ1" s="111"/>
      <c r="AK1" s="111"/>
      <c r="AL1" s="111"/>
      <c r="AM1" s="111"/>
      <c r="AN1" s="111"/>
      <c r="AO1" s="122"/>
      <c r="AP1" s="127" t="str">
        <f>IF(Crédits!A10="","Crédit 6",Crédits!A10)</f>
        <v>Dette perso B</v>
      </c>
      <c r="AQ1" s="111"/>
      <c r="AR1" s="111"/>
      <c r="AS1" s="111"/>
      <c r="AT1" s="111"/>
      <c r="AU1" s="111"/>
      <c r="AV1" s="111"/>
      <c r="AW1" s="122"/>
      <c r="AX1" s="128" t="s">
        <v>192</v>
      </c>
      <c r="AY1" s="111"/>
      <c r="AZ1" s="111"/>
      <c r="BA1" s="111"/>
      <c r="BB1" s="109"/>
    </row>
    <row r="2" spans="1:54" ht="45" customHeight="1" x14ac:dyDescent="0.25">
      <c r="A2" s="3" t="s">
        <v>193</v>
      </c>
      <c r="B2" s="74" t="s">
        <v>194</v>
      </c>
      <c r="C2" s="74" t="s">
        <v>195</v>
      </c>
      <c r="D2" s="74" t="s">
        <v>196</v>
      </c>
      <c r="E2" s="74" t="s">
        <v>197</v>
      </c>
      <c r="F2" s="74" t="s">
        <v>198</v>
      </c>
      <c r="G2" s="74" t="s">
        <v>199</v>
      </c>
      <c r="H2" s="75" t="s">
        <v>200</v>
      </c>
      <c r="I2" s="76" t="s">
        <v>201</v>
      </c>
      <c r="J2" s="77" t="s">
        <v>194</v>
      </c>
      <c r="K2" s="77" t="s">
        <v>195</v>
      </c>
      <c r="L2" s="77" t="s">
        <v>196</v>
      </c>
      <c r="M2" s="77" t="s">
        <v>197</v>
      </c>
      <c r="N2" s="77" t="s">
        <v>198</v>
      </c>
      <c r="O2" s="77" t="s">
        <v>199</v>
      </c>
      <c r="P2" s="75" t="s">
        <v>200</v>
      </c>
      <c r="Q2" s="76" t="s">
        <v>201</v>
      </c>
      <c r="R2" s="78" t="s">
        <v>194</v>
      </c>
      <c r="S2" s="78" t="s">
        <v>195</v>
      </c>
      <c r="T2" s="78" t="s">
        <v>196</v>
      </c>
      <c r="U2" s="78" t="s">
        <v>197</v>
      </c>
      <c r="V2" s="78" t="s">
        <v>198</v>
      </c>
      <c r="W2" s="78" t="s">
        <v>199</v>
      </c>
      <c r="X2" s="75" t="s">
        <v>200</v>
      </c>
      <c r="Y2" s="76" t="s">
        <v>201</v>
      </c>
      <c r="Z2" s="79" t="s">
        <v>194</v>
      </c>
      <c r="AA2" s="79" t="s">
        <v>195</v>
      </c>
      <c r="AB2" s="79" t="s">
        <v>196</v>
      </c>
      <c r="AC2" s="79" t="s">
        <v>197</v>
      </c>
      <c r="AD2" s="79" t="s">
        <v>198</v>
      </c>
      <c r="AE2" s="79" t="s">
        <v>199</v>
      </c>
      <c r="AF2" s="75" t="s">
        <v>200</v>
      </c>
      <c r="AG2" s="76" t="s">
        <v>201</v>
      </c>
      <c r="AH2" s="80" t="s">
        <v>194</v>
      </c>
      <c r="AI2" s="80" t="s">
        <v>195</v>
      </c>
      <c r="AJ2" s="80" t="s">
        <v>196</v>
      </c>
      <c r="AK2" s="80" t="s">
        <v>197</v>
      </c>
      <c r="AL2" s="80" t="s">
        <v>198</v>
      </c>
      <c r="AM2" s="80" t="s">
        <v>199</v>
      </c>
      <c r="AN2" s="75" t="s">
        <v>200</v>
      </c>
      <c r="AO2" s="76" t="s">
        <v>201</v>
      </c>
      <c r="AP2" s="81" t="s">
        <v>194</v>
      </c>
      <c r="AQ2" s="81" t="s">
        <v>195</v>
      </c>
      <c r="AR2" s="81" t="s">
        <v>196</v>
      </c>
      <c r="AS2" s="81" t="s">
        <v>197</v>
      </c>
      <c r="AT2" s="81" t="s">
        <v>198</v>
      </c>
      <c r="AU2" s="81" t="s">
        <v>199</v>
      </c>
      <c r="AV2" s="75" t="s">
        <v>200</v>
      </c>
      <c r="AW2" s="76" t="s">
        <v>201</v>
      </c>
      <c r="AX2" s="82" t="s">
        <v>202</v>
      </c>
      <c r="AY2" s="82" t="s">
        <v>203</v>
      </c>
      <c r="AZ2" s="82" t="s">
        <v>204</v>
      </c>
      <c r="BA2" s="82" t="s">
        <v>205</v>
      </c>
      <c r="BB2" s="82" t="s">
        <v>206</v>
      </c>
    </row>
    <row r="3" spans="1:54" ht="15" customHeight="1" x14ac:dyDescent="0.25">
      <c r="A3" s="2">
        <v>1</v>
      </c>
      <c r="B3" s="83">
        <f>MAX(0,N(Crédits!$C$5))</f>
        <v>8200</v>
      </c>
      <c r="C3" s="83">
        <f>B3*N(Crédits!$D$5)/12</f>
        <v>33.483333333333334</v>
      </c>
      <c r="D3" s="83">
        <f>MIN(N(Crédits!$E$5),B3+C3)</f>
        <v>245.3</v>
      </c>
      <c r="E3" s="83">
        <f t="shared" ref="E3:E257" si="0">ROUND(B3+C3-D3,2)</f>
        <v>7988.18</v>
      </c>
      <c r="F3" s="86">
        <f>IF(Crédits!$K$5="",0,MAX(0,MIN(E3,Plan!$L$5-(IF(Crédits!$K$6="",0,IF(Crédits!$K$6&lt;Crédits!$K$5,M3,0))+IF(Crédits!$K$7="",0,IF(Crédits!$K$7&lt;Crédits!$K$5,U3,0))+IF(Crédits!$K$8="",0,IF(Crédits!$K$8&lt;Crédits!$K$5,AC3,0))+IF(Crédits!$K$9="",0,IF(Crédits!$K$9&lt;Crédits!$K$5,AK3,0))+IF(Crédits!$K$10="",0,IF(Crédits!$K$10&lt;Crédits!$K$5,AS3,0))))))</f>
        <v>0</v>
      </c>
      <c r="G3" s="87">
        <f t="shared" ref="G3:G257" si="1">ROUND(E3-F3,2)</f>
        <v>7988.18</v>
      </c>
      <c r="H3" s="88">
        <f>ROUND(MAX(0,N(Crédits!$C$5))+I3-MIN(N(Crédits!$E$5),MAX(0,N(Crédits!$C$5))+I3),2)</f>
        <v>7988.18</v>
      </c>
      <c r="I3" s="89">
        <f>MAX(0,N(Crédits!$C$5))*N(Crédits!$D$5)/12</f>
        <v>33.483333333333334</v>
      </c>
      <c r="J3" s="90">
        <f>MAX(0,N(Crédits!$C$6))</f>
        <v>1850</v>
      </c>
      <c r="K3" s="90">
        <f>J3*N(Crédits!$D$6)/12</f>
        <v>29.137499999999999</v>
      </c>
      <c r="L3" s="90">
        <f>MIN(N(Crédits!$E$6),J3+K3)</f>
        <v>72.400000000000006</v>
      </c>
      <c r="M3" s="90">
        <f t="shared" ref="M3:M257" si="2">ROUND(J3+K3-L3,2)</f>
        <v>1806.74</v>
      </c>
      <c r="N3" s="91">
        <f>IF(Crédits!$K$6="",0,MAX(0,MIN(M3,Plan!$L$5-(IF(Crédits!$K$5="",0,IF(Crédits!$K$5&lt;Crédits!$K$6,E3,0))+IF(Crédits!$K$7="",0,IF(Crédits!$K$7&lt;Crédits!$K$6,U3,0))+IF(Crédits!$K$8="",0,IF(Crédits!$K$8&lt;Crédits!$K$6,AC3,0))+IF(Crédits!$K$9="",0,IF(Crédits!$K$9&lt;Crédits!$K$6,AK3,0))+IF(Crédits!$K$10="",0,IF(Crédits!$K$10&lt;Crédits!$K$6,AS3,0))))))</f>
        <v>0</v>
      </c>
      <c r="O3" s="92">
        <f t="shared" ref="O3:O257" si="3">ROUND(M3-N3,2)</f>
        <v>1806.74</v>
      </c>
      <c r="P3" s="88">
        <f>ROUND(MAX(0,N(Crédits!$C$6))+Q3-MIN(N(Crédits!$E$6),MAX(0,N(Crédits!$C$6))+Q3),2)</f>
        <v>1806.74</v>
      </c>
      <c r="Q3" s="89">
        <f>MAX(0,N(Crédits!$C$6))*N(Crédits!$D$6)/12</f>
        <v>29.137499999999999</v>
      </c>
      <c r="R3" s="93">
        <f>MAX(0,N(Crédits!$C$7))</f>
        <v>3400</v>
      </c>
      <c r="S3" s="93">
        <f>R3*N(Crédits!$D$7)/12</f>
        <v>17.425000000000001</v>
      </c>
      <c r="T3" s="93">
        <f>MIN(N(Crédits!$E$7),R3+S3)</f>
        <v>118.75</v>
      </c>
      <c r="U3" s="93">
        <f t="shared" ref="U3:U257" si="4">ROUND(R3+S3-T3,2)</f>
        <v>3298.68</v>
      </c>
      <c r="V3" s="94">
        <f>IF(Crédits!$K$7="",0,MAX(0,MIN(U3,Plan!$L$5-(IF(Crédits!$K$5="",0,IF(Crédits!$K$5&lt;Crédits!$K$7,E3,0))+IF(Crédits!$K$6="",0,IF(Crédits!$K$6&lt;Crédits!$K$7,M3,0))+IF(Crédits!$K$8="",0,IF(Crédits!$K$8&lt;Crédits!$K$7,AC3,0))+IF(Crédits!$K$9="",0,IF(Crédits!$K$9&lt;Crédits!$K$7,AK3,0))+IF(Crédits!$K$10="",0,IF(Crédits!$K$10&lt;Crédits!$K$7,AS3,0))))))</f>
        <v>0</v>
      </c>
      <c r="W3" s="95">
        <f t="shared" ref="W3:W257" si="5">ROUND(U3-V3,2)</f>
        <v>3298.68</v>
      </c>
      <c r="X3" s="88">
        <f>ROUND(MAX(0,N(Crédits!$C$7))+Y3-MIN(N(Crédits!$E$7),MAX(0,N(Crédits!$C$7))+Y3),2)</f>
        <v>3298.68</v>
      </c>
      <c r="Y3" s="89">
        <f>MAX(0,N(Crédits!$C$7))*N(Crédits!$D$7)/12</f>
        <v>17.425000000000001</v>
      </c>
      <c r="Z3" s="96">
        <f>MAX(0,N(Crédits!$C$8))</f>
        <v>2100</v>
      </c>
      <c r="AA3" s="96">
        <f>Z3*N(Crédits!$D$8)/12</f>
        <v>2.1</v>
      </c>
      <c r="AB3" s="96">
        <f>MIN(N(Crédits!$E$8),Z3+AA3)</f>
        <v>95</v>
      </c>
      <c r="AC3" s="96">
        <f t="shared" ref="AC3:AC257" si="6">ROUND(Z3+AA3-AB3,2)</f>
        <v>2007.1</v>
      </c>
      <c r="AD3" s="97">
        <f>IF(Crédits!$K$8="",0,MAX(0,MIN(AC3,Plan!$L$5-(IF(Crédits!$K$5="",0,IF(Crédits!$K$5&lt;Crédits!$K$8,E3,0))+IF(Crédits!$K$6="",0,IF(Crédits!$K$6&lt;Crédits!$K$8,M3,0))+IF(Crédits!$K$7="",0,IF(Crédits!$K$7&lt;Crédits!$K$8,U3,0))+IF(Crédits!$K$9="",0,IF(Crédits!$K$9&lt;Crédits!$K$8,AK3,0))+IF(Crédits!$K$10="",0,IF(Crédits!$K$10&lt;Crédits!$K$8,AS3,0))))))</f>
        <v>0</v>
      </c>
      <c r="AE3" s="98">
        <f t="shared" ref="AE3:AE257" si="7">ROUND(AC3-AD3,2)</f>
        <v>2007.1</v>
      </c>
      <c r="AF3" s="88">
        <f>ROUND(MAX(0,N(Crédits!$C$8))+AG3-MIN(N(Crédits!$E$8),MAX(0,N(Crédits!$C$8))+AG3),2)</f>
        <v>2007.1</v>
      </c>
      <c r="AG3" s="89">
        <f>MAX(0,N(Crédits!$C$8))*N(Crédits!$D$8)/12</f>
        <v>2.1</v>
      </c>
      <c r="AH3" s="99">
        <f>MAX(0,N(Crédits!$C$9))</f>
        <v>600</v>
      </c>
      <c r="AI3" s="99">
        <f>AH3*N(Crédits!$D$9)/12</f>
        <v>0</v>
      </c>
      <c r="AJ3" s="99">
        <f>MIN(N(Crédits!$E$9),AH3+AI3)</f>
        <v>150</v>
      </c>
      <c r="AK3" s="99">
        <f t="shared" ref="AK3:AK257" si="8">ROUND(AH3+AI3-AJ3,2)</f>
        <v>450</v>
      </c>
      <c r="AL3" s="100">
        <f>IF(Crédits!$K$9="",0,MAX(0,MIN(AK3,Plan!$L$5-(IF(Crédits!$K$5="",0,IF(Crédits!$K$5&lt;Crédits!$K$9,E3,0))+IF(Crédits!$K$6="",0,IF(Crédits!$K$6&lt;Crédits!$K$9,M3,0))+IF(Crédits!$K$7="",0,IF(Crédits!$K$7&lt;Crédits!$K$9,U3,0))+IF(Crédits!$K$8="",0,IF(Crédits!$K$8&lt;Crédits!$K$9,AC3,0))+IF(Crédits!$K$10="",0,IF(Crédits!$K$10&lt;Crédits!$K$9,AS3,0))))))</f>
        <v>0</v>
      </c>
      <c r="AM3" s="101">
        <f t="shared" ref="AM3:AM257" si="9">ROUND(AK3-AL3,2)</f>
        <v>450</v>
      </c>
      <c r="AN3" s="88">
        <f>ROUND(MAX(0,N(Crédits!$C$9))+AO3-MIN(N(Crédits!$E$9),MAX(0,N(Crédits!$C$9))+AO3),2)</f>
        <v>450</v>
      </c>
      <c r="AO3" s="89">
        <f>MAX(0,N(Crédits!$C$9))*N(Crédits!$D$9)/12</f>
        <v>0</v>
      </c>
      <c r="AP3" s="102">
        <f>MAX(0,N(Crédits!$C$10))</f>
        <v>250</v>
      </c>
      <c r="AQ3" s="102">
        <f>AP3*N(Crédits!$D$10)/12</f>
        <v>0</v>
      </c>
      <c r="AR3" s="102">
        <f>MIN(N(Crédits!$E$10),AP3+AQ3)</f>
        <v>50</v>
      </c>
      <c r="AS3" s="102">
        <f t="shared" ref="AS3:AS257" si="10">ROUND(AP3+AQ3-AR3,2)</f>
        <v>200</v>
      </c>
      <c r="AT3" s="103">
        <f>IF(Crédits!$K$10="",0,MAX(0,MIN(AS3,Plan!$L$5-(IF(Crédits!$K$5="",0,IF(Crédits!$K$5&lt;Crédits!$K$10,E3,0))+IF(Crédits!$K$6="",0,IF(Crédits!$K$6&lt;Crédits!$K$10,M3,0))+IF(Crédits!$K$7="",0,IF(Crédits!$K$7&lt;Crédits!$K$10,U3,0))+IF(Crédits!$K$8="",0,IF(Crédits!$K$8&lt;Crédits!$K$10,AC3,0))+IF(Crédits!$K$9="",0,IF(Crédits!$K$9&lt;Crédits!$K$10,AK3,0))))))</f>
        <v>0</v>
      </c>
      <c r="AU3" s="104">
        <f t="shared" ref="AU3:AU257" si="11">ROUND(AS3-AT3,2)</f>
        <v>200</v>
      </c>
      <c r="AV3" s="88">
        <f>ROUND(MAX(0,N(Crédits!$C$10))+AW3-MIN(N(Crédits!$E$10),MAX(0,N(Crédits!$C$10))+AW3),2)</f>
        <v>200</v>
      </c>
      <c r="AW3" s="89">
        <f>MAX(0,N(Crédits!$C$10))*N(Crédits!$D$10)/12</f>
        <v>0</v>
      </c>
      <c r="AX3" s="105">
        <f t="shared" ref="AX3:AX257" si="12">D3+L3+T3+AB3+AJ3+AR3</f>
        <v>731.45</v>
      </c>
      <c r="AY3" s="105">
        <f t="shared" ref="AY3:AZ3" si="13">F3+N3+V3+AD3+AL3+AT3</f>
        <v>0</v>
      </c>
      <c r="AZ3" s="105">
        <f t="shared" si="13"/>
        <v>15750.7</v>
      </c>
      <c r="BA3" s="105">
        <f t="shared" ref="BA3:BA257" si="14">C3+K3+S3+AA3+AI3+AQ3</f>
        <v>82.145833333333329</v>
      </c>
      <c r="BB3" s="105">
        <f t="shared" ref="BB3:BB257" si="15">I3+Q3+Y3+AG3+AO3+AW3</f>
        <v>82.145833333333329</v>
      </c>
    </row>
    <row r="4" spans="1:54" ht="15" customHeight="1" x14ac:dyDescent="0.25">
      <c r="A4" s="2">
        <v>2</v>
      </c>
      <c r="B4" s="83">
        <f t="shared" ref="B4:B258" si="16">G3</f>
        <v>7988.18</v>
      </c>
      <c r="C4" s="83">
        <f>B4*N(Crédits!$D$5)/12</f>
        <v>32.618401666666671</v>
      </c>
      <c r="D4" s="83">
        <f>MIN(N(Crédits!$E$5),B4+C4)</f>
        <v>245.3</v>
      </c>
      <c r="E4" s="83">
        <f t="shared" si="0"/>
        <v>7775.5</v>
      </c>
      <c r="F4" s="86">
        <f>IF(Crédits!$K$5="",0,MAX(0,MIN(E4,Plan!$L$6-(IF(Crédits!$K$6="",0,IF(Crédits!$K$6&lt;Crédits!$K$5,M4,0))+IF(Crédits!$K$7="",0,IF(Crédits!$K$7&lt;Crédits!$K$5,U4,0))+IF(Crédits!$K$8="",0,IF(Crédits!$K$8&lt;Crédits!$K$5,AC4,0))+IF(Crédits!$K$9="",0,IF(Crédits!$K$9&lt;Crédits!$K$5,AK4,0))+IF(Crédits!$K$10="",0,IF(Crédits!$K$10&lt;Crédits!$K$5,AS4,0))))))</f>
        <v>0</v>
      </c>
      <c r="G4" s="87">
        <f t="shared" si="1"/>
        <v>7775.5</v>
      </c>
      <c r="H4" s="88">
        <f>ROUND(H3+I4-MIN(N(Crédits!$E$5),H3+I4),2)</f>
        <v>7775.5</v>
      </c>
      <c r="I4" s="89">
        <f>H3*N(Crédits!$D$5)/12</f>
        <v>32.618401666666671</v>
      </c>
      <c r="J4" s="90">
        <f t="shared" ref="J4:J258" si="17">O3</f>
        <v>1806.74</v>
      </c>
      <c r="K4" s="90">
        <f>J4*N(Crédits!$D$6)/12</f>
        <v>28.456154999999999</v>
      </c>
      <c r="L4" s="90">
        <f>MIN(N(Crédits!$E$6),J4+K4)</f>
        <v>72.400000000000006</v>
      </c>
      <c r="M4" s="90">
        <f t="shared" si="2"/>
        <v>1762.8</v>
      </c>
      <c r="N4" s="91">
        <f>IF(Crédits!$K$6="",0,MAX(0,MIN(M4,Plan!$L$6-(IF(Crédits!$K$5="",0,IF(Crédits!$K$5&lt;Crédits!$K$6,E4,0))+IF(Crédits!$K$7="",0,IF(Crédits!$K$7&lt;Crédits!$K$6,U4,0))+IF(Crédits!$K$8="",0,IF(Crédits!$K$8&lt;Crédits!$K$6,AC4,0))+IF(Crédits!$K$9="",0,IF(Crédits!$K$9&lt;Crédits!$K$6,AK4,0))+IF(Crédits!$K$10="",0,IF(Crédits!$K$10&lt;Crédits!$K$6,AS4,0))))))</f>
        <v>0</v>
      </c>
      <c r="O4" s="92">
        <f t="shared" si="3"/>
        <v>1762.8</v>
      </c>
      <c r="P4" s="88">
        <f>ROUND(P3+Q4-MIN(N(Crédits!$E$6),P3+Q4),2)</f>
        <v>1762.8</v>
      </c>
      <c r="Q4" s="89">
        <f>P3*N(Crédits!$D$6)/12</f>
        <v>28.456154999999999</v>
      </c>
      <c r="R4" s="93">
        <f t="shared" ref="R4:R258" si="18">W3</f>
        <v>3298.68</v>
      </c>
      <c r="S4" s="93">
        <f>R4*N(Crédits!$D$7)/12</f>
        <v>16.905735</v>
      </c>
      <c r="T4" s="93">
        <f>MIN(N(Crédits!$E$7),R4+S4)</f>
        <v>118.75</v>
      </c>
      <c r="U4" s="93">
        <f t="shared" si="4"/>
        <v>3196.84</v>
      </c>
      <c r="V4" s="94">
        <f>IF(Crédits!$K$7="",0,MAX(0,MIN(U4,Plan!$L$6-(IF(Crédits!$K$5="",0,IF(Crédits!$K$5&lt;Crédits!$K$7,E4,0))+IF(Crédits!$K$6="",0,IF(Crédits!$K$6&lt;Crédits!$K$7,M4,0))+IF(Crédits!$K$8="",0,IF(Crédits!$K$8&lt;Crédits!$K$7,AC4,0))+IF(Crédits!$K$9="",0,IF(Crédits!$K$9&lt;Crédits!$K$7,AK4,0))+IF(Crédits!$K$10="",0,IF(Crédits!$K$10&lt;Crédits!$K$7,AS4,0))))))</f>
        <v>0</v>
      </c>
      <c r="W4" s="95">
        <f t="shared" si="5"/>
        <v>3196.84</v>
      </c>
      <c r="X4" s="88">
        <f>ROUND(X3+Y4-MIN(N(Crédits!$E$7),X3+Y4),2)</f>
        <v>3196.84</v>
      </c>
      <c r="Y4" s="89">
        <f>X3*N(Crédits!$D$7)/12</f>
        <v>16.905735</v>
      </c>
      <c r="Z4" s="96">
        <f t="shared" ref="Z4:Z258" si="19">AE3</f>
        <v>2007.1</v>
      </c>
      <c r="AA4" s="96">
        <f>Z4*N(Crédits!$D$8)/12</f>
        <v>2.0070999999999999</v>
      </c>
      <c r="AB4" s="96">
        <f>MIN(N(Crédits!$E$8),Z4+AA4)</f>
        <v>95</v>
      </c>
      <c r="AC4" s="96">
        <f t="shared" si="6"/>
        <v>1914.11</v>
      </c>
      <c r="AD4" s="97">
        <f>IF(Crédits!$K$8="",0,MAX(0,MIN(AC4,Plan!$L$6-(IF(Crédits!$K$5="",0,IF(Crédits!$K$5&lt;Crédits!$K$8,E4,0))+IF(Crédits!$K$6="",0,IF(Crédits!$K$6&lt;Crédits!$K$8,M4,0))+IF(Crédits!$K$7="",0,IF(Crédits!$K$7&lt;Crédits!$K$8,U4,0))+IF(Crédits!$K$9="",0,IF(Crédits!$K$9&lt;Crédits!$K$8,AK4,0))+IF(Crédits!$K$10="",0,IF(Crédits!$K$10&lt;Crédits!$K$8,AS4,0))))))</f>
        <v>0</v>
      </c>
      <c r="AE4" s="98">
        <f t="shared" si="7"/>
        <v>1914.11</v>
      </c>
      <c r="AF4" s="88">
        <f>ROUND(AF3+AG4-MIN(N(Crédits!$E$8),AF3+AG4),2)</f>
        <v>1914.11</v>
      </c>
      <c r="AG4" s="89">
        <f>AF3*N(Crédits!$D$8)/12</f>
        <v>2.0070999999999999</v>
      </c>
      <c r="AH4" s="99">
        <f t="shared" ref="AH4:AH258" si="20">AM3</f>
        <v>450</v>
      </c>
      <c r="AI4" s="99">
        <f>AH4*N(Crédits!$D$9)/12</f>
        <v>0</v>
      </c>
      <c r="AJ4" s="99">
        <f>MIN(N(Crédits!$E$9),AH4+AI4)</f>
        <v>150</v>
      </c>
      <c r="AK4" s="99">
        <f t="shared" si="8"/>
        <v>300</v>
      </c>
      <c r="AL4" s="100">
        <f>IF(Crédits!$K$9="",0,MAX(0,MIN(AK4,Plan!$L$6-(IF(Crédits!$K$5="",0,IF(Crédits!$K$5&lt;Crédits!$K$9,E4,0))+IF(Crédits!$K$6="",0,IF(Crédits!$K$6&lt;Crédits!$K$9,M4,0))+IF(Crédits!$K$7="",0,IF(Crédits!$K$7&lt;Crédits!$K$9,U4,0))+IF(Crédits!$K$8="",0,IF(Crédits!$K$8&lt;Crédits!$K$9,AC4,0))+IF(Crédits!$K$10="",0,IF(Crédits!$K$10&lt;Crédits!$K$9,AS4,0))))))</f>
        <v>0</v>
      </c>
      <c r="AM4" s="101">
        <f t="shared" si="9"/>
        <v>300</v>
      </c>
      <c r="AN4" s="88">
        <f>ROUND(AN3+AO4-MIN(N(Crédits!$E$9),AN3+AO4),2)</f>
        <v>300</v>
      </c>
      <c r="AO4" s="89">
        <f>AN3*N(Crédits!$D$9)/12</f>
        <v>0</v>
      </c>
      <c r="AP4" s="102">
        <f t="shared" ref="AP4:AP258" si="21">AU3</f>
        <v>200</v>
      </c>
      <c r="AQ4" s="102">
        <f>AP4*N(Crédits!$D$10)/12</f>
        <v>0</v>
      </c>
      <c r="AR4" s="102">
        <f>MIN(N(Crédits!$E$10),AP4+AQ4)</f>
        <v>50</v>
      </c>
      <c r="AS4" s="102">
        <f t="shared" si="10"/>
        <v>150</v>
      </c>
      <c r="AT4" s="103">
        <f>IF(Crédits!$K$10="",0,MAX(0,MIN(AS4,Plan!$L$6-(IF(Crédits!$K$5="",0,IF(Crédits!$K$5&lt;Crédits!$K$10,E4,0))+IF(Crédits!$K$6="",0,IF(Crédits!$K$6&lt;Crédits!$K$10,M4,0))+IF(Crédits!$K$7="",0,IF(Crédits!$K$7&lt;Crédits!$K$10,U4,0))+IF(Crédits!$K$8="",0,IF(Crédits!$K$8&lt;Crédits!$K$10,AC4,0))+IF(Crédits!$K$9="",0,IF(Crédits!$K$9&lt;Crédits!$K$10,AK4,0))))))</f>
        <v>0</v>
      </c>
      <c r="AU4" s="104">
        <f t="shared" si="11"/>
        <v>150</v>
      </c>
      <c r="AV4" s="88">
        <f>ROUND(AV3+AW4-MIN(N(Crédits!$E$10),AV3+AW4),2)</f>
        <v>150</v>
      </c>
      <c r="AW4" s="89">
        <f>AV3*N(Crédits!$D$10)/12</f>
        <v>0</v>
      </c>
      <c r="AX4" s="105">
        <f t="shared" si="12"/>
        <v>731.45</v>
      </c>
      <c r="AY4" s="105">
        <f t="shared" ref="AY4:AZ4" si="22">F4+N4+V4+AD4+AL4+AT4</f>
        <v>0</v>
      </c>
      <c r="AZ4" s="105">
        <f t="shared" si="22"/>
        <v>15099.25</v>
      </c>
      <c r="BA4" s="105">
        <f t="shared" si="14"/>
        <v>79.987391666666653</v>
      </c>
      <c r="BB4" s="105">
        <f t="shared" si="15"/>
        <v>79.987391666666653</v>
      </c>
    </row>
    <row r="5" spans="1:54" ht="15" customHeight="1" x14ac:dyDescent="0.25">
      <c r="A5" s="2">
        <v>3</v>
      </c>
      <c r="B5" s="83">
        <f t="shared" si="16"/>
        <v>7775.5</v>
      </c>
      <c r="C5" s="83">
        <f>B5*N(Crédits!$D$5)/12</f>
        <v>31.749958333333336</v>
      </c>
      <c r="D5" s="83">
        <f>MIN(N(Crédits!$E$5),B5+C5)</f>
        <v>245.3</v>
      </c>
      <c r="E5" s="83">
        <f t="shared" si="0"/>
        <v>7561.95</v>
      </c>
      <c r="F5" s="86">
        <f>IF(Crédits!$K$5="",0,MAX(0,MIN(E5,Plan!$L$7-(IF(Crédits!$K$6="",0,IF(Crédits!$K$6&lt;Crédits!$K$5,M5,0))+IF(Crédits!$K$7="",0,IF(Crédits!$K$7&lt;Crédits!$K$5,U5,0))+IF(Crédits!$K$8="",0,IF(Crédits!$K$8&lt;Crédits!$K$5,AC5,0))+IF(Crédits!$K$9="",0,IF(Crédits!$K$9&lt;Crédits!$K$5,AK5,0))+IF(Crédits!$K$10="",0,IF(Crédits!$K$10&lt;Crédits!$K$5,AS5,0))))))</f>
        <v>0</v>
      </c>
      <c r="G5" s="87">
        <f t="shared" si="1"/>
        <v>7561.95</v>
      </c>
      <c r="H5" s="88">
        <f>ROUND(H4+I5-MIN(N(Crédits!$E$5),H4+I5),2)</f>
        <v>7561.95</v>
      </c>
      <c r="I5" s="89">
        <f>H4*N(Crédits!$D$5)/12</f>
        <v>31.749958333333336</v>
      </c>
      <c r="J5" s="90">
        <f t="shared" si="17"/>
        <v>1762.8</v>
      </c>
      <c r="K5" s="90">
        <f>J5*N(Crédits!$D$6)/12</f>
        <v>27.764099999999999</v>
      </c>
      <c r="L5" s="90">
        <f>MIN(N(Crédits!$E$6),J5+K5)</f>
        <v>72.400000000000006</v>
      </c>
      <c r="M5" s="90">
        <f t="shared" si="2"/>
        <v>1718.16</v>
      </c>
      <c r="N5" s="91">
        <f>IF(Crédits!$K$6="",0,MAX(0,MIN(M5,Plan!$L$7-(IF(Crédits!$K$5="",0,IF(Crédits!$K$5&lt;Crédits!$K$6,E5,0))+IF(Crédits!$K$7="",0,IF(Crédits!$K$7&lt;Crédits!$K$6,U5,0))+IF(Crédits!$K$8="",0,IF(Crédits!$K$8&lt;Crédits!$K$6,AC5,0))+IF(Crédits!$K$9="",0,IF(Crédits!$K$9&lt;Crédits!$K$6,AK5,0))+IF(Crédits!$K$10="",0,IF(Crédits!$K$10&lt;Crédits!$K$6,AS5,0))))))</f>
        <v>0</v>
      </c>
      <c r="O5" s="92">
        <f t="shared" si="3"/>
        <v>1718.16</v>
      </c>
      <c r="P5" s="88">
        <f>ROUND(P4+Q5-MIN(N(Crédits!$E$6),P4+Q5),2)</f>
        <v>1718.16</v>
      </c>
      <c r="Q5" s="89">
        <f>P4*N(Crédits!$D$6)/12</f>
        <v>27.764099999999999</v>
      </c>
      <c r="R5" s="93">
        <f t="shared" si="18"/>
        <v>3196.84</v>
      </c>
      <c r="S5" s="93">
        <f>R5*N(Crédits!$D$7)/12</f>
        <v>16.383804999999999</v>
      </c>
      <c r="T5" s="93">
        <f>MIN(N(Crédits!$E$7),R5+S5)</f>
        <v>118.75</v>
      </c>
      <c r="U5" s="93">
        <f t="shared" si="4"/>
        <v>3094.47</v>
      </c>
      <c r="V5" s="94">
        <f>IF(Crédits!$K$7="",0,MAX(0,MIN(U5,Plan!$L$7-(IF(Crédits!$K$5="",0,IF(Crédits!$K$5&lt;Crédits!$K$7,E5,0))+IF(Crédits!$K$6="",0,IF(Crédits!$K$6&lt;Crédits!$K$7,M5,0))+IF(Crédits!$K$8="",0,IF(Crédits!$K$8&lt;Crédits!$K$7,AC5,0))+IF(Crédits!$K$9="",0,IF(Crédits!$K$9&lt;Crédits!$K$7,AK5,0))+IF(Crédits!$K$10="",0,IF(Crédits!$K$10&lt;Crédits!$K$7,AS5,0))))))</f>
        <v>0</v>
      </c>
      <c r="W5" s="95">
        <f t="shared" si="5"/>
        <v>3094.47</v>
      </c>
      <c r="X5" s="88">
        <f>ROUND(X4+Y5-MIN(N(Crédits!$E$7),X4+Y5),2)</f>
        <v>3094.47</v>
      </c>
      <c r="Y5" s="89">
        <f>X4*N(Crédits!$D$7)/12</f>
        <v>16.383804999999999</v>
      </c>
      <c r="Z5" s="96">
        <f t="shared" si="19"/>
        <v>1914.11</v>
      </c>
      <c r="AA5" s="96">
        <f>Z5*N(Crédits!$D$8)/12</f>
        <v>1.91411</v>
      </c>
      <c r="AB5" s="96">
        <f>MIN(N(Crédits!$E$8),Z5+AA5)</f>
        <v>95</v>
      </c>
      <c r="AC5" s="96">
        <f t="shared" si="6"/>
        <v>1821.02</v>
      </c>
      <c r="AD5" s="97">
        <f>IF(Crédits!$K$8="",0,MAX(0,MIN(AC5,Plan!$L$7-(IF(Crédits!$K$5="",0,IF(Crédits!$K$5&lt;Crédits!$K$8,E5,0))+IF(Crédits!$K$6="",0,IF(Crédits!$K$6&lt;Crédits!$K$8,M5,0))+IF(Crédits!$K$7="",0,IF(Crédits!$K$7&lt;Crédits!$K$8,U5,0))+IF(Crédits!$K$9="",0,IF(Crédits!$K$9&lt;Crédits!$K$8,AK5,0))+IF(Crédits!$K$10="",0,IF(Crédits!$K$10&lt;Crédits!$K$8,AS5,0))))))</f>
        <v>0</v>
      </c>
      <c r="AE5" s="98">
        <f t="shared" si="7"/>
        <v>1821.02</v>
      </c>
      <c r="AF5" s="88">
        <f>ROUND(AF4+AG5-MIN(N(Crédits!$E$8),AF4+AG5),2)</f>
        <v>1821.02</v>
      </c>
      <c r="AG5" s="89">
        <f>AF4*N(Crédits!$D$8)/12</f>
        <v>1.91411</v>
      </c>
      <c r="AH5" s="99">
        <f t="shared" si="20"/>
        <v>300</v>
      </c>
      <c r="AI5" s="99">
        <f>AH5*N(Crédits!$D$9)/12</f>
        <v>0</v>
      </c>
      <c r="AJ5" s="99">
        <f>MIN(N(Crédits!$E$9),AH5+AI5)</f>
        <v>150</v>
      </c>
      <c r="AK5" s="99">
        <f t="shared" si="8"/>
        <v>150</v>
      </c>
      <c r="AL5" s="100">
        <f>IF(Crédits!$K$9="",0,MAX(0,MIN(AK5,Plan!$L$7-(IF(Crédits!$K$5="",0,IF(Crédits!$K$5&lt;Crédits!$K$9,E5,0))+IF(Crédits!$K$6="",0,IF(Crédits!$K$6&lt;Crédits!$K$9,M5,0))+IF(Crédits!$K$7="",0,IF(Crédits!$K$7&lt;Crédits!$K$9,U5,0))+IF(Crédits!$K$8="",0,IF(Crédits!$K$8&lt;Crédits!$K$9,AC5,0))+IF(Crédits!$K$10="",0,IF(Crédits!$K$10&lt;Crédits!$K$9,AS5,0))))))</f>
        <v>0</v>
      </c>
      <c r="AM5" s="101">
        <f t="shared" si="9"/>
        <v>150</v>
      </c>
      <c r="AN5" s="88">
        <f>ROUND(AN4+AO5-MIN(N(Crédits!$E$9),AN4+AO5),2)</f>
        <v>150</v>
      </c>
      <c r="AO5" s="89">
        <f>AN4*N(Crédits!$D$9)/12</f>
        <v>0</v>
      </c>
      <c r="AP5" s="102">
        <f t="shared" si="21"/>
        <v>150</v>
      </c>
      <c r="AQ5" s="102">
        <f>AP5*N(Crédits!$D$10)/12</f>
        <v>0</v>
      </c>
      <c r="AR5" s="102">
        <f>MIN(N(Crédits!$E$10),AP5+AQ5)</f>
        <v>50</v>
      </c>
      <c r="AS5" s="102">
        <f t="shared" si="10"/>
        <v>100</v>
      </c>
      <c r="AT5" s="103">
        <f>IF(Crédits!$K$10="",0,MAX(0,MIN(AS5,Plan!$L$7-(IF(Crédits!$K$5="",0,IF(Crédits!$K$5&lt;Crédits!$K$10,E5,0))+IF(Crédits!$K$6="",0,IF(Crédits!$K$6&lt;Crédits!$K$10,M5,0))+IF(Crédits!$K$7="",0,IF(Crédits!$K$7&lt;Crédits!$K$10,U5,0))+IF(Crédits!$K$8="",0,IF(Crédits!$K$8&lt;Crédits!$K$10,AC5,0))+IF(Crédits!$K$9="",0,IF(Crédits!$K$9&lt;Crédits!$K$10,AK5,0))))))</f>
        <v>0</v>
      </c>
      <c r="AU5" s="104">
        <f t="shared" si="11"/>
        <v>100</v>
      </c>
      <c r="AV5" s="88">
        <f>ROUND(AV4+AW5-MIN(N(Crédits!$E$10),AV4+AW5),2)</f>
        <v>100</v>
      </c>
      <c r="AW5" s="89">
        <f>AV4*N(Crédits!$D$10)/12</f>
        <v>0</v>
      </c>
      <c r="AX5" s="105">
        <f t="shared" si="12"/>
        <v>731.45</v>
      </c>
      <c r="AY5" s="105">
        <f t="shared" ref="AY5:AZ5" si="23">F5+N5+V5+AD5+AL5+AT5</f>
        <v>0</v>
      </c>
      <c r="AZ5" s="105">
        <f t="shared" si="23"/>
        <v>14445.6</v>
      </c>
      <c r="BA5" s="105">
        <f t="shared" si="14"/>
        <v>77.811973333333327</v>
      </c>
      <c r="BB5" s="105">
        <f t="shared" si="15"/>
        <v>77.811973333333327</v>
      </c>
    </row>
    <row r="6" spans="1:54" ht="15" customHeight="1" x14ac:dyDescent="0.25">
      <c r="A6" s="2">
        <v>4</v>
      </c>
      <c r="B6" s="83">
        <f t="shared" si="16"/>
        <v>7561.95</v>
      </c>
      <c r="C6" s="83">
        <f>B6*N(Crédits!$D$5)/12</f>
        <v>30.877962499999999</v>
      </c>
      <c r="D6" s="83">
        <f>MIN(N(Crédits!$E$5),B6+C6)</f>
        <v>245.3</v>
      </c>
      <c r="E6" s="83">
        <f t="shared" si="0"/>
        <v>7347.53</v>
      </c>
      <c r="F6" s="86">
        <f>IF(Crédits!$K$5="",0,MAX(0,MIN(E6,Plan!$L$8-(IF(Crédits!$K$6="",0,IF(Crédits!$K$6&lt;Crédits!$K$5,M6,0))+IF(Crédits!$K$7="",0,IF(Crédits!$K$7&lt;Crédits!$K$5,U6,0))+IF(Crédits!$K$8="",0,IF(Crédits!$K$8&lt;Crédits!$K$5,AC6,0))+IF(Crédits!$K$9="",0,IF(Crédits!$K$9&lt;Crédits!$K$5,AK6,0))+IF(Crédits!$K$10="",0,IF(Crédits!$K$10&lt;Crédits!$K$5,AS6,0))))))</f>
        <v>0</v>
      </c>
      <c r="G6" s="87">
        <f t="shared" si="1"/>
        <v>7347.53</v>
      </c>
      <c r="H6" s="88">
        <f>ROUND(H5+I6-MIN(N(Crédits!$E$5),H5+I6),2)</f>
        <v>7347.53</v>
      </c>
      <c r="I6" s="89">
        <f>H5*N(Crédits!$D$5)/12</f>
        <v>30.877962499999999</v>
      </c>
      <c r="J6" s="90">
        <f t="shared" si="17"/>
        <v>1718.16</v>
      </c>
      <c r="K6" s="90">
        <f>J6*N(Crédits!$D$6)/12</f>
        <v>27.061019999999999</v>
      </c>
      <c r="L6" s="90">
        <f>MIN(N(Crédits!$E$6),J6+K6)</f>
        <v>72.400000000000006</v>
      </c>
      <c r="M6" s="90">
        <f t="shared" si="2"/>
        <v>1672.82</v>
      </c>
      <c r="N6" s="91">
        <f>IF(Crédits!$K$6="",0,MAX(0,MIN(M6,Plan!$L$8-(IF(Crédits!$K$5="",0,IF(Crédits!$K$5&lt;Crédits!$K$6,E6,0))+IF(Crédits!$K$7="",0,IF(Crédits!$K$7&lt;Crédits!$K$6,U6,0))+IF(Crédits!$K$8="",0,IF(Crédits!$K$8&lt;Crédits!$K$6,AC6,0))+IF(Crédits!$K$9="",0,IF(Crédits!$K$9&lt;Crédits!$K$6,AK6,0))+IF(Crédits!$K$10="",0,IF(Crédits!$K$10&lt;Crédits!$K$6,AS6,0))))))</f>
        <v>0</v>
      </c>
      <c r="O6" s="92">
        <f t="shared" si="3"/>
        <v>1672.82</v>
      </c>
      <c r="P6" s="88">
        <f>ROUND(P5+Q6-MIN(N(Crédits!$E$6),P5+Q6),2)</f>
        <v>1672.82</v>
      </c>
      <c r="Q6" s="89">
        <f>P5*N(Crédits!$D$6)/12</f>
        <v>27.061019999999999</v>
      </c>
      <c r="R6" s="93">
        <f t="shared" si="18"/>
        <v>3094.47</v>
      </c>
      <c r="S6" s="93">
        <f>R6*N(Crédits!$D$7)/12</f>
        <v>15.859158749999999</v>
      </c>
      <c r="T6" s="93">
        <f>MIN(N(Crédits!$E$7),R6+S6)</f>
        <v>118.75</v>
      </c>
      <c r="U6" s="93">
        <f t="shared" si="4"/>
        <v>2991.58</v>
      </c>
      <c r="V6" s="94">
        <f>IF(Crédits!$K$7="",0,MAX(0,MIN(U6,Plan!$L$8-(IF(Crédits!$K$5="",0,IF(Crédits!$K$5&lt;Crédits!$K$7,E6,0))+IF(Crédits!$K$6="",0,IF(Crédits!$K$6&lt;Crédits!$K$7,M6,0))+IF(Crédits!$K$8="",0,IF(Crédits!$K$8&lt;Crédits!$K$7,AC6,0))+IF(Crédits!$K$9="",0,IF(Crédits!$K$9&lt;Crédits!$K$7,AK6,0))+IF(Crédits!$K$10="",0,IF(Crédits!$K$10&lt;Crédits!$K$7,AS6,0))))))</f>
        <v>0</v>
      </c>
      <c r="W6" s="95">
        <f t="shared" si="5"/>
        <v>2991.58</v>
      </c>
      <c r="X6" s="88">
        <f>ROUND(X5+Y6-MIN(N(Crédits!$E$7),X5+Y6),2)</f>
        <v>2991.58</v>
      </c>
      <c r="Y6" s="89">
        <f>X5*N(Crédits!$D$7)/12</f>
        <v>15.859158749999999</v>
      </c>
      <c r="Z6" s="96">
        <f t="shared" si="19"/>
        <v>1821.02</v>
      </c>
      <c r="AA6" s="96">
        <f>Z6*N(Crédits!$D$8)/12</f>
        <v>1.8210200000000001</v>
      </c>
      <c r="AB6" s="96">
        <f>MIN(N(Crédits!$E$8),Z6+AA6)</f>
        <v>95</v>
      </c>
      <c r="AC6" s="96">
        <f t="shared" si="6"/>
        <v>1727.84</v>
      </c>
      <c r="AD6" s="97">
        <f>IF(Crédits!$K$8="",0,MAX(0,MIN(AC6,Plan!$L$8-(IF(Crédits!$K$5="",0,IF(Crédits!$K$5&lt;Crédits!$K$8,E6,0))+IF(Crédits!$K$6="",0,IF(Crédits!$K$6&lt;Crédits!$K$8,M6,0))+IF(Crédits!$K$7="",0,IF(Crédits!$K$7&lt;Crédits!$K$8,U6,0))+IF(Crédits!$K$9="",0,IF(Crédits!$K$9&lt;Crédits!$K$8,AK6,0))+IF(Crédits!$K$10="",0,IF(Crédits!$K$10&lt;Crédits!$K$8,AS6,0))))))</f>
        <v>0</v>
      </c>
      <c r="AE6" s="98">
        <f t="shared" si="7"/>
        <v>1727.84</v>
      </c>
      <c r="AF6" s="88">
        <f>ROUND(AF5+AG6-MIN(N(Crédits!$E$8),AF5+AG6),2)</f>
        <v>1727.84</v>
      </c>
      <c r="AG6" s="89">
        <f>AF5*N(Crédits!$D$8)/12</f>
        <v>1.8210200000000001</v>
      </c>
      <c r="AH6" s="99">
        <f t="shared" si="20"/>
        <v>150</v>
      </c>
      <c r="AI6" s="99">
        <f>AH6*N(Crédits!$D$9)/12</f>
        <v>0</v>
      </c>
      <c r="AJ6" s="99">
        <f>MIN(N(Crédits!$E$9),AH6+AI6)</f>
        <v>150</v>
      </c>
      <c r="AK6" s="99">
        <f t="shared" si="8"/>
        <v>0</v>
      </c>
      <c r="AL6" s="100">
        <f>IF(Crédits!$K$9="",0,MAX(0,MIN(AK6,Plan!$L$8-(IF(Crédits!$K$5="",0,IF(Crédits!$K$5&lt;Crédits!$K$9,E6,0))+IF(Crédits!$K$6="",0,IF(Crédits!$K$6&lt;Crédits!$K$9,M6,0))+IF(Crédits!$K$7="",0,IF(Crédits!$K$7&lt;Crédits!$K$9,U6,0))+IF(Crédits!$K$8="",0,IF(Crédits!$K$8&lt;Crédits!$K$9,AC6,0))+IF(Crédits!$K$10="",0,IF(Crédits!$K$10&lt;Crédits!$K$9,AS6,0))))))</f>
        <v>0</v>
      </c>
      <c r="AM6" s="101">
        <f t="shared" si="9"/>
        <v>0</v>
      </c>
      <c r="AN6" s="88">
        <f>ROUND(AN5+AO6-MIN(N(Crédits!$E$9),AN5+AO6),2)</f>
        <v>0</v>
      </c>
      <c r="AO6" s="89">
        <f>AN5*N(Crédits!$D$9)/12</f>
        <v>0</v>
      </c>
      <c r="AP6" s="102">
        <f t="shared" si="21"/>
        <v>100</v>
      </c>
      <c r="AQ6" s="102">
        <f>AP6*N(Crédits!$D$10)/12</f>
        <v>0</v>
      </c>
      <c r="AR6" s="102">
        <f>MIN(N(Crédits!$E$10),AP6+AQ6)</f>
        <v>50</v>
      </c>
      <c r="AS6" s="102">
        <f t="shared" si="10"/>
        <v>50</v>
      </c>
      <c r="AT6" s="103">
        <f>IF(Crédits!$K$10="",0,MAX(0,MIN(AS6,Plan!$L$8-(IF(Crédits!$K$5="",0,IF(Crédits!$K$5&lt;Crédits!$K$10,E6,0))+IF(Crédits!$K$6="",0,IF(Crédits!$K$6&lt;Crédits!$K$10,M6,0))+IF(Crédits!$K$7="",0,IF(Crédits!$K$7&lt;Crédits!$K$10,U6,0))+IF(Crédits!$K$8="",0,IF(Crédits!$K$8&lt;Crédits!$K$10,AC6,0))+IF(Crédits!$K$9="",0,IF(Crédits!$K$9&lt;Crédits!$K$10,AK6,0))))))</f>
        <v>0</v>
      </c>
      <c r="AU6" s="104">
        <f t="shared" si="11"/>
        <v>50</v>
      </c>
      <c r="AV6" s="88">
        <f>ROUND(AV5+AW6-MIN(N(Crédits!$E$10),AV5+AW6),2)</f>
        <v>50</v>
      </c>
      <c r="AW6" s="89">
        <f>AV5*N(Crédits!$D$10)/12</f>
        <v>0</v>
      </c>
      <c r="AX6" s="105">
        <f t="shared" si="12"/>
        <v>731.45</v>
      </c>
      <c r="AY6" s="105">
        <f t="shared" ref="AY6:AZ6" si="24">F6+N6+V6+AD6+AL6+AT6</f>
        <v>0</v>
      </c>
      <c r="AZ6" s="105">
        <f t="shared" si="24"/>
        <v>13789.77</v>
      </c>
      <c r="BA6" s="105">
        <f t="shared" si="14"/>
        <v>75.619161249999991</v>
      </c>
      <c r="BB6" s="105">
        <f t="shared" si="15"/>
        <v>75.619161249999991</v>
      </c>
    </row>
    <row r="7" spans="1:54" ht="15" customHeight="1" x14ac:dyDescent="0.25">
      <c r="A7" s="2">
        <v>5</v>
      </c>
      <c r="B7" s="83">
        <f t="shared" si="16"/>
        <v>7347.53</v>
      </c>
      <c r="C7" s="83">
        <f>B7*N(Crédits!$D$5)/12</f>
        <v>30.002414166666668</v>
      </c>
      <c r="D7" s="83">
        <f>MIN(N(Crédits!$E$5),B7+C7)</f>
        <v>245.3</v>
      </c>
      <c r="E7" s="83">
        <f t="shared" si="0"/>
        <v>7132.23</v>
      </c>
      <c r="F7" s="86">
        <f>IF(Crédits!$K$5="",0,MAX(0,MIN(E7,Plan!$L$9-(IF(Crédits!$K$6="",0,IF(Crédits!$K$6&lt;Crédits!$K$5,M7,0))+IF(Crédits!$K$7="",0,IF(Crédits!$K$7&lt;Crédits!$K$5,U7,0))+IF(Crédits!$K$8="",0,IF(Crédits!$K$8&lt;Crédits!$K$5,AC7,0))+IF(Crédits!$K$9="",0,IF(Crédits!$K$9&lt;Crédits!$K$5,AK7,0))+IF(Crédits!$K$10="",0,IF(Crédits!$K$10&lt;Crédits!$K$5,AS7,0))))))</f>
        <v>0</v>
      </c>
      <c r="G7" s="87">
        <f t="shared" si="1"/>
        <v>7132.23</v>
      </c>
      <c r="H7" s="88">
        <f>ROUND(H6+I7-MIN(N(Crédits!$E$5),H6+I7),2)</f>
        <v>7132.23</v>
      </c>
      <c r="I7" s="89">
        <f>H6*N(Crédits!$D$5)/12</f>
        <v>30.002414166666668</v>
      </c>
      <c r="J7" s="90">
        <f t="shared" si="17"/>
        <v>1672.82</v>
      </c>
      <c r="K7" s="90">
        <f>J7*N(Crédits!$D$6)/12</f>
        <v>26.346914999999999</v>
      </c>
      <c r="L7" s="90">
        <f>MIN(N(Crédits!$E$6),J7+K7)</f>
        <v>72.400000000000006</v>
      </c>
      <c r="M7" s="90">
        <f t="shared" si="2"/>
        <v>1626.77</v>
      </c>
      <c r="N7" s="91">
        <f>IF(Crédits!$K$6="",0,MAX(0,MIN(M7,Plan!$L$9-(IF(Crédits!$K$5="",0,IF(Crédits!$K$5&lt;Crédits!$K$6,E7,0))+IF(Crédits!$K$7="",0,IF(Crédits!$K$7&lt;Crédits!$K$6,U7,0))+IF(Crédits!$K$8="",0,IF(Crédits!$K$8&lt;Crédits!$K$6,AC7,0))+IF(Crédits!$K$9="",0,IF(Crédits!$K$9&lt;Crédits!$K$6,AK7,0))+IF(Crédits!$K$10="",0,IF(Crédits!$K$10&lt;Crédits!$K$6,AS7,0))))))</f>
        <v>0</v>
      </c>
      <c r="O7" s="92">
        <f t="shared" si="3"/>
        <v>1626.77</v>
      </c>
      <c r="P7" s="88">
        <f>ROUND(P6+Q7-MIN(N(Crédits!$E$6),P6+Q7),2)</f>
        <v>1626.77</v>
      </c>
      <c r="Q7" s="89">
        <f>P6*N(Crédits!$D$6)/12</f>
        <v>26.346914999999999</v>
      </c>
      <c r="R7" s="93">
        <f t="shared" si="18"/>
        <v>2991.58</v>
      </c>
      <c r="S7" s="93">
        <f>R7*N(Crédits!$D$7)/12</f>
        <v>15.3318475</v>
      </c>
      <c r="T7" s="93">
        <f>MIN(N(Crédits!$E$7),R7+S7)</f>
        <v>118.75</v>
      </c>
      <c r="U7" s="93">
        <f t="shared" si="4"/>
        <v>2888.16</v>
      </c>
      <c r="V7" s="94">
        <f>IF(Crédits!$K$7="",0,MAX(0,MIN(U7,Plan!$L$9-(IF(Crédits!$K$5="",0,IF(Crédits!$K$5&lt;Crédits!$K$7,E7,0))+IF(Crédits!$K$6="",0,IF(Crédits!$K$6&lt;Crédits!$K$7,M7,0))+IF(Crédits!$K$8="",0,IF(Crédits!$K$8&lt;Crédits!$K$7,AC7,0))+IF(Crédits!$K$9="",0,IF(Crédits!$K$9&lt;Crédits!$K$7,AK7,0))+IF(Crédits!$K$10="",0,IF(Crédits!$K$10&lt;Crédits!$K$7,AS7,0))))))</f>
        <v>0</v>
      </c>
      <c r="W7" s="95">
        <f t="shared" si="5"/>
        <v>2888.16</v>
      </c>
      <c r="X7" s="88">
        <f>ROUND(X6+Y7-MIN(N(Crédits!$E$7),X6+Y7),2)</f>
        <v>2888.16</v>
      </c>
      <c r="Y7" s="89">
        <f>X6*N(Crédits!$D$7)/12</f>
        <v>15.3318475</v>
      </c>
      <c r="Z7" s="96">
        <f t="shared" si="19"/>
        <v>1727.84</v>
      </c>
      <c r="AA7" s="96">
        <f>Z7*N(Crédits!$D$8)/12</f>
        <v>1.7278399999999998</v>
      </c>
      <c r="AB7" s="96">
        <f>MIN(N(Crédits!$E$8),Z7+AA7)</f>
        <v>95</v>
      </c>
      <c r="AC7" s="96">
        <f t="shared" si="6"/>
        <v>1634.57</v>
      </c>
      <c r="AD7" s="97">
        <f>IF(Crédits!$K$8="",0,MAX(0,MIN(AC7,Plan!$L$9-(IF(Crédits!$K$5="",0,IF(Crédits!$K$5&lt;Crédits!$K$8,E7,0))+IF(Crédits!$K$6="",0,IF(Crédits!$K$6&lt;Crédits!$K$8,M7,0))+IF(Crédits!$K$7="",0,IF(Crédits!$K$7&lt;Crédits!$K$8,U7,0))+IF(Crédits!$K$9="",0,IF(Crédits!$K$9&lt;Crédits!$K$8,AK7,0))+IF(Crédits!$K$10="",0,IF(Crédits!$K$10&lt;Crédits!$K$8,AS7,0))))))</f>
        <v>0</v>
      </c>
      <c r="AE7" s="98">
        <f t="shared" si="7"/>
        <v>1634.57</v>
      </c>
      <c r="AF7" s="88">
        <f>ROUND(AF6+AG7-MIN(N(Crédits!$E$8),AF6+AG7),2)</f>
        <v>1634.57</v>
      </c>
      <c r="AG7" s="89">
        <f>AF6*N(Crédits!$D$8)/12</f>
        <v>1.7278399999999998</v>
      </c>
      <c r="AH7" s="99">
        <f t="shared" si="20"/>
        <v>0</v>
      </c>
      <c r="AI7" s="99">
        <f>AH7*N(Crédits!$D$9)/12</f>
        <v>0</v>
      </c>
      <c r="AJ7" s="99">
        <f>MIN(N(Crédits!$E$9),AH7+AI7)</f>
        <v>0</v>
      </c>
      <c r="AK7" s="99">
        <f t="shared" si="8"/>
        <v>0</v>
      </c>
      <c r="AL7" s="100">
        <f>IF(Crédits!$K$9="",0,MAX(0,MIN(AK7,Plan!$L$9-(IF(Crédits!$K$5="",0,IF(Crédits!$K$5&lt;Crédits!$K$9,E7,0))+IF(Crédits!$K$6="",0,IF(Crédits!$K$6&lt;Crédits!$K$9,M7,0))+IF(Crédits!$K$7="",0,IF(Crédits!$K$7&lt;Crédits!$K$9,U7,0))+IF(Crédits!$K$8="",0,IF(Crédits!$K$8&lt;Crédits!$K$9,AC7,0))+IF(Crédits!$K$10="",0,IF(Crédits!$K$10&lt;Crédits!$K$9,AS7,0))))))</f>
        <v>0</v>
      </c>
      <c r="AM7" s="101">
        <f t="shared" si="9"/>
        <v>0</v>
      </c>
      <c r="AN7" s="88">
        <f>ROUND(AN6+AO7-MIN(N(Crédits!$E$9),AN6+AO7),2)</f>
        <v>0</v>
      </c>
      <c r="AO7" s="89">
        <f>AN6*N(Crédits!$D$9)/12</f>
        <v>0</v>
      </c>
      <c r="AP7" s="102">
        <f t="shared" si="21"/>
        <v>50</v>
      </c>
      <c r="AQ7" s="102">
        <f>AP7*N(Crédits!$D$10)/12</f>
        <v>0</v>
      </c>
      <c r="AR7" s="102">
        <f>MIN(N(Crédits!$E$10),AP7+AQ7)</f>
        <v>50</v>
      </c>
      <c r="AS7" s="102">
        <f t="shared" si="10"/>
        <v>0</v>
      </c>
      <c r="AT7" s="103">
        <f>IF(Crédits!$K$10="",0,MAX(0,MIN(AS7,Plan!$L$9-(IF(Crédits!$K$5="",0,IF(Crédits!$K$5&lt;Crédits!$K$10,E7,0))+IF(Crédits!$K$6="",0,IF(Crédits!$K$6&lt;Crédits!$K$10,M7,0))+IF(Crédits!$K$7="",0,IF(Crédits!$K$7&lt;Crédits!$K$10,U7,0))+IF(Crédits!$K$8="",0,IF(Crédits!$K$8&lt;Crédits!$K$10,AC7,0))+IF(Crédits!$K$9="",0,IF(Crédits!$K$9&lt;Crédits!$K$10,AK7,0))))))</f>
        <v>0</v>
      </c>
      <c r="AU7" s="104">
        <f t="shared" si="11"/>
        <v>0</v>
      </c>
      <c r="AV7" s="88">
        <f>ROUND(AV6+AW7-MIN(N(Crédits!$E$10),AV6+AW7),2)</f>
        <v>0</v>
      </c>
      <c r="AW7" s="89">
        <f>AV6*N(Crédits!$D$10)/12</f>
        <v>0</v>
      </c>
      <c r="AX7" s="105">
        <f t="shared" si="12"/>
        <v>581.45000000000005</v>
      </c>
      <c r="AY7" s="105">
        <f t="shared" ref="AY7:AZ7" si="25">F7+N7+V7+AD7+AL7+AT7</f>
        <v>0</v>
      </c>
      <c r="AZ7" s="105">
        <f t="shared" si="25"/>
        <v>13281.73</v>
      </c>
      <c r="BA7" s="105">
        <f t="shared" si="14"/>
        <v>73.409016666666659</v>
      </c>
      <c r="BB7" s="105">
        <f t="shared" si="15"/>
        <v>73.409016666666659</v>
      </c>
    </row>
    <row r="8" spans="1:54" ht="15" customHeight="1" x14ac:dyDescent="0.25">
      <c r="A8" s="2">
        <v>6</v>
      </c>
      <c r="B8" s="83">
        <f t="shared" si="16"/>
        <v>7132.23</v>
      </c>
      <c r="C8" s="83">
        <f>B8*N(Crédits!$D$5)/12</f>
        <v>29.123272499999999</v>
      </c>
      <c r="D8" s="83">
        <f>MIN(N(Crédits!$E$5),B8+C8)</f>
        <v>245.3</v>
      </c>
      <c r="E8" s="83">
        <f t="shared" si="0"/>
        <v>6916.05</v>
      </c>
      <c r="F8" s="86">
        <f>IF(Crédits!$K$5="",0,MAX(0,MIN(E8,Plan!$L$10-(IF(Crédits!$K$6="",0,IF(Crédits!$K$6&lt;Crédits!$K$5,M8,0))+IF(Crédits!$K$7="",0,IF(Crédits!$K$7&lt;Crédits!$K$5,U8,0))+IF(Crédits!$K$8="",0,IF(Crédits!$K$8&lt;Crédits!$K$5,AC8,0))+IF(Crédits!$K$9="",0,IF(Crédits!$K$9&lt;Crédits!$K$5,AK8,0))+IF(Crédits!$K$10="",0,IF(Crédits!$K$10&lt;Crédits!$K$5,AS8,0))))))</f>
        <v>0</v>
      </c>
      <c r="G8" s="87">
        <f t="shared" si="1"/>
        <v>6916.05</v>
      </c>
      <c r="H8" s="88">
        <f>ROUND(H7+I8-MIN(N(Crédits!$E$5),H7+I8),2)</f>
        <v>6916.05</v>
      </c>
      <c r="I8" s="89">
        <f>H7*N(Crédits!$D$5)/12</f>
        <v>29.123272499999999</v>
      </c>
      <c r="J8" s="90">
        <f t="shared" si="17"/>
        <v>1626.77</v>
      </c>
      <c r="K8" s="90">
        <f>J8*N(Crédits!$D$6)/12</f>
        <v>25.621627499999999</v>
      </c>
      <c r="L8" s="90">
        <f>MIN(N(Crédits!$E$6),J8+K8)</f>
        <v>72.400000000000006</v>
      </c>
      <c r="M8" s="90">
        <f t="shared" si="2"/>
        <v>1579.99</v>
      </c>
      <c r="N8" s="91">
        <f>IF(Crédits!$K$6="",0,MAX(0,MIN(M8,Plan!$L$10-(IF(Crédits!$K$5="",0,IF(Crédits!$K$5&lt;Crédits!$K$6,E8,0))+IF(Crédits!$K$7="",0,IF(Crédits!$K$7&lt;Crédits!$K$6,U8,0))+IF(Crédits!$K$8="",0,IF(Crédits!$K$8&lt;Crédits!$K$6,AC8,0))+IF(Crédits!$K$9="",0,IF(Crédits!$K$9&lt;Crédits!$K$6,AK8,0))+IF(Crédits!$K$10="",0,IF(Crédits!$K$10&lt;Crédits!$K$6,AS8,0))))))</f>
        <v>0</v>
      </c>
      <c r="O8" s="92">
        <f t="shared" si="3"/>
        <v>1579.99</v>
      </c>
      <c r="P8" s="88">
        <f>ROUND(P7+Q8-MIN(N(Crédits!$E$6),P7+Q8),2)</f>
        <v>1579.99</v>
      </c>
      <c r="Q8" s="89">
        <f>P7*N(Crédits!$D$6)/12</f>
        <v>25.621627499999999</v>
      </c>
      <c r="R8" s="93">
        <f t="shared" si="18"/>
        <v>2888.16</v>
      </c>
      <c r="S8" s="93">
        <f>R8*N(Crédits!$D$7)/12</f>
        <v>14.801819999999999</v>
      </c>
      <c r="T8" s="93">
        <f>MIN(N(Crédits!$E$7),R8+S8)</f>
        <v>118.75</v>
      </c>
      <c r="U8" s="93">
        <f t="shared" si="4"/>
        <v>2784.21</v>
      </c>
      <c r="V8" s="94">
        <f>IF(Crédits!$K$7="",0,MAX(0,MIN(U8,Plan!$L$10-(IF(Crédits!$K$5="",0,IF(Crédits!$K$5&lt;Crédits!$K$7,E8,0))+IF(Crédits!$K$6="",0,IF(Crédits!$K$6&lt;Crédits!$K$7,M8,0))+IF(Crédits!$K$8="",0,IF(Crédits!$K$8&lt;Crédits!$K$7,AC8,0))+IF(Crédits!$K$9="",0,IF(Crédits!$K$9&lt;Crédits!$K$7,AK8,0))+IF(Crédits!$K$10="",0,IF(Crédits!$K$10&lt;Crédits!$K$7,AS8,0))))))</f>
        <v>0</v>
      </c>
      <c r="W8" s="95">
        <f t="shared" si="5"/>
        <v>2784.21</v>
      </c>
      <c r="X8" s="88">
        <f>ROUND(X7+Y8-MIN(N(Crédits!$E$7),X7+Y8),2)</f>
        <v>2784.21</v>
      </c>
      <c r="Y8" s="89">
        <f>X7*N(Crédits!$D$7)/12</f>
        <v>14.801819999999999</v>
      </c>
      <c r="Z8" s="96">
        <f t="shared" si="19"/>
        <v>1634.57</v>
      </c>
      <c r="AA8" s="96">
        <f>Z8*N(Crédits!$D$8)/12</f>
        <v>1.6345700000000001</v>
      </c>
      <c r="AB8" s="96">
        <f>MIN(N(Crédits!$E$8),Z8+AA8)</f>
        <v>95</v>
      </c>
      <c r="AC8" s="96">
        <f t="shared" si="6"/>
        <v>1541.2</v>
      </c>
      <c r="AD8" s="97">
        <f>IF(Crédits!$K$8="",0,MAX(0,MIN(AC8,Plan!$L$10-(IF(Crédits!$K$5="",0,IF(Crédits!$K$5&lt;Crédits!$K$8,E8,0))+IF(Crédits!$K$6="",0,IF(Crédits!$K$6&lt;Crédits!$K$8,M8,0))+IF(Crédits!$K$7="",0,IF(Crédits!$K$7&lt;Crédits!$K$8,U8,0))+IF(Crédits!$K$9="",0,IF(Crédits!$K$9&lt;Crédits!$K$8,AK8,0))+IF(Crédits!$K$10="",0,IF(Crédits!$K$10&lt;Crédits!$K$8,AS8,0))))))</f>
        <v>0</v>
      </c>
      <c r="AE8" s="98">
        <f t="shared" si="7"/>
        <v>1541.2</v>
      </c>
      <c r="AF8" s="88">
        <f>ROUND(AF7+AG8-MIN(N(Crédits!$E$8),AF7+AG8),2)</f>
        <v>1541.2</v>
      </c>
      <c r="AG8" s="89">
        <f>AF7*N(Crédits!$D$8)/12</f>
        <v>1.6345700000000001</v>
      </c>
      <c r="AH8" s="99">
        <f t="shared" si="20"/>
        <v>0</v>
      </c>
      <c r="AI8" s="99">
        <f>AH8*N(Crédits!$D$9)/12</f>
        <v>0</v>
      </c>
      <c r="AJ8" s="99">
        <f>MIN(N(Crédits!$E$9),AH8+AI8)</f>
        <v>0</v>
      </c>
      <c r="AK8" s="99">
        <f t="shared" si="8"/>
        <v>0</v>
      </c>
      <c r="AL8" s="100">
        <f>IF(Crédits!$K$9="",0,MAX(0,MIN(AK8,Plan!$L$10-(IF(Crédits!$K$5="",0,IF(Crédits!$K$5&lt;Crédits!$K$9,E8,0))+IF(Crédits!$K$6="",0,IF(Crédits!$K$6&lt;Crédits!$K$9,M8,0))+IF(Crédits!$K$7="",0,IF(Crédits!$K$7&lt;Crédits!$K$9,U8,0))+IF(Crédits!$K$8="",0,IF(Crédits!$K$8&lt;Crédits!$K$9,AC8,0))+IF(Crédits!$K$10="",0,IF(Crédits!$K$10&lt;Crédits!$K$9,AS8,0))))))</f>
        <v>0</v>
      </c>
      <c r="AM8" s="101">
        <f t="shared" si="9"/>
        <v>0</v>
      </c>
      <c r="AN8" s="88">
        <f>ROUND(AN7+AO8-MIN(N(Crédits!$E$9),AN7+AO8),2)</f>
        <v>0</v>
      </c>
      <c r="AO8" s="89">
        <f>AN7*N(Crédits!$D$9)/12</f>
        <v>0</v>
      </c>
      <c r="AP8" s="102">
        <f t="shared" si="21"/>
        <v>0</v>
      </c>
      <c r="AQ8" s="102">
        <f>AP8*N(Crédits!$D$10)/12</f>
        <v>0</v>
      </c>
      <c r="AR8" s="102">
        <f>MIN(N(Crédits!$E$10),AP8+AQ8)</f>
        <v>0</v>
      </c>
      <c r="AS8" s="102">
        <f t="shared" si="10"/>
        <v>0</v>
      </c>
      <c r="AT8" s="103">
        <f>IF(Crédits!$K$10="",0,MAX(0,MIN(AS8,Plan!$L$10-(IF(Crédits!$K$5="",0,IF(Crédits!$K$5&lt;Crédits!$K$10,E8,0))+IF(Crédits!$K$6="",0,IF(Crédits!$K$6&lt;Crédits!$K$10,M8,0))+IF(Crédits!$K$7="",0,IF(Crédits!$K$7&lt;Crédits!$K$10,U8,0))+IF(Crédits!$K$8="",0,IF(Crédits!$K$8&lt;Crédits!$K$10,AC8,0))+IF(Crédits!$K$9="",0,IF(Crédits!$K$9&lt;Crédits!$K$10,AK8,0))))))</f>
        <v>0</v>
      </c>
      <c r="AU8" s="104">
        <f t="shared" si="11"/>
        <v>0</v>
      </c>
      <c r="AV8" s="88">
        <f>ROUND(AV7+AW8-MIN(N(Crédits!$E$10),AV7+AW8),2)</f>
        <v>0</v>
      </c>
      <c r="AW8" s="89">
        <f>AV7*N(Crédits!$D$10)/12</f>
        <v>0</v>
      </c>
      <c r="AX8" s="105">
        <f t="shared" si="12"/>
        <v>531.45000000000005</v>
      </c>
      <c r="AY8" s="105">
        <f t="shared" ref="AY8:AZ8" si="26">F8+N8+V8+AD8+AL8+AT8</f>
        <v>0</v>
      </c>
      <c r="AZ8" s="105">
        <f t="shared" si="26"/>
        <v>12821.45</v>
      </c>
      <c r="BA8" s="105">
        <f t="shared" si="14"/>
        <v>71.18128999999999</v>
      </c>
      <c r="BB8" s="105">
        <f t="shared" si="15"/>
        <v>71.18128999999999</v>
      </c>
    </row>
    <row r="9" spans="1:54" ht="15" customHeight="1" x14ac:dyDescent="0.25">
      <c r="A9" s="2">
        <v>7</v>
      </c>
      <c r="B9" s="83">
        <f t="shared" si="16"/>
        <v>6916.05</v>
      </c>
      <c r="C9" s="83">
        <f>B9*N(Crédits!$D$5)/12</f>
        <v>28.240537500000002</v>
      </c>
      <c r="D9" s="83">
        <f>MIN(N(Crédits!$E$5),B9+C9)</f>
        <v>245.3</v>
      </c>
      <c r="E9" s="83">
        <f t="shared" si="0"/>
        <v>6698.99</v>
      </c>
      <c r="F9" s="86">
        <f>IF(Crédits!$K$5="",0,MAX(0,MIN(E9,Plan!$L$11-(IF(Crédits!$K$6="",0,IF(Crédits!$K$6&lt;Crédits!$K$5,M9,0))+IF(Crédits!$K$7="",0,IF(Crédits!$K$7&lt;Crédits!$K$5,U9,0))+IF(Crédits!$K$8="",0,IF(Crédits!$K$8&lt;Crédits!$K$5,AC9,0))+IF(Crédits!$K$9="",0,IF(Crédits!$K$9&lt;Crédits!$K$5,AK9,0))+IF(Crédits!$K$10="",0,IF(Crédits!$K$10&lt;Crédits!$K$5,AS9,0))))))</f>
        <v>0</v>
      </c>
      <c r="G9" s="87">
        <f t="shared" si="1"/>
        <v>6698.99</v>
      </c>
      <c r="H9" s="88">
        <f>ROUND(H8+I9-MIN(N(Crédits!$E$5),H8+I9),2)</f>
        <v>6698.99</v>
      </c>
      <c r="I9" s="89">
        <f>H8*N(Crédits!$D$5)/12</f>
        <v>28.240537500000002</v>
      </c>
      <c r="J9" s="90">
        <f t="shared" si="17"/>
        <v>1579.99</v>
      </c>
      <c r="K9" s="90">
        <f>J9*N(Crédits!$D$6)/12</f>
        <v>24.884842500000001</v>
      </c>
      <c r="L9" s="90">
        <f>MIN(N(Crédits!$E$6),J9+K9)</f>
        <v>72.400000000000006</v>
      </c>
      <c r="M9" s="90">
        <f t="shared" si="2"/>
        <v>1532.47</v>
      </c>
      <c r="N9" s="91">
        <f>IF(Crédits!$K$6="",0,MAX(0,MIN(M9,Plan!$L$11-(IF(Crédits!$K$5="",0,IF(Crédits!$K$5&lt;Crédits!$K$6,E9,0))+IF(Crédits!$K$7="",0,IF(Crédits!$K$7&lt;Crédits!$K$6,U9,0))+IF(Crédits!$K$8="",0,IF(Crédits!$K$8&lt;Crédits!$K$6,AC9,0))+IF(Crédits!$K$9="",0,IF(Crédits!$K$9&lt;Crédits!$K$6,AK9,0))+IF(Crédits!$K$10="",0,IF(Crédits!$K$10&lt;Crédits!$K$6,AS9,0))))))</f>
        <v>0</v>
      </c>
      <c r="O9" s="92">
        <f t="shared" si="3"/>
        <v>1532.47</v>
      </c>
      <c r="P9" s="88">
        <f>ROUND(P8+Q9-MIN(N(Crédits!$E$6),P8+Q9),2)</f>
        <v>1532.47</v>
      </c>
      <c r="Q9" s="89">
        <f>P8*N(Crédits!$D$6)/12</f>
        <v>24.884842500000001</v>
      </c>
      <c r="R9" s="93">
        <f t="shared" si="18"/>
        <v>2784.21</v>
      </c>
      <c r="S9" s="93">
        <f>R9*N(Crédits!$D$7)/12</f>
        <v>14.269076249999999</v>
      </c>
      <c r="T9" s="93">
        <f>MIN(N(Crédits!$E$7),R9+S9)</f>
        <v>118.75</v>
      </c>
      <c r="U9" s="93">
        <f t="shared" si="4"/>
        <v>2679.73</v>
      </c>
      <c r="V9" s="94">
        <f>IF(Crédits!$K$7="",0,MAX(0,MIN(U9,Plan!$L$11-(IF(Crédits!$K$5="",0,IF(Crédits!$K$5&lt;Crédits!$K$7,E9,0))+IF(Crédits!$K$6="",0,IF(Crédits!$K$6&lt;Crédits!$K$7,M9,0))+IF(Crédits!$K$8="",0,IF(Crédits!$K$8&lt;Crédits!$K$7,AC9,0))+IF(Crédits!$K$9="",0,IF(Crédits!$K$9&lt;Crédits!$K$7,AK9,0))+IF(Crédits!$K$10="",0,IF(Crédits!$K$10&lt;Crédits!$K$7,AS9,0))))))</f>
        <v>0</v>
      </c>
      <c r="W9" s="95">
        <f t="shared" si="5"/>
        <v>2679.73</v>
      </c>
      <c r="X9" s="88">
        <f>ROUND(X8+Y9-MIN(N(Crédits!$E$7),X8+Y9),2)</f>
        <v>2679.73</v>
      </c>
      <c r="Y9" s="89">
        <f>X8*N(Crédits!$D$7)/12</f>
        <v>14.269076249999999</v>
      </c>
      <c r="Z9" s="96">
        <f t="shared" si="19"/>
        <v>1541.2</v>
      </c>
      <c r="AA9" s="96">
        <f>Z9*N(Crédits!$D$8)/12</f>
        <v>1.5412000000000001</v>
      </c>
      <c r="AB9" s="96">
        <f>MIN(N(Crédits!$E$8),Z9+AA9)</f>
        <v>95</v>
      </c>
      <c r="AC9" s="96">
        <f t="shared" si="6"/>
        <v>1447.74</v>
      </c>
      <c r="AD9" s="97">
        <f>IF(Crédits!$K$8="",0,MAX(0,MIN(AC9,Plan!$L$11-(IF(Crédits!$K$5="",0,IF(Crédits!$K$5&lt;Crédits!$K$8,E9,0))+IF(Crédits!$K$6="",0,IF(Crédits!$K$6&lt;Crédits!$K$8,M9,0))+IF(Crédits!$K$7="",0,IF(Crédits!$K$7&lt;Crédits!$K$8,U9,0))+IF(Crédits!$K$9="",0,IF(Crédits!$K$9&lt;Crédits!$K$8,AK9,0))+IF(Crédits!$K$10="",0,IF(Crédits!$K$10&lt;Crédits!$K$8,AS9,0))))))</f>
        <v>0</v>
      </c>
      <c r="AE9" s="98">
        <f t="shared" si="7"/>
        <v>1447.74</v>
      </c>
      <c r="AF9" s="88">
        <f>ROUND(AF8+AG9-MIN(N(Crédits!$E$8),AF8+AG9),2)</f>
        <v>1447.74</v>
      </c>
      <c r="AG9" s="89">
        <f>AF8*N(Crédits!$D$8)/12</f>
        <v>1.5412000000000001</v>
      </c>
      <c r="AH9" s="99">
        <f t="shared" si="20"/>
        <v>0</v>
      </c>
      <c r="AI9" s="99">
        <f>AH9*N(Crédits!$D$9)/12</f>
        <v>0</v>
      </c>
      <c r="AJ9" s="99">
        <f>MIN(N(Crédits!$E$9),AH9+AI9)</f>
        <v>0</v>
      </c>
      <c r="AK9" s="99">
        <f t="shared" si="8"/>
        <v>0</v>
      </c>
      <c r="AL9" s="100">
        <f>IF(Crédits!$K$9="",0,MAX(0,MIN(AK9,Plan!$L$11-(IF(Crédits!$K$5="",0,IF(Crédits!$K$5&lt;Crédits!$K$9,E9,0))+IF(Crédits!$K$6="",0,IF(Crédits!$K$6&lt;Crédits!$K$9,M9,0))+IF(Crédits!$K$7="",0,IF(Crédits!$K$7&lt;Crédits!$K$9,U9,0))+IF(Crédits!$K$8="",0,IF(Crédits!$K$8&lt;Crédits!$K$9,AC9,0))+IF(Crédits!$K$10="",0,IF(Crédits!$K$10&lt;Crédits!$K$9,AS9,0))))))</f>
        <v>0</v>
      </c>
      <c r="AM9" s="101">
        <f t="shared" si="9"/>
        <v>0</v>
      </c>
      <c r="AN9" s="88">
        <f>ROUND(AN8+AO9-MIN(N(Crédits!$E$9),AN8+AO9),2)</f>
        <v>0</v>
      </c>
      <c r="AO9" s="89">
        <f>AN8*N(Crédits!$D$9)/12</f>
        <v>0</v>
      </c>
      <c r="AP9" s="102">
        <f t="shared" si="21"/>
        <v>0</v>
      </c>
      <c r="AQ9" s="102">
        <f>AP9*N(Crédits!$D$10)/12</f>
        <v>0</v>
      </c>
      <c r="AR9" s="102">
        <f>MIN(N(Crédits!$E$10),AP9+AQ9)</f>
        <v>0</v>
      </c>
      <c r="AS9" s="102">
        <f t="shared" si="10"/>
        <v>0</v>
      </c>
      <c r="AT9" s="103">
        <f>IF(Crédits!$K$10="",0,MAX(0,MIN(AS9,Plan!$L$11-(IF(Crédits!$K$5="",0,IF(Crédits!$K$5&lt;Crédits!$K$10,E9,0))+IF(Crédits!$K$6="",0,IF(Crédits!$K$6&lt;Crédits!$K$10,M9,0))+IF(Crédits!$K$7="",0,IF(Crédits!$K$7&lt;Crédits!$K$10,U9,0))+IF(Crédits!$K$8="",0,IF(Crédits!$K$8&lt;Crédits!$K$10,AC9,0))+IF(Crédits!$K$9="",0,IF(Crédits!$K$9&lt;Crédits!$K$10,AK9,0))))))</f>
        <v>0</v>
      </c>
      <c r="AU9" s="104">
        <f t="shared" si="11"/>
        <v>0</v>
      </c>
      <c r="AV9" s="88">
        <f>ROUND(AV8+AW9-MIN(N(Crédits!$E$10),AV8+AW9),2)</f>
        <v>0</v>
      </c>
      <c r="AW9" s="89">
        <f>AV8*N(Crédits!$D$10)/12</f>
        <v>0</v>
      </c>
      <c r="AX9" s="105">
        <f t="shared" si="12"/>
        <v>531.45000000000005</v>
      </c>
      <c r="AY9" s="105">
        <f t="shared" ref="AY9:AZ9" si="27">F9+N9+V9+AD9+AL9+AT9</f>
        <v>0</v>
      </c>
      <c r="AZ9" s="105">
        <f t="shared" si="27"/>
        <v>12358.929999999998</v>
      </c>
      <c r="BA9" s="105">
        <f t="shared" si="14"/>
        <v>68.935656250000008</v>
      </c>
      <c r="BB9" s="105">
        <f t="shared" si="15"/>
        <v>68.935656250000008</v>
      </c>
    </row>
    <row r="10" spans="1:54" ht="15" customHeight="1" x14ac:dyDescent="0.25">
      <c r="A10" s="2">
        <v>8</v>
      </c>
      <c r="B10" s="83">
        <f t="shared" si="16"/>
        <v>6698.99</v>
      </c>
      <c r="C10" s="83">
        <f>B10*N(Crédits!$D$5)/12</f>
        <v>27.354209166666667</v>
      </c>
      <c r="D10" s="83">
        <f>MIN(N(Crédits!$E$5),B10+C10)</f>
        <v>245.3</v>
      </c>
      <c r="E10" s="83">
        <f t="shared" si="0"/>
        <v>6481.04</v>
      </c>
      <c r="F10" s="86">
        <f>IF(Crédits!$K$5="",0,MAX(0,MIN(E10,Plan!$L$12-(IF(Crédits!$K$6="",0,IF(Crédits!$K$6&lt;Crédits!$K$5,M10,0))+IF(Crédits!$K$7="",0,IF(Crédits!$K$7&lt;Crédits!$K$5,U10,0))+IF(Crédits!$K$8="",0,IF(Crédits!$K$8&lt;Crédits!$K$5,AC10,0))+IF(Crédits!$K$9="",0,IF(Crédits!$K$9&lt;Crédits!$K$5,AK10,0))+IF(Crédits!$K$10="",0,IF(Crédits!$K$10&lt;Crédits!$K$5,AS10,0))))))</f>
        <v>0</v>
      </c>
      <c r="G10" s="87">
        <f t="shared" si="1"/>
        <v>6481.04</v>
      </c>
      <c r="H10" s="88">
        <f>ROUND(H9+I10-MIN(N(Crédits!$E$5),H9+I10),2)</f>
        <v>6481.04</v>
      </c>
      <c r="I10" s="89">
        <f>H9*N(Crédits!$D$5)/12</f>
        <v>27.354209166666667</v>
      </c>
      <c r="J10" s="90">
        <f t="shared" si="17"/>
        <v>1532.47</v>
      </c>
      <c r="K10" s="90">
        <f>J10*N(Crédits!$D$6)/12</f>
        <v>24.136402500000003</v>
      </c>
      <c r="L10" s="90">
        <f>MIN(N(Crédits!$E$6),J10+K10)</f>
        <v>72.400000000000006</v>
      </c>
      <c r="M10" s="90">
        <f t="shared" si="2"/>
        <v>1484.21</v>
      </c>
      <c r="N10" s="91">
        <f>IF(Crédits!$K$6="",0,MAX(0,MIN(M10,Plan!$L$12-(IF(Crédits!$K$5="",0,IF(Crédits!$K$5&lt;Crédits!$K$6,E10,0))+IF(Crédits!$K$7="",0,IF(Crédits!$K$7&lt;Crédits!$K$6,U10,0))+IF(Crédits!$K$8="",0,IF(Crédits!$K$8&lt;Crédits!$K$6,AC10,0))+IF(Crédits!$K$9="",0,IF(Crédits!$K$9&lt;Crédits!$K$6,AK10,0))+IF(Crédits!$K$10="",0,IF(Crédits!$K$10&lt;Crédits!$K$6,AS10,0))))))</f>
        <v>0</v>
      </c>
      <c r="O10" s="92">
        <f t="shared" si="3"/>
        <v>1484.21</v>
      </c>
      <c r="P10" s="88">
        <f>ROUND(P9+Q10-MIN(N(Crédits!$E$6),P9+Q10),2)</f>
        <v>1484.21</v>
      </c>
      <c r="Q10" s="89">
        <f>P9*N(Crédits!$D$6)/12</f>
        <v>24.136402500000003</v>
      </c>
      <c r="R10" s="93">
        <f t="shared" si="18"/>
        <v>2679.73</v>
      </c>
      <c r="S10" s="93">
        <f>R10*N(Crédits!$D$7)/12</f>
        <v>13.733616249999999</v>
      </c>
      <c r="T10" s="93">
        <f>MIN(N(Crédits!$E$7),R10+S10)</f>
        <v>118.75</v>
      </c>
      <c r="U10" s="93">
        <f t="shared" si="4"/>
        <v>2574.71</v>
      </c>
      <c r="V10" s="94">
        <f>IF(Crédits!$K$7="",0,MAX(0,MIN(U10,Plan!$L$12-(IF(Crédits!$K$5="",0,IF(Crédits!$K$5&lt;Crédits!$K$7,E10,0))+IF(Crédits!$K$6="",0,IF(Crédits!$K$6&lt;Crédits!$K$7,M10,0))+IF(Crédits!$K$8="",0,IF(Crédits!$K$8&lt;Crédits!$K$7,AC10,0))+IF(Crédits!$K$9="",0,IF(Crédits!$K$9&lt;Crédits!$K$7,AK10,0))+IF(Crédits!$K$10="",0,IF(Crédits!$K$10&lt;Crédits!$K$7,AS10,0))))))</f>
        <v>0</v>
      </c>
      <c r="W10" s="95">
        <f t="shared" si="5"/>
        <v>2574.71</v>
      </c>
      <c r="X10" s="88">
        <f>ROUND(X9+Y10-MIN(N(Crédits!$E$7),X9+Y10),2)</f>
        <v>2574.71</v>
      </c>
      <c r="Y10" s="89">
        <f>X9*N(Crédits!$D$7)/12</f>
        <v>13.733616249999999</v>
      </c>
      <c r="Z10" s="96">
        <f t="shared" si="19"/>
        <v>1447.74</v>
      </c>
      <c r="AA10" s="96">
        <f>Z10*N(Crédits!$D$8)/12</f>
        <v>1.4477400000000002</v>
      </c>
      <c r="AB10" s="96">
        <f>MIN(N(Crédits!$E$8),Z10+AA10)</f>
        <v>95</v>
      </c>
      <c r="AC10" s="96">
        <f t="shared" si="6"/>
        <v>1354.19</v>
      </c>
      <c r="AD10" s="97">
        <f>IF(Crédits!$K$8="",0,MAX(0,MIN(AC10,Plan!$L$12-(IF(Crédits!$K$5="",0,IF(Crédits!$K$5&lt;Crédits!$K$8,E10,0))+IF(Crédits!$K$6="",0,IF(Crédits!$K$6&lt;Crédits!$K$8,M10,0))+IF(Crédits!$K$7="",0,IF(Crédits!$K$7&lt;Crédits!$K$8,U10,0))+IF(Crédits!$K$9="",0,IF(Crédits!$K$9&lt;Crédits!$K$8,AK10,0))+IF(Crédits!$K$10="",0,IF(Crédits!$K$10&lt;Crédits!$K$8,AS10,0))))))</f>
        <v>0</v>
      </c>
      <c r="AE10" s="98">
        <f t="shared" si="7"/>
        <v>1354.19</v>
      </c>
      <c r="AF10" s="88">
        <f>ROUND(AF9+AG10-MIN(N(Crédits!$E$8),AF9+AG10),2)</f>
        <v>1354.19</v>
      </c>
      <c r="AG10" s="89">
        <f>AF9*N(Crédits!$D$8)/12</f>
        <v>1.4477400000000002</v>
      </c>
      <c r="AH10" s="99">
        <f t="shared" si="20"/>
        <v>0</v>
      </c>
      <c r="AI10" s="99">
        <f>AH10*N(Crédits!$D$9)/12</f>
        <v>0</v>
      </c>
      <c r="AJ10" s="99">
        <f>MIN(N(Crédits!$E$9),AH10+AI10)</f>
        <v>0</v>
      </c>
      <c r="AK10" s="99">
        <f t="shared" si="8"/>
        <v>0</v>
      </c>
      <c r="AL10" s="100">
        <f>IF(Crédits!$K$9="",0,MAX(0,MIN(AK10,Plan!$L$12-(IF(Crédits!$K$5="",0,IF(Crédits!$K$5&lt;Crédits!$K$9,E10,0))+IF(Crédits!$K$6="",0,IF(Crédits!$K$6&lt;Crédits!$K$9,M10,0))+IF(Crédits!$K$7="",0,IF(Crédits!$K$7&lt;Crédits!$K$9,U10,0))+IF(Crédits!$K$8="",0,IF(Crédits!$K$8&lt;Crédits!$K$9,AC10,0))+IF(Crédits!$K$10="",0,IF(Crédits!$K$10&lt;Crédits!$K$9,AS10,0))))))</f>
        <v>0</v>
      </c>
      <c r="AM10" s="101">
        <f t="shared" si="9"/>
        <v>0</v>
      </c>
      <c r="AN10" s="88">
        <f>ROUND(AN9+AO10-MIN(N(Crédits!$E$9),AN9+AO10),2)</f>
        <v>0</v>
      </c>
      <c r="AO10" s="89">
        <f>AN9*N(Crédits!$D$9)/12</f>
        <v>0</v>
      </c>
      <c r="AP10" s="102">
        <f t="shared" si="21"/>
        <v>0</v>
      </c>
      <c r="AQ10" s="102">
        <f>AP10*N(Crédits!$D$10)/12</f>
        <v>0</v>
      </c>
      <c r="AR10" s="102">
        <f>MIN(N(Crédits!$E$10),AP10+AQ10)</f>
        <v>0</v>
      </c>
      <c r="AS10" s="102">
        <f t="shared" si="10"/>
        <v>0</v>
      </c>
      <c r="AT10" s="103">
        <f>IF(Crédits!$K$10="",0,MAX(0,MIN(AS10,Plan!$L$12-(IF(Crédits!$K$5="",0,IF(Crédits!$K$5&lt;Crédits!$K$10,E10,0))+IF(Crédits!$K$6="",0,IF(Crédits!$K$6&lt;Crédits!$K$10,M10,0))+IF(Crédits!$K$7="",0,IF(Crédits!$K$7&lt;Crédits!$K$10,U10,0))+IF(Crédits!$K$8="",0,IF(Crédits!$K$8&lt;Crédits!$K$10,AC10,0))+IF(Crédits!$K$9="",0,IF(Crédits!$K$9&lt;Crédits!$K$10,AK10,0))))))</f>
        <v>0</v>
      </c>
      <c r="AU10" s="104">
        <f t="shared" si="11"/>
        <v>0</v>
      </c>
      <c r="AV10" s="88">
        <f>ROUND(AV9+AW10-MIN(N(Crédits!$E$10),AV9+AW10),2)</f>
        <v>0</v>
      </c>
      <c r="AW10" s="89">
        <f>AV9*N(Crédits!$D$10)/12</f>
        <v>0</v>
      </c>
      <c r="AX10" s="105">
        <f t="shared" si="12"/>
        <v>531.45000000000005</v>
      </c>
      <c r="AY10" s="105">
        <f t="shared" ref="AY10:AZ10" si="28">F10+N10+V10+AD10+AL10+AT10</f>
        <v>0</v>
      </c>
      <c r="AZ10" s="105">
        <f t="shared" si="28"/>
        <v>11894.15</v>
      </c>
      <c r="BA10" s="105">
        <f t="shared" si="14"/>
        <v>66.671967916666659</v>
      </c>
      <c r="BB10" s="105">
        <f t="shared" si="15"/>
        <v>66.671967916666659</v>
      </c>
    </row>
    <row r="11" spans="1:54" ht="15" customHeight="1" x14ac:dyDescent="0.25">
      <c r="A11" s="2">
        <v>9</v>
      </c>
      <c r="B11" s="83">
        <f t="shared" si="16"/>
        <v>6481.04</v>
      </c>
      <c r="C11" s="83">
        <f>B11*N(Crédits!$D$5)/12</f>
        <v>26.464246666666668</v>
      </c>
      <c r="D11" s="83">
        <f>MIN(N(Crédits!$E$5),B11+C11)</f>
        <v>245.3</v>
      </c>
      <c r="E11" s="83">
        <f t="shared" si="0"/>
        <v>6262.2</v>
      </c>
      <c r="F11" s="86">
        <f>IF(Crédits!$K$5="",0,MAX(0,MIN(E11,Plan!$L$13-(IF(Crédits!$K$6="",0,IF(Crédits!$K$6&lt;Crédits!$K$5,M11,0))+IF(Crédits!$K$7="",0,IF(Crédits!$K$7&lt;Crédits!$K$5,U11,0))+IF(Crédits!$K$8="",0,IF(Crédits!$K$8&lt;Crédits!$K$5,AC11,0))+IF(Crédits!$K$9="",0,IF(Crédits!$K$9&lt;Crédits!$K$5,AK11,0))+IF(Crédits!$K$10="",0,IF(Crédits!$K$10&lt;Crédits!$K$5,AS11,0))))))</f>
        <v>0</v>
      </c>
      <c r="G11" s="87">
        <f t="shared" si="1"/>
        <v>6262.2</v>
      </c>
      <c r="H11" s="88">
        <f>ROUND(H10+I11-MIN(N(Crédits!$E$5),H10+I11),2)</f>
        <v>6262.2</v>
      </c>
      <c r="I11" s="89">
        <f>H10*N(Crédits!$D$5)/12</f>
        <v>26.464246666666668</v>
      </c>
      <c r="J11" s="90">
        <f t="shared" si="17"/>
        <v>1484.21</v>
      </c>
      <c r="K11" s="90">
        <f>J11*N(Crédits!$D$6)/12</f>
        <v>23.376307499999999</v>
      </c>
      <c r="L11" s="90">
        <f>MIN(N(Crédits!$E$6),J11+K11)</f>
        <v>72.400000000000006</v>
      </c>
      <c r="M11" s="90">
        <f t="shared" si="2"/>
        <v>1435.19</v>
      </c>
      <c r="N11" s="91">
        <f>IF(Crédits!$K$6="",0,MAX(0,MIN(M11,Plan!$L$13-(IF(Crédits!$K$5="",0,IF(Crédits!$K$5&lt;Crédits!$K$6,E11,0))+IF(Crédits!$K$7="",0,IF(Crédits!$K$7&lt;Crédits!$K$6,U11,0))+IF(Crédits!$K$8="",0,IF(Crédits!$K$8&lt;Crédits!$K$6,AC11,0))+IF(Crédits!$K$9="",0,IF(Crédits!$K$9&lt;Crédits!$K$6,AK11,0))+IF(Crédits!$K$10="",0,IF(Crédits!$K$10&lt;Crédits!$K$6,AS11,0))))))</f>
        <v>0</v>
      </c>
      <c r="O11" s="92">
        <f t="shared" si="3"/>
        <v>1435.19</v>
      </c>
      <c r="P11" s="88">
        <f>ROUND(P10+Q11-MIN(N(Crédits!$E$6),P10+Q11),2)</f>
        <v>1435.19</v>
      </c>
      <c r="Q11" s="89">
        <f>P10*N(Crédits!$D$6)/12</f>
        <v>23.376307499999999</v>
      </c>
      <c r="R11" s="93">
        <f t="shared" si="18"/>
        <v>2574.71</v>
      </c>
      <c r="S11" s="93">
        <f>R11*N(Crédits!$D$7)/12</f>
        <v>13.195388749999999</v>
      </c>
      <c r="T11" s="93">
        <f>MIN(N(Crédits!$E$7),R11+S11)</f>
        <v>118.75</v>
      </c>
      <c r="U11" s="93">
        <f t="shared" si="4"/>
        <v>2469.16</v>
      </c>
      <c r="V11" s="94">
        <f>IF(Crédits!$K$7="",0,MAX(0,MIN(U11,Plan!$L$13-(IF(Crédits!$K$5="",0,IF(Crédits!$K$5&lt;Crédits!$K$7,E11,0))+IF(Crédits!$K$6="",0,IF(Crédits!$K$6&lt;Crédits!$K$7,M11,0))+IF(Crédits!$K$8="",0,IF(Crédits!$K$8&lt;Crédits!$K$7,AC11,0))+IF(Crédits!$K$9="",0,IF(Crédits!$K$9&lt;Crédits!$K$7,AK11,0))+IF(Crédits!$K$10="",0,IF(Crédits!$K$10&lt;Crédits!$K$7,AS11,0))))))</f>
        <v>0</v>
      </c>
      <c r="W11" s="95">
        <f t="shared" si="5"/>
        <v>2469.16</v>
      </c>
      <c r="X11" s="88">
        <f>ROUND(X10+Y11-MIN(N(Crédits!$E$7),X10+Y11),2)</f>
        <v>2469.16</v>
      </c>
      <c r="Y11" s="89">
        <f>X10*N(Crédits!$D$7)/12</f>
        <v>13.195388749999999</v>
      </c>
      <c r="Z11" s="96">
        <f t="shared" si="19"/>
        <v>1354.19</v>
      </c>
      <c r="AA11" s="96">
        <f>Z11*N(Crédits!$D$8)/12</f>
        <v>1.35419</v>
      </c>
      <c r="AB11" s="96">
        <f>MIN(N(Crédits!$E$8),Z11+AA11)</f>
        <v>95</v>
      </c>
      <c r="AC11" s="96">
        <f t="shared" si="6"/>
        <v>1260.54</v>
      </c>
      <c r="AD11" s="97">
        <f>IF(Crédits!$K$8="",0,MAX(0,MIN(AC11,Plan!$L$13-(IF(Crédits!$K$5="",0,IF(Crédits!$K$5&lt;Crédits!$K$8,E11,0))+IF(Crédits!$K$6="",0,IF(Crédits!$K$6&lt;Crédits!$K$8,M11,0))+IF(Crédits!$K$7="",0,IF(Crédits!$K$7&lt;Crédits!$K$8,U11,0))+IF(Crédits!$K$9="",0,IF(Crédits!$K$9&lt;Crédits!$K$8,AK11,0))+IF(Crédits!$K$10="",0,IF(Crédits!$K$10&lt;Crédits!$K$8,AS11,0))))))</f>
        <v>0</v>
      </c>
      <c r="AE11" s="98">
        <f t="shared" si="7"/>
        <v>1260.54</v>
      </c>
      <c r="AF11" s="88">
        <f>ROUND(AF10+AG11-MIN(N(Crédits!$E$8),AF10+AG11),2)</f>
        <v>1260.54</v>
      </c>
      <c r="AG11" s="89">
        <f>AF10*N(Crédits!$D$8)/12</f>
        <v>1.35419</v>
      </c>
      <c r="AH11" s="99">
        <f t="shared" si="20"/>
        <v>0</v>
      </c>
      <c r="AI11" s="99">
        <f>AH11*N(Crédits!$D$9)/12</f>
        <v>0</v>
      </c>
      <c r="AJ11" s="99">
        <f>MIN(N(Crédits!$E$9),AH11+AI11)</f>
        <v>0</v>
      </c>
      <c r="AK11" s="99">
        <f t="shared" si="8"/>
        <v>0</v>
      </c>
      <c r="AL11" s="100">
        <f>IF(Crédits!$K$9="",0,MAX(0,MIN(AK11,Plan!$L$13-(IF(Crédits!$K$5="",0,IF(Crédits!$K$5&lt;Crédits!$K$9,E11,0))+IF(Crédits!$K$6="",0,IF(Crédits!$K$6&lt;Crédits!$K$9,M11,0))+IF(Crédits!$K$7="",0,IF(Crédits!$K$7&lt;Crédits!$K$9,U11,0))+IF(Crédits!$K$8="",0,IF(Crédits!$K$8&lt;Crédits!$K$9,AC11,0))+IF(Crédits!$K$10="",0,IF(Crédits!$K$10&lt;Crédits!$K$9,AS11,0))))))</f>
        <v>0</v>
      </c>
      <c r="AM11" s="101">
        <f t="shared" si="9"/>
        <v>0</v>
      </c>
      <c r="AN11" s="88">
        <f>ROUND(AN10+AO11-MIN(N(Crédits!$E$9),AN10+AO11),2)</f>
        <v>0</v>
      </c>
      <c r="AO11" s="89">
        <f>AN10*N(Crédits!$D$9)/12</f>
        <v>0</v>
      </c>
      <c r="AP11" s="102">
        <f t="shared" si="21"/>
        <v>0</v>
      </c>
      <c r="AQ11" s="102">
        <f>AP11*N(Crédits!$D$10)/12</f>
        <v>0</v>
      </c>
      <c r="AR11" s="102">
        <f>MIN(N(Crédits!$E$10),AP11+AQ11)</f>
        <v>0</v>
      </c>
      <c r="AS11" s="102">
        <f t="shared" si="10"/>
        <v>0</v>
      </c>
      <c r="AT11" s="103">
        <f>IF(Crédits!$K$10="",0,MAX(0,MIN(AS11,Plan!$L$13-(IF(Crédits!$K$5="",0,IF(Crédits!$K$5&lt;Crédits!$K$10,E11,0))+IF(Crédits!$K$6="",0,IF(Crédits!$K$6&lt;Crédits!$K$10,M11,0))+IF(Crédits!$K$7="",0,IF(Crédits!$K$7&lt;Crédits!$K$10,U11,0))+IF(Crédits!$K$8="",0,IF(Crédits!$K$8&lt;Crédits!$K$10,AC11,0))+IF(Crédits!$K$9="",0,IF(Crédits!$K$9&lt;Crédits!$K$10,AK11,0))))))</f>
        <v>0</v>
      </c>
      <c r="AU11" s="104">
        <f t="shared" si="11"/>
        <v>0</v>
      </c>
      <c r="AV11" s="88">
        <f>ROUND(AV10+AW11-MIN(N(Crédits!$E$10),AV10+AW11),2)</f>
        <v>0</v>
      </c>
      <c r="AW11" s="89">
        <f>AV10*N(Crédits!$D$10)/12</f>
        <v>0</v>
      </c>
      <c r="AX11" s="105">
        <f t="shared" si="12"/>
        <v>531.45000000000005</v>
      </c>
      <c r="AY11" s="105">
        <f t="shared" ref="AY11:AZ11" si="29">F11+N11+V11+AD11+AL11+AT11</f>
        <v>0</v>
      </c>
      <c r="AZ11" s="105">
        <f t="shared" si="29"/>
        <v>11427.09</v>
      </c>
      <c r="BA11" s="105">
        <f t="shared" si="14"/>
        <v>64.390132916666659</v>
      </c>
      <c r="BB11" s="105">
        <f t="shared" si="15"/>
        <v>64.390132916666659</v>
      </c>
    </row>
    <row r="12" spans="1:54" ht="15" customHeight="1" x14ac:dyDescent="0.25">
      <c r="A12" s="2">
        <v>10</v>
      </c>
      <c r="B12" s="83">
        <f t="shared" si="16"/>
        <v>6262.2</v>
      </c>
      <c r="C12" s="83">
        <f>B12*N(Crédits!$D$5)/12</f>
        <v>25.570650000000001</v>
      </c>
      <c r="D12" s="83">
        <f>MIN(N(Crédits!$E$5),B12+C12)</f>
        <v>245.3</v>
      </c>
      <c r="E12" s="83">
        <f t="shared" si="0"/>
        <v>6042.47</v>
      </c>
      <c r="F12" s="86">
        <f>IF(Crédits!$K$5="",0,MAX(0,MIN(E12,Plan!$L$14-(IF(Crédits!$K$6="",0,IF(Crédits!$K$6&lt;Crédits!$K$5,M12,0))+IF(Crédits!$K$7="",0,IF(Crédits!$K$7&lt;Crédits!$K$5,U12,0))+IF(Crédits!$K$8="",0,IF(Crédits!$K$8&lt;Crédits!$K$5,AC12,0))+IF(Crédits!$K$9="",0,IF(Crédits!$K$9&lt;Crédits!$K$5,AK12,0))+IF(Crédits!$K$10="",0,IF(Crédits!$K$10&lt;Crédits!$K$5,AS12,0))))))</f>
        <v>0</v>
      </c>
      <c r="G12" s="87">
        <f t="shared" si="1"/>
        <v>6042.47</v>
      </c>
      <c r="H12" s="88">
        <f>ROUND(H11+I12-MIN(N(Crédits!$E$5),H11+I12),2)</f>
        <v>6042.47</v>
      </c>
      <c r="I12" s="89">
        <f>H11*N(Crédits!$D$5)/12</f>
        <v>25.570650000000001</v>
      </c>
      <c r="J12" s="90">
        <f t="shared" si="17"/>
        <v>1435.19</v>
      </c>
      <c r="K12" s="90">
        <f>J12*N(Crédits!$D$6)/12</f>
        <v>22.604242500000002</v>
      </c>
      <c r="L12" s="90">
        <f>MIN(N(Crédits!$E$6),J12+K12)</f>
        <v>72.400000000000006</v>
      </c>
      <c r="M12" s="90">
        <f t="shared" si="2"/>
        <v>1385.39</v>
      </c>
      <c r="N12" s="91">
        <f>IF(Crédits!$K$6="",0,MAX(0,MIN(M12,Plan!$L$14-(IF(Crédits!$K$5="",0,IF(Crédits!$K$5&lt;Crédits!$K$6,E12,0))+IF(Crédits!$K$7="",0,IF(Crédits!$K$7&lt;Crédits!$K$6,U12,0))+IF(Crédits!$K$8="",0,IF(Crédits!$K$8&lt;Crédits!$K$6,AC12,0))+IF(Crédits!$K$9="",0,IF(Crédits!$K$9&lt;Crédits!$K$6,AK12,0))+IF(Crédits!$K$10="",0,IF(Crédits!$K$10&lt;Crédits!$K$6,AS12,0))))))</f>
        <v>0</v>
      </c>
      <c r="O12" s="92">
        <f t="shared" si="3"/>
        <v>1385.39</v>
      </c>
      <c r="P12" s="88">
        <f>ROUND(P11+Q12-MIN(N(Crédits!$E$6),P11+Q12),2)</f>
        <v>1385.39</v>
      </c>
      <c r="Q12" s="89">
        <f>P11*N(Crédits!$D$6)/12</f>
        <v>22.604242500000002</v>
      </c>
      <c r="R12" s="93">
        <f t="shared" si="18"/>
        <v>2469.16</v>
      </c>
      <c r="S12" s="93">
        <f>R12*N(Crédits!$D$7)/12</f>
        <v>12.654445000000001</v>
      </c>
      <c r="T12" s="93">
        <f>MIN(N(Crédits!$E$7),R12+S12)</f>
        <v>118.75</v>
      </c>
      <c r="U12" s="93">
        <f t="shared" si="4"/>
        <v>2363.06</v>
      </c>
      <c r="V12" s="94">
        <f>IF(Crédits!$K$7="",0,MAX(0,MIN(U12,Plan!$L$14-(IF(Crédits!$K$5="",0,IF(Crédits!$K$5&lt;Crédits!$K$7,E12,0))+IF(Crédits!$K$6="",0,IF(Crédits!$K$6&lt;Crédits!$K$7,M12,0))+IF(Crédits!$K$8="",0,IF(Crédits!$K$8&lt;Crédits!$K$7,AC12,0))+IF(Crédits!$K$9="",0,IF(Crédits!$K$9&lt;Crédits!$K$7,AK12,0))+IF(Crédits!$K$10="",0,IF(Crédits!$K$10&lt;Crédits!$K$7,AS12,0))))))</f>
        <v>0</v>
      </c>
      <c r="W12" s="95">
        <f t="shared" si="5"/>
        <v>2363.06</v>
      </c>
      <c r="X12" s="88">
        <f>ROUND(X11+Y12-MIN(N(Crédits!$E$7),X11+Y12),2)</f>
        <v>2363.06</v>
      </c>
      <c r="Y12" s="89">
        <f>X11*N(Crédits!$D$7)/12</f>
        <v>12.654445000000001</v>
      </c>
      <c r="Z12" s="96">
        <f t="shared" si="19"/>
        <v>1260.54</v>
      </c>
      <c r="AA12" s="96">
        <f>Z12*N(Crédits!$D$8)/12</f>
        <v>1.26054</v>
      </c>
      <c r="AB12" s="96">
        <f>MIN(N(Crédits!$E$8),Z12+AA12)</f>
        <v>95</v>
      </c>
      <c r="AC12" s="96">
        <f t="shared" si="6"/>
        <v>1166.8</v>
      </c>
      <c r="AD12" s="97">
        <f>IF(Crédits!$K$8="",0,MAX(0,MIN(AC12,Plan!$L$14-(IF(Crédits!$K$5="",0,IF(Crédits!$K$5&lt;Crédits!$K$8,E12,0))+IF(Crédits!$K$6="",0,IF(Crédits!$K$6&lt;Crédits!$K$8,M12,0))+IF(Crédits!$K$7="",0,IF(Crédits!$K$7&lt;Crédits!$K$8,U12,0))+IF(Crédits!$K$9="",0,IF(Crédits!$K$9&lt;Crédits!$K$8,AK12,0))+IF(Crédits!$K$10="",0,IF(Crédits!$K$10&lt;Crédits!$K$8,AS12,0))))))</f>
        <v>0</v>
      </c>
      <c r="AE12" s="98">
        <f t="shared" si="7"/>
        <v>1166.8</v>
      </c>
      <c r="AF12" s="88">
        <f>ROUND(AF11+AG12-MIN(N(Crédits!$E$8),AF11+AG12),2)</f>
        <v>1166.8</v>
      </c>
      <c r="AG12" s="89">
        <f>AF11*N(Crédits!$D$8)/12</f>
        <v>1.26054</v>
      </c>
      <c r="AH12" s="99">
        <f t="shared" si="20"/>
        <v>0</v>
      </c>
      <c r="AI12" s="99">
        <f>AH12*N(Crédits!$D$9)/12</f>
        <v>0</v>
      </c>
      <c r="AJ12" s="99">
        <f>MIN(N(Crédits!$E$9),AH12+AI12)</f>
        <v>0</v>
      </c>
      <c r="AK12" s="99">
        <f t="shared" si="8"/>
        <v>0</v>
      </c>
      <c r="AL12" s="100">
        <f>IF(Crédits!$K$9="",0,MAX(0,MIN(AK12,Plan!$L$14-(IF(Crédits!$K$5="",0,IF(Crédits!$K$5&lt;Crédits!$K$9,E12,0))+IF(Crédits!$K$6="",0,IF(Crédits!$K$6&lt;Crédits!$K$9,M12,0))+IF(Crédits!$K$7="",0,IF(Crédits!$K$7&lt;Crédits!$K$9,U12,0))+IF(Crédits!$K$8="",0,IF(Crédits!$K$8&lt;Crédits!$K$9,AC12,0))+IF(Crédits!$K$10="",0,IF(Crédits!$K$10&lt;Crédits!$K$9,AS12,0))))))</f>
        <v>0</v>
      </c>
      <c r="AM12" s="101">
        <f t="shared" si="9"/>
        <v>0</v>
      </c>
      <c r="AN12" s="88">
        <f>ROUND(AN11+AO12-MIN(N(Crédits!$E$9),AN11+AO12),2)</f>
        <v>0</v>
      </c>
      <c r="AO12" s="89">
        <f>AN11*N(Crédits!$D$9)/12</f>
        <v>0</v>
      </c>
      <c r="AP12" s="102">
        <f t="shared" si="21"/>
        <v>0</v>
      </c>
      <c r="AQ12" s="102">
        <f>AP12*N(Crédits!$D$10)/12</f>
        <v>0</v>
      </c>
      <c r="AR12" s="102">
        <f>MIN(N(Crédits!$E$10),AP12+AQ12)</f>
        <v>0</v>
      </c>
      <c r="AS12" s="102">
        <f t="shared" si="10"/>
        <v>0</v>
      </c>
      <c r="AT12" s="103">
        <f>IF(Crédits!$K$10="",0,MAX(0,MIN(AS12,Plan!$L$14-(IF(Crédits!$K$5="",0,IF(Crédits!$K$5&lt;Crédits!$K$10,E12,0))+IF(Crédits!$K$6="",0,IF(Crédits!$K$6&lt;Crédits!$K$10,M12,0))+IF(Crédits!$K$7="",0,IF(Crédits!$K$7&lt;Crédits!$K$10,U12,0))+IF(Crédits!$K$8="",0,IF(Crédits!$K$8&lt;Crédits!$K$10,AC12,0))+IF(Crédits!$K$9="",0,IF(Crédits!$K$9&lt;Crédits!$K$10,AK12,0))))))</f>
        <v>0</v>
      </c>
      <c r="AU12" s="104">
        <f t="shared" si="11"/>
        <v>0</v>
      </c>
      <c r="AV12" s="88">
        <f>ROUND(AV11+AW12-MIN(N(Crédits!$E$10),AV11+AW12),2)</f>
        <v>0</v>
      </c>
      <c r="AW12" s="89">
        <f>AV11*N(Crédits!$D$10)/12</f>
        <v>0</v>
      </c>
      <c r="AX12" s="105">
        <f t="shared" si="12"/>
        <v>531.45000000000005</v>
      </c>
      <c r="AY12" s="105">
        <f t="shared" ref="AY12:AZ12" si="30">F12+N12+V12+AD12+AL12+AT12</f>
        <v>0</v>
      </c>
      <c r="AZ12" s="105">
        <f t="shared" si="30"/>
        <v>10957.72</v>
      </c>
      <c r="BA12" s="105">
        <f t="shared" si="14"/>
        <v>62.0898775</v>
      </c>
      <c r="BB12" s="105">
        <f t="shared" si="15"/>
        <v>62.0898775</v>
      </c>
    </row>
    <row r="13" spans="1:54" ht="15" customHeight="1" x14ac:dyDescent="0.25">
      <c r="A13" s="2">
        <v>11</v>
      </c>
      <c r="B13" s="83">
        <f t="shared" si="16"/>
        <v>6042.47</v>
      </c>
      <c r="C13" s="83">
        <f>B13*N(Crédits!$D$5)/12</f>
        <v>24.673419166666665</v>
      </c>
      <c r="D13" s="83">
        <f>MIN(N(Crédits!$E$5),B13+C13)</f>
        <v>245.3</v>
      </c>
      <c r="E13" s="83">
        <f t="shared" si="0"/>
        <v>5821.84</v>
      </c>
      <c r="F13" s="86">
        <f>IF(Crédits!$K$5="",0,MAX(0,MIN(E13,Plan!$L$15-(IF(Crédits!$K$6="",0,IF(Crédits!$K$6&lt;Crédits!$K$5,M13,0))+IF(Crédits!$K$7="",0,IF(Crédits!$K$7&lt;Crédits!$K$5,U13,0))+IF(Crédits!$K$8="",0,IF(Crédits!$K$8&lt;Crédits!$K$5,AC13,0))+IF(Crédits!$K$9="",0,IF(Crédits!$K$9&lt;Crédits!$K$5,AK13,0))+IF(Crédits!$K$10="",0,IF(Crédits!$K$10&lt;Crédits!$K$5,AS13,0))))))</f>
        <v>0</v>
      </c>
      <c r="G13" s="87">
        <f t="shared" si="1"/>
        <v>5821.84</v>
      </c>
      <c r="H13" s="88">
        <f>ROUND(H12+I13-MIN(N(Crédits!$E$5),H12+I13),2)</f>
        <v>5821.84</v>
      </c>
      <c r="I13" s="89">
        <f>H12*N(Crédits!$D$5)/12</f>
        <v>24.673419166666665</v>
      </c>
      <c r="J13" s="90">
        <f t="shared" si="17"/>
        <v>1385.39</v>
      </c>
      <c r="K13" s="90">
        <f>J13*N(Crédits!$D$6)/12</f>
        <v>21.819892500000005</v>
      </c>
      <c r="L13" s="90">
        <f>MIN(N(Crédits!$E$6),J13+K13)</f>
        <v>72.400000000000006</v>
      </c>
      <c r="M13" s="90">
        <f t="shared" si="2"/>
        <v>1334.81</v>
      </c>
      <c r="N13" s="91">
        <f>IF(Crédits!$K$6="",0,MAX(0,MIN(M13,Plan!$L$15-(IF(Crédits!$K$5="",0,IF(Crédits!$K$5&lt;Crédits!$K$6,E13,0))+IF(Crédits!$K$7="",0,IF(Crédits!$K$7&lt;Crédits!$K$6,U13,0))+IF(Crédits!$K$8="",0,IF(Crédits!$K$8&lt;Crédits!$K$6,AC13,0))+IF(Crédits!$K$9="",0,IF(Crédits!$K$9&lt;Crédits!$K$6,AK13,0))+IF(Crédits!$K$10="",0,IF(Crédits!$K$10&lt;Crédits!$K$6,AS13,0))))))</f>
        <v>10.649999999999864</v>
      </c>
      <c r="O13" s="92">
        <f t="shared" si="3"/>
        <v>1324.16</v>
      </c>
      <c r="P13" s="88">
        <f>ROUND(P12+Q13-MIN(N(Crédits!$E$6),P12+Q13),2)</f>
        <v>1334.81</v>
      </c>
      <c r="Q13" s="89">
        <f>P12*N(Crédits!$D$6)/12</f>
        <v>21.819892500000005</v>
      </c>
      <c r="R13" s="93">
        <f t="shared" si="18"/>
        <v>2363.06</v>
      </c>
      <c r="S13" s="93">
        <f>R13*N(Crédits!$D$7)/12</f>
        <v>12.110682500000001</v>
      </c>
      <c r="T13" s="93">
        <f>MIN(N(Crédits!$E$7),R13+S13)</f>
        <v>118.75</v>
      </c>
      <c r="U13" s="93">
        <f t="shared" si="4"/>
        <v>2256.42</v>
      </c>
      <c r="V13" s="94">
        <f>IF(Crédits!$K$7="",0,MAX(0,MIN(U13,Plan!$L$15-(IF(Crédits!$K$5="",0,IF(Crédits!$K$5&lt;Crédits!$K$7,E13,0))+IF(Crédits!$K$6="",0,IF(Crédits!$K$6&lt;Crédits!$K$7,M13,0))+IF(Crédits!$K$8="",0,IF(Crédits!$K$8&lt;Crédits!$K$7,AC13,0))+IF(Crédits!$K$9="",0,IF(Crédits!$K$9&lt;Crédits!$K$7,AK13,0))+IF(Crédits!$K$10="",0,IF(Crédits!$K$10&lt;Crédits!$K$7,AS13,0))))))</f>
        <v>0</v>
      </c>
      <c r="W13" s="95">
        <f t="shared" si="5"/>
        <v>2256.42</v>
      </c>
      <c r="X13" s="88">
        <f>ROUND(X12+Y13-MIN(N(Crédits!$E$7),X12+Y13),2)</f>
        <v>2256.42</v>
      </c>
      <c r="Y13" s="89">
        <f>X12*N(Crédits!$D$7)/12</f>
        <v>12.110682500000001</v>
      </c>
      <c r="Z13" s="96">
        <f t="shared" si="19"/>
        <v>1166.8</v>
      </c>
      <c r="AA13" s="96">
        <f>Z13*N(Crédits!$D$8)/12</f>
        <v>1.1668000000000001</v>
      </c>
      <c r="AB13" s="96">
        <f>MIN(N(Crédits!$E$8),Z13+AA13)</f>
        <v>95</v>
      </c>
      <c r="AC13" s="96">
        <f t="shared" si="6"/>
        <v>1072.97</v>
      </c>
      <c r="AD13" s="97">
        <f>IF(Crédits!$K$8="",0,MAX(0,MIN(AC13,Plan!$L$15-(IF(Crédits!$K$5="",0,IF(Crédits!$K$5&lt;Crédits!$K$8,E13,0))+IF(Crédits!$K$6="",0,IF(Crédits!$K$6&lt;Crédits!$K$8,M13,0))+IF(Crédits!$K$7="",0,IF(Crédits!$K$7&lt;Crédits!$K$8,U13,0))+IF(Crédits!$K$9="",0,IF(Crédits!$K$9&lt;Crédits!$K$8,AK13,0))+IF(Crédits!$K$10="",0,IF(Crédits!$K$10&lt;Crédits!$K$8,AS13,0))))))</f>
        <v>0</v>
      </c>
      <c r="AE13" s="98">
        <f t="shared" si="7"/>
        <v>1072.97</v>
      </c>
      <c r="AF13" s="88">
        <f>ROUND(AF12+AG13-MIN(N(Crédits!$E$8),AF12+AG13),2)</f>
        <v>1072.97</v>
      </c>
      <c r="AG13" s="89">
        <f>AF12*N(Crédits!$D$8)/12</f>
        <v>1.1668000000000001</v>
      </c>
      <c r="AH13" s="99">
        <f t="shared" si="20"/>
        <v>0</v>
      </c>
      <c r="AI13" s="99">
        <f>AH13*N(Crédits!$D$9)/12</f>
        <v>0</v>
      </c>
      <c r="AJ13" s="99">
        <f>MIN(N(Crédits!$E$9),AH13+AI13)</f>
        <v>0</v>
      </c>
      <c r="AK13" s="99">
        <f t="shared" si="8"/>
        <v>0</v>
      </c>
      <c r="AL13" s="100">
        <f>IF(Crédits!$K$9="",0,MAX(0,MIN(AK13,Plan!$L$15-(IF(Crédits!$K$5="",0,IF(Crédits!$K$5&lt;Crédits!$K$9,E13,0))+IF(Crédits!$K$6="",0,IF(Crédits!$K$6&lt;Crédits!$K$9,M13,0))+IF(Crédits!$K$7="",0,IF(Crédits!$K$7&lt;Crédits!$K$9,U13,0))+IF(Crédits!$K$8="",0,IF(Crédits!$K$8&lt;Crédits!$K$9,AC13,0))+IF(Crédits!$K$10="",0,IF(Crédits!$K$10&lt;Crédits!$K$9,AS13,0))))))</f>
        <v>0</v>
      </c>
      <c r="AM13" s="101">
        <f t="shared" si="9"/>
        <v>0</v>
      </c>
      <c r="AN13" s="88">
        <f>ROUND(AN12+AO13-MIN(N(Crédits!$E$9),AN12+AO13),2)</f>
        <v>0</v>
      </c>
      <c r="AO13" s="89">
        <f>AN12*N(Crédits!$D$9)/12</f>
        <v>0</v>
      </c>
      <c r="AP13" s="102">
        <f t="shared" si="21"/>
        <v>0</v>
      </c>
      <c r="AQ13" s="102">
        <f>AP13*N(Crédits!$D$10)/12</f>
        <v>0</v>
      </c>
      <c r="AR13" s="102">
        <f>MIN(N(Crédits!$E$10),AP13+AQ13)</f>
        <v>0</v>
      </c>
      <c r="AS13" s="102">
        <f t="shared" si="10"/>
        <v>0</v>
      </c>
      <c r="AT13" s="103">
        <f>IF(Crédits!$K$10="",0,MAX(0,MIN(AS13,Plan!$L$15-(IF(Crédits!$K$5="",0,IF(Crédits!$K$5&lt;Crédits!$K$10,E13,0))+IF(Crédits!$K$6="",0,IF(Crédits!$K$6&lt;Crédits!$K$10,M13,0))+IF(Crédits!$K$7="",0,IF(Crédits!$K$7&lt;Crédits!$K$10,U13,0))+IF(Crédits!$K$8="",0,IF(Crédits!$K$8&lt;Crédits!$K$10,AC13,0))+IF(Crédits!$K$9="",0,IF(Crédits!$K$9&lt;Crédits!$K$10,AK13,0))))))</f>
        <v>0</v>
      </c>
      <c r="AU13" s="104">
        <f t="shared" si="11"/>
        <v>0</v>
      </c>
      <c r="AV13" s="88">
        <f>ROUND(AV12+AW13-MIN(N(Crédits!$E$10),AV12+AW13),2)</f>
        <v>0</v>
      </c>
      <c r="AW13" s="89">
        <f>AV12*N(Crédits!$D$10)/12</f>
        <v>0</v>
      </c>
      <c r="AX13" s="105">
        <f t="shared" si="12"/>
        <v>531.45000000000005</v>
      </c>
      <c r="AY13" s="105">
        <f t="shared" ref="AY13:AZ13" si="31">F13+N13+V13+AD13+AL13+AT13</f>
        <v>10.649999999999864</v>
      </c>
      <c r="AZ13" s="105">
        <f t="shared" si="31"/>
        <v>10475.39</v>
      </c>
      <c r="BA13" s="105">
        <f t="shared" si="14"/>
        <v>59.770794166666676</v>
      </c>
      <c r="BB13" s="105">
        <f t="shared" si="15"/>
        <v>59.770794166666676</v>
      </c>
    </row>
    <row r="14" spans="1:54" ht="15" customHeight="1" x14ac:dyDescent="0.25">
      <c r="A14" s="2">
        <v>12</v>
      </c>
      <c r="B14" s="83">
        <f t="shared" si="16"/>
        <v>5821.84</v>
      </c>
      <c r="C14" s="83">
        <f>B14*N(Crédits!$D$5)/12</f>
        <v>23.772513333333336</v>
      </c>
      <c r="D14" s="83">
        <f>MIN(N(Crédits!$E$5),B14+C14)</f>
        <v>245.3</v>
      </c>
      <c r="E14" s="83">
        <f t="shared" si="0"/>
        <v>5600.31</v>
      </c>
      <c r="F14" s="86">
        <f>IF(Crédits!$K$5="",0,MAX(0,MIN(E14,Plan!$L$16-(IF(Crédits!$K$6="",0,IF(Crédits!$K$6&lt;Crédits!$K$5,M14,0))+IF(Crédits!$K$7="",0,IF(Crédits!$K$7&lt;Crédits!$K$5,U14,0))+IF(Crédits!$K$8="",0,IF(Crédits!$K$8&lt;Crédits!$K$5,AC14,0))+IF(Crédits!$K$9="",0,IF(Crédits!$K$9&lt;Crédits!$K$5,AK14,0))+IF(Crédits!$K$10="",0,IF(Crédits!$K$10&lt;Crédits!$K$5,AS14,0))))))</f>
        <v>0</v>
      </c>
      <c r="G14" s="87">
        <f t="shared" si="1"/>
        <v>5600.31</v>
      </c>
      <c r="H14" s="88">
        <f>ROUND(H13+I14-MIN(N(Crédits!$E$5),H13+I14),2)</f>
        <v>5600.31</v>
      </c>
      <c r="I14" s="89">
        <f>H13*N(Crédits!$D$5)/12</f>
        <v>23.772513333333336</v>
      </c>
      <c r="J14" s="90">
        <f t="shared" si="17"/>
        <v>1324.16</v>
      </c>
      <c r="K14" s="90">
        <f>J14*N(Crédits!$D$6)/12</f>
        <v>20.855520000000002</v>
      </c>
      <c r="L14" s="90">
        <f>MIN(N(Crédits!$E$6),J14+K14)</f>
        <v>72.400000000000006</v>
      </c>
      <c r="M14" s="90">
        <f t="shared" si="2"/>
        <v>1272.6199999999999</v>
      </c>
      <c r="N14" s="91">
        <f>IF(Crédits!$K$6="",0,MAX(0,MIN(M14,Plan!$L$16-(IF(Crédits!$K$5="",0,IF(Crédits!$K$5&lt;Crédits!$K$6,E14,0))+IF(Crédits!$K$7="",0,IF(Crédits!$K$7&lt;Crédits!$K$6,U14,0))+IF(Crédits!$K$8="",0,IF(Crédits!$K$8&lt;Crédits!$K$6,AC14,0))+IF(Crédits!$K$9="",0,IF(Crédits!$K$9&lt;Crédits!$K$6,AK14,0))+IF(Crédits!$K$10="",0,IF(Crédits!$K$10&lt;Crédits!$K$6,AS14,0))))))</f>
        <v>386.12999999999994</v>
      </c>
      <c r="O14" s="92">
        <f t="shared" si="3"/>
        <v>886.49</v>
      </c>
      <c r="P14" s="88">
        <f>ROUND(P13+Q14-MIN(N(Crédits!$E$6),P13+Q14),2)</f>
        <v>1283.43</v>
      </c>
      <c r="Q14" s="89">
        <f>P13*N(Crédits!$D$6)/12</f>
        <v>21.0232575</v>
      </c>
      <c r="R14" s="93">
        <f t="shared" si="18"/>
        <v>2256.42</v>
      </c>
      <c r="S14" s="93">
        <f>R14*N(Crédits!$D$7)/12</f>
        <v>11.564152500000001</v>
      </c>
      <c r="T14" s="93">
        <f>MIN(N(Crédits!$E$7),R14+S14)</f>
        <v>118.75</v>
      </c>
      <c r="U14" s="93">
        <f t="shared" si="4"/>
        <v>2149.23</v>
      </c>
      <c r="V14" s="94">
        <f>IF(Crédits!$K$7="",0,MAX(0,MIN(U14,Plan!$L$16-(IF(Crédits!$K$5="",0,IF(Crédits!$K$5&lt;Crédits!$K$7,E14,0))+IF(Crédits!$K$6="",0,IF(Crédits!$K$6&lt;Crédits!$K$7,M14,0))+IF(Crédits!$K$8="",0,IF(Crédits!$K$8&lt;Crédits!$K$7,AC14,0))+IF(Crédits!$K$9="",0,IF(Crédits!$K$9&lt;Crédits!$K$7,AK14,0))+IF(Crédits!$K$10="",0,IF(Crédits!$K$10&lt;Crédits!$K$7,AS14,0))))))</f>
        <v>0</v>
      </c>
      <c r="W14" s="95">
        <f t="shared" si="5"/>
        <v>2149.23</v>
      </c>
      <c r="X14" s="88">
        <f>ROUND(X13+Y14-MIN(N(Crédits!$E$7),X13+Y14),2)</f>
        <v>2149.23</v>
      </c>
      <c r="Y14" s="89">
        <f>X13*N(Crédits!$D$7)/12</f>
        <v>11.564152500000001</v>
      </c>
      <c r="Z14" s="96">
        <f t="shared" si="19"/>
        <v>1072.97</v>
      </c>
      <c r="AA14" s="96">
        <f>Z14*N(Crédits!$D$8)/12</f>
        <v>1.07297</v>
      </c>
      <c r="AB14" s="96">
        <f>MIN(N(Crédits!$E$8),Z14+AA14)</f>
        <v>95</v>
      </c>
      <c r="AC14" s="96">
        <f t="shared" si="6"/>
        <v>979.04</v>
      </c>
      <c r="AD14" s="97">
        <f>IF(Crédits!$K$8="",0,MAX(0,MIN(AC14,Plan!$L$16-(IF(Crédits!$K$5="",0,IF(Crédits!$K$5&lt;Crédits!$K$8,E14,0))+IF(Crédits!$K$6="",0,IF(Crédits!$K$6&lt;Crédits!$K$8,M14,0))+IF(Crédits!$K$7="",0,IF(Crédits!$K$7&lt;Crédits!$K$8,U14,0))+IF(Crédits!$K$9="",0,IF(Crédits!$K$9&lt;Crédits!$K$8,AK14,0))+IF(Crédits!$K$10="",0,IF(Crédits!$K$10&lt;Crédits!$K$8,AS14,0))))))</f>
        <v>0</v>
      </c>
      <c r="AE14" s="98">
        <f t="shared" si="7"/>
        <v>979.04</v>
      </c>
      <c r="AF14" s="88">
        <f>ROUND(AF13+AG14-MIN(N(Crédits!$E$8),AF13+AG14),2)</f>
        <v>979.04</v>
      </c>
      <c r="AG14" s="89">
        <f>AF13*N(Crédits!$D$8)/12</f>
        <v>1.07297</v>
      </c>
      <c r="AH14" s="99">
        <f t="shared" si="20"/>
        <v>0</v>
      </c>
      <c r="AI14" s="99">
        <f>AH14*N(Crédits!$D$9)/12</f>
        <v>0</v>
      </c>
      <c r="AJ14" s="99">
        <f>MIN(N(Crédits!$E$9),AH14+AI14)</f>
        <v>0</v>
      </c>
      <c r="AK14" s="99">
        <f t="shared" si="8"/>
        <v>0</v>
      </c>
      <c r="AL14" s="100">
        <f>IF(Crédits!$K$9="",0,MAX(0,MIN(AK14,Plan!$L$16-(IF(Crédits!$K$5="",0,IF(Crédits!$K$5&lt;Crédits!$K$9,E14,0))+IF(Crédits!$K$6="",0,IF(Crédits!$K$6&lt;Crédits!$K$9,M14,0))+IF(Crédits!$K$7="",0,IF(Crédits!$K$7&lt;Crédits!$K$9,U14,0))+IF(Crédits!$K$8="",0,IF(Crédits!$K$8&lt;Crédits!$K$9,AC14,0))+IF(Crédits!$K$10="",0,IF(Crédits!$K$10&lt;Crédits!$K$9,AS14,0))))))</f>
        <v>0</v>
      </c>
      <c r="AM14" s="101">
        <f t="shared" si="9"/>
        <v>0</v>
      </c>
      <c r="AN14" s="88">
        <f>ROUND(AN13+AO14-MIN(N(Crédits!$E$9),AN13+AO14),2)</f>
        <v>0</v>
      </c>
      <c r="AO14" s="89">
        <f>AN13*N(Crédits!$D$9)/12</f>
        <v>0</v>
      </c>
      <c r="AP14" s="102">
        <f t="shared" si="21"/>
        <v>0</v>
      </c>
      <c r="AQ14" s="102">
        <f>AP14*N(Crédits!$D$10)/12</f>
        <v>0</v>
      </c>
      <c r="AR14" s="102">
        <f>MIN(N(Crédits!$E$10),AP14+AQ14)</f>
        <v>0</v>
      </c>
      <c r="AS14" s="102">
        <f t="shared" si="10"/>
        <v>0</v>
      </c>
      <c r="AT14" s="103">
        <f>IF(Crédits!$K$10="",0,MAX(0,MIN(AS14,Plan!$L$16-(IF(Crédits!$K$5="",0,IF(Crédits!$K$5&lt;Crédits!$K$10,E14,0))+IF(Crédits!$K$6="",0,IF(Crédits!$K$6&lt;Crédits!$K$10,M14,0))+IF(Crédits!$K$7="",0,IF(Crédits!$K$7&lt;Crédits!$K$10,U14,0))+IF(Crédits!$K$8="",0,IF(Crédits!$K$8&lt;Crédits!$K$10,AC14,0))+IF(Crédits!$K$9="",0,IF(Crédits!$K$9&lt;Crédits!$K$10,AK14,0))))))</f>
        <v>0</v>
      </c>
      <c r="AU14" s="104">
        <f t="shared" si="11"/>
        <v>0</v>
      </c>
      <c r="AV14" s="88">
        <f>ROUND(AV13+AW14-MIN(N(Crédits!$E$10),AV13+AW14),2)</f>
        <v>0</v>
      </c>
      <c r="AW14" s="89">
        <f>AV13*N(Crédits!$D$10)/12</f>
        <v>0</v>
      </c>
      <c r="AX14" s="105">
        <f t="shared" si="12"/>
        <v>531.45000000000005</v>
      </c>
      <c r="AY14" s="105">
        <f t="shared" ref="AY14:AZ14" si="32">F14+N14+V14+AD14+AL14+AT14</f>
        <v>386.12999999999994</v>
      </c>
      <c r="AZ14" s="105">
        <f t="shared" si="32"/>
        <v>9615.07</v>
      </c>
      <c r="BA14" s="105">
        <f t="shared" si="14"/>
        <v>57.265155833333331</v>
      </c>
      <c r="BB14" s="105">
        <f t="shared" si="15"/>
        <v>57.432893333333332</v>
      </c>
    </row>
    <row r="15" spans="1:54" ht="15" customHeight="1" x14ac:dyDescent="0.25">
      <c r="A15" s="2">
        <v>13</v>
      </c>
      <c r="B15" s="83">
        <f t="shared" si="16"/>
        <v>5600.31</v>
      </c>
      <c r="C15" s="83">
        <f>B15*N(Crédits!$D$5)/12</f>
        <v>22.867932500000006</v>
      </c>
      <c r="D15" s="83">
        <f>MIN(N(Crédits!$E$5),B15+C15)</f>
        <v>245.3</v>
      </c>
      <c r="E15" s="83">
        <f t="shared" si="0"/>
        <v>5377.88</v>
      </c>
      <c r="F15" s="86">
        <f>IF(Crédits!$K$5="",0,MAX(0,MIN(E15,Plan!$L$17-(IF(Crédits!$K$6="",0,IF(Crédits!$K$6&lt;Crédits!$K$5,M15,0))+IF(Crédits!$K$7="",0,IF(Crédits!$K$7&lt;Crédits!$K$5,U15,0))+IF(Crédits!$K$8="",0,IF(Crédits!$K$8&lt;Crédits!$K$5,AC15,0))+IF(Crédits!$K$9="",0,IF(Crédits!$K$9&lt;Crédits!$K$5,AK15,0))+IF(Crédits!$K$10="",0,IF(Crédits!$K$10&lt;Crédits!$K$5,AS15,0))))))</f>
        <v>0</v>
      </c>
      <c r="G15" s="87">
        <f t="shared" si="1"/>
        <v>5377.88</v>
      </c>
      <c r="H15" s="88">
        <f>ROUND(H14+I15-MIN(N(Crédits!$E$5),H14+I15),2)</f>
        <v>5377.88</v>
      </c>
      <c r="I15" s="89">
        <f>H14*N(Crédits!$D$5)/12</f>
        <v>22.867932500000006</v>
      </c>
      <c r="J15" s="90">
        <f t="shared" si="17"/>
        <v>886.49</v>
      </c>
      <c r="K15" s="90">
        <f>J15*N(Crédits!$D$6)/12</f>
        <v>13.962217500000001</v>
      </c>
      <c r="L15" s="90">
        <f>MIN(N(Crédits!$E$6),J15+K15)</f>
        <v>72.400000000000006</v>
      </c>
      <c r="M15" s="90">
        <f t="shared" si="2"/>
        <v>828.05</v>
      </c>
      <c r="N15" s="91">
        <f>IF(Crédits!$K$6="",0,MAX(0,MIN(M15,Plan!$L$17-(IF(Crédits!$K$5="",0,IF(Crédits!$K$5&lt;Crédits!$K$6,E15,0))+IF(Crédits!$K$7="",0,IF(Crédits!$K$7&lt;Crédits!$K$6,U15,0))+IF(Crédits!$K$8="",0,IF(Crédits!$K$8&lt;Crédits!$K$6,AC15,0))+IF(Crédits!$K$9="",0,IF(Crédits!$K$9&lt;Crédits!$K$6,AK15,0))+IF(Crédits!$K$10="",0,IF(Crédits!$K$10&lt;Crédits!$K$6,AS15,0))))))</f>
        <v>386.12999999999994</v>
      </c>
      <c r="O15" s="92">
        <f t="shared" si="3"/>
        <v>441.92</v>
      </c>
      <c r="P15" s="88">
        <f>ROUND(P14+Q15-MIN(N(Crédits!$E$6),P14+Q15),2)</f>
        <v>1231.24</v>
      </c>
      <c r="Q15" s="89">
        <f>P14*N(Crédits!$D$6)/12</f>
        <v>20.214022500000002</v>
      </c>
      <c r="R15" s="93">
        <f t="shared" si="18"/>
        <v>2149.23</v>
      </c>
      <c r="S15" s="93">
        <f>R15*N(Crédits!$D$7)/12</f>
        <v>11.01480375</v>
      </c>
      <c r="T15" s="93">
        <f>MIN(N(Crédits!$E$7),R15+S15)</f>
        <v>118.75</v>
      </c>
      <c r="U15" s="93">
        <f t="shared" si="4"/>
        <v>2041.49</v>
      </c>
      <c r="V15" s="94">
        <f>IF(Crédits!$K$7="",0,MAX(0,MIN(U15,Plan!$L$17-(IF(Crédits!$K$5="",0,IF(Crédits!$K$5&lt;Crédits!$K$7,E15,0))+IF(Crédits!$K$6="",0,IF(Crédits!$K$6&lt;Crédits!$K$7,M15,0))+IF(Crédits!$K$8="",0,IF(Crédits!$K$8&lt;Crédits!$K$7,AC15,0))+IF(Crédits!$K$9="",0,IF(Crédits!$K$9&lt;Crédits!$K$7,AK15,0))+IF(Crédits!$K$10="",0,IF(Crédits!$K$10&lt;Crédits!$K$7,AS15,0))))))</f>
        <v>0</v>
      </c>
      <c r="W15" s="95">
        <f t="shared" si="5"/>
        <v>2041.49</v>
      </c>
      <c r="X15" s="88">
        <f>ROUND(X14+Y15-MIN(N(Crédits!$E$7),X14+Y15),2)</f>
        <v>2041.49</v>
      </c>
      <c r="Y15" s="89">
        <f>X14*N(Crédits!$D$7)/12</f>
        <v>11.01480375</v>
      </c>
      <c r="Z15" s="96">
        <f t="shared" si="19"/>
        <v>979.04</v>
      </c>
      <c r="AA15" s="96">
        <f>Z15*N(Crédits!$D$8)/12</f>
        <v>0.97903999999999991</v>
      </c>
      <c r="AB15" s="96">
        <f>MIN(N(Crédits!$E$8),Z15+AA15)</f>
        <v>95</v>
      </c>
      <c r="AC15" s="96">
        <f t="shared" si="6"/>
        <v>885.02</v>
      </c>
      <c r="AD15" s="97">
        <f>IF(Crédits!$K$8="",0,MAX(0,MIN(AC15,Plan!$L$17-(IF(Crédits!$K$5="",0,IF(Crédits!$K$5&lt;Crédits!$K$8,E15,0))+IF(Crédits!$K$6="",0,IF(Crédits!$K$6&lt;Crédits!$K$8,M15,0))+IF(Crédits!$K$7="",0,IF(Crédits!$K$7&lt;Crédits!$K$8,U15,0))+IF(Crédits!$K$9="",0,IF(Crédits!$K$9&lt;Crédits!$K$8,AK15,0))+IF(Crédits!$K$10="",0,IF(Crédits!$K$10&lt;Crédits!$K$8,AS15,0))))))</f>
        <v>0</v>
      </c>
      <c r="AE15" s="98">
        <f t="shared" si="7"/>
        <v>885.02</v>
      </c>
      <c r="AF15" s="88">
        <f>ROUND(AF14+AG15-MIN(N(Crédits!$E$8),AF14+AG15),2)</f>
        <v>885.02</v>
      </c>
      <c r="AG15" s="89">
        <f>AF14*N(Crédits!$D$8)/12</f>
        <v>0.97903999999999991</v>
      </c>
      <c r="AH15" s="99">
        <f t="shared" si="20"/>
        <v>0</v>
      </c>
      <c r="AI15" s="99">
        <f>AH15*N(Crédits!$D$9)/12</f>
        <v>0</v>
      </c>
      <c r="AJ15" s="99">
        <f>MIN(N(Crédits!$E$9),AH15+AI15)</f>
        <v>0</v>
      </c>
      <c r="AK15" s="99">
        <f t="shared" si="8"/>
        <v>0</v>
      </c>
      <c r="AL15" s="100">
        <f>IF(Crédits!$K$9="",0,MAX(0,MIN(AK15,Plan!$L$17-(IF(Crédits!$K$5="",0,IF(Crédits!$K$5&lt;Crédits!$K$9,E15,0))+IF(Crédits!$K$6="",0,IF(Crédits!$K$6&lt;Crédits!$K$9,M15,0))+IF(Crédits!$K$7="",0,IF(Crédits!$K$7&lt;Crédits!$K$9,U15,0))+IF(Crédits!$K$8="",0,IF(Crédits!$K$8&lt;Crédits!$K$9,AC15,0))+IF(Crédits!$K$10="",0,IF(Crédits!$K$10&lt;Crédits!$K$9,AS15,0))))))</f>
        <v>0</v>
      </c>
      <c r="AM15" s="101">
        <f t="shared" si="9"/>
        <v>0</v>
      </c>
      <c r="AN15" s="88">
        <f>ROUND(AN14+AO15-MIN(N(Crédits!$E$9),AN14+AO15),2)</f>
        <v>0</v>
      </c>
      <c r="AO15" s="89">
        <f>AN14*N(Crédits!$D$9)/12</f>
        <v>0</v>
      </c>
      <c r="AP15" s="102">
        <f t="shared" si="21"/>
        <v>0</v>
      </c>
      <c r="AQ15" s="102">
        <f>AP15*N(Crédits!$D$10)/12</f>
        <v>0</v>
      </c>
      <c r="AR15" s="102">
        <f>MIN(N(Crédits!$E$10),AP15+AQ15)</f>
        <v>0</v>
      </c>
      <c r="AS15" s="102">
        <f t="shared" si="10"/>
        <v>0</v>
      </c>
      <c r="AT15" s="103">
        <f>IF(Crédits!$K$10="",0,MAX(0,MIN(AS15,Plan!$L$17-(IF(Crédits!$K$5="",0,IF(Crédits!$K$5&lt;Crédits!$K$10,E15,0))+IF(Crédits!$K$6="",0,IF(Crédits!$K$6&lt;Crédits!$K$10,M15,0))+IF(Crédits!$K$7="",0,IF(Crédits!$K$7&lt;Crédits!$K$10,U15,0))+IF(Crédits!$K$8="",0,IF(Crédits!$K$8&lt;Crédits!$K$10,AC15,0))+IF(Crédits!$K$9="",0,IF(Crédits!$K$9&lt;Crédits!$K$10,AK15,0))))))</f>
        <v>0</v>
      </c>
      <c r="AU15" s="104">
        <f t="shared" si="11"/>
        <v>0</v>
      </c>
      <c r="AV15" s="88">
        <f>ROUND(AV14+AW15-MIN(N(Crédits!$E$10),AV14+AW15),2)</f>
        <v>0</v>
      </c>
      <c r="AW15" s="89">
        <f>AV14*N(Crédits!$D$10)/12</f>
        <v>0</v>
      </c>
      <c r="AX15" s="105">
        <f t="shared" si="12"/>
        <v>531.45000000000005</v>
      </c>
      <c r="AY15" s="105">
        <f t="shared" ref="AY15:AZ15" si="33">F15+N15+V15+AD15+AL15+AT15</f>
        <v>386.12999999999994</v>
      </c>
      <c r="AZ15" s="105">
        <f t="shared" si="33"/>
        <v>8746.31</v>
      </c>
      <c r="BA15" s="105">
        <f t="shared" si="14"/>
        <v>48.82399375</v>
      </c>
      <c r="BB15" s="105">
        <f t="shared" si="15"/>
        <v>55.075798750000004</v>
      </c>
    </row>
    <row r="16" spans="1:54" ht="15" customHeight="1" x14ac:dyDescent="0.25">
      <c r="A16" s="2">
        <v>14</v>
      </c>
      <c r="B16" s="83">
        <f t="shared" si="16"/>
        <v>5377.88</v>
      </c>
      <c r="C16" s="83">
        <f>B16*N(Crédits!$D$5)/12</f>
        <v>21.959676666666667</v>
      </c>
      <c r="D16" s="83">
        <f>MIN(N(Crédits!$E$5),B16+C16)</f>
        <v>245.3</v>
      </c>
      <c r="E16" s="83">
        <f t="shared" si="0"/>
        <v>5154.54</v>
      </c>
      <c r="F16" s="86">
        <f>IF(Crédits!$K$5="",0,MAX(0,MIN(E16,Plan!$L$18-(IF(Crédits!$K$6="",0,IF(Crédits!$K$6&lt;Crédits!$K$5,M16,0))+IF(Crédits!$K$7="",0,IF(Crédits!$K$7&lt;Crédits!$K$5,U16,0))+IF(Crédits!$K$8="",0,IF(Crédits!$K$8&lt;Crédits!$K$5,AC16,0))+IF(Crédits!$K$9="",0,IF(Crédits!$K$9&lt;Crédits!$K$5,AK16,0))+IF(Crédits!$K$10="",0,IF(Crédits!$K$10&lt;Crédits!$K$5,AS16,0))))))</f>
        <v>0</v>
      </c>
      <c r="G16" s="87">
        <f t="shared" si="1"/>
        <v>5154.54</v>
      </c>
      <c r="H16" s="88">
        <f>ROUND(H15+I16-MIN(N(Crédits!$E$5),H15+I16),2)</f>
        <v>5154.54</v>
      </c>
      <c r="I16" s="89">
        <f>H15*N(Crédits!$D$5)/12</f>
        <v>21.959676666666667</v>
      </c>
      <c r="J16" s="90">
        <f t="shared" si="17"/>
        <v>441.92</v>
      </c>
      <c r="K16" s="90">
        <f>J16*N(Crédits!$D$6)/12</f>
        <v>6.9602399999999998</v>
      </c>
      <c r="L16" s="90">
        <f>MIN(N(Crédits!$E$6),J16+K16)</f>
        <v>72.400000000000006</v>
      </c>
      <c r="M16" s="90">
        <f t="shared" si="2"/>
        <v>376.48</v>
      </c>
      <c r="N16" s="91">
        <f>IF(Crédits!$K$6="",0,MAX(0,MIN(M16,Plan!$L$18-(IF(Crédits!$K$5="",0,IF(Crédits!$K$5&lt;Crédits!$K$6,E16,0))+IF(Crédits!$K$7="",0,IF(Crédits!$K$7&lt;Crédits!$K$6,U16,0))+IF(Crédits!$K$8="",0,IF(Crédits!$K$8&lt;Crédits!$K$6,AC16,0))+IF(Crédits!$K$9="",0,IF(Crédits!$K$9&lt;Crédits!$K$6,AK16,0))+IF(Crédits!$K$10="",0,IF(Crédits!$K$10&lt;Crédits!$K$6,AS16,0))))))</f>
        <v>376.48</v>
      </c>
      <c r="O16" s="92">
        <f t="shared" si="3"/>
        <v>0</v>
      </c>
      <c r="P16" s="88">
        <f>ROUND(P15+Q16-MIN(N(Crédits!$E$6),P15+Q16),2)</f>
        <v>1178.23</v>
      </c>
      <c r="Q16" s="89">
        <f>P15*N(Crédits!$D$6)/12</f>
        <v>19.392030000000002</v>
      </c>
      <c r="R16" s="93">
        <f t="shared" si="18"/>
        <v>2041.49</v>
      </c>
      <c r="S16" s="93">
        <f>R16*N(Crédits!$D$7)/12</f>
        <v>10.462636250000001</v>
      </c>
      <c r="T16" s="93">
        <f>MIN(N(Crédits!$E$7),R16+S16)</f>
        <v>118.75</v>
      </c>
      <c r="U16" s="93">
        <f t="shared" si="4"/>
        <v>1933.2</v>
      </c>
      <c r="V16" s="94">
        <f>IF(Crédits!$K$7="",0,MAX(0,MIN(U16,Plan!$L$18-(IF(Crédits!$K$5="",0,IF(Crédits!$K$5&lt;Crédits!$K$7,E16,0))+IF(Crédits!$K$6="",0,IF(Crédits!$K$6&lt;Crédits!$K$7,M16,0))+IF(Crédits!$K$8="",0,IF(Crédits!$K$8&lt;Crédits!$K$7,AC16,0))+IF(Crédits!$K$9="",0,IF(Crédits!$K$9&lt;Crédits!$K$7,AK16,0))+IF(Crédits!$K$10="",0,IF(Crédits!$K$10&lt;Crédits!$K$7,AS16,0))))))</f>
        <v>9.6499999999999204</v>
      </c>
      <c r="W16" s="95">
        <f t="shared" si="5"/>
        <v>1923.55</v>
      </c>
      <c r="X16" s="88">
        <f>ROUND(X15+Y16-MIN(N(Crédits!$E$7),X15+Y16),2)</f>
        <v>1933.2</v>
      </c>
      <c r="Y16" s="89">
        <f>X15*N(Crédits!$D$7)/12</f>
        <v>10.462636250000001</v>
      </c>
      <c r="Z16" s="96">
        <f t="shared" si="19"/>
        <v>885.02</v>
      </c>
      <c r="AA16" s="96">
        <f>Z16*N(Crédits!$D$8)/12</f>
        <v>0.88502000000000003</v>
      </c>
      <c r="AB16" s="96">
        <f>MIN(N(Crédits!$E$8),Z16+AA16)</f>
        <v>95</v>
      </c>
      <c r="AC16" s="96">
        <f t="shared" si="6"/>
        <v>790.91</v>
      </c>
      <c r="AD16" s="97">
        <f>IF(Crédits!$K$8="",0,MAX(0,MIN(AC16,Plan!$L$18-(IF(Crédits!$K$5="",0,IF(Crédits!$K$5&lt;Crédits!$K$8,E16,0))+IF(Crédits!$K$6="",0,IF(Crédits!$K$6&lt;Crédits!$K$8,M16,0))+IF(Crédits!$K$7="",0,IF(Crédits!$K$7&lt;Crédits!$K$8,U16,0))+IF(Crédits!$K$9="",0,IF(Crédits!$K$9&lt;Crédits!$K$8,AK16,0))+IF(Crédits!$K$10="",0,IF(Crédits!$K$10&lt;Crédits!$K$8,AS16,0))))))</f>
        <v>0</v>
      </c>
      <c r="AE16" s="98">
        <f t="shared" si="7"/>
        <v>790.91</v>
      </c>
      <c r="AF16" s="88">
        <f>ROUND(AF15+AG16-MIN(N(Crédits!$E$8),AF15+AG16),2)</f>
        <v>790.91</v>
      </c>
      <c r="AG16" s="89">
        <f>AF15*N(Crédits!$D$8)/12</f>
        <v>0.88502000000000003</v>
      </c>
      <c r="AH16" s="99">
        <f t="shared" si="20"/>
        <v>0</v>
      </c>
      <c r="AI16" s="99">
        <f>AH16*N(Crédits!$D$9)/12</f>
        <v>0</v>
      </c>
      <c r="AJ16" s="99">
        <f>MIN(N(Crédits!$E$9),AH16+AI16)</f>
        <v>0</v>
      </c>
      <c r="AK16" s="99">
        <f t="shared" si="8"/>
        <v>0</v>
      </c>
      <c r="AL16" s="100">
        <f>IF(Crédits!$K$9="",0,MAX(0,MIN(AK16,Plan!$L$18-(IF(Crédits!$K$5="",0,IF(Crédits!$K$5&lt;Crédits!$K$9,E16,0))+IF(Crédits!$K$6="",0,IF(Crédits!$K$6&lt;Crédits!$K$9,M16,0))+IF(Crédits!$K$7="",0,IF(Crédits!$K$7&lt;Crédits!$K$9,U16,0))+IF(Crédits!$K$8="",0,IF(Crédits!$K$8&lt;Crédits!$K$9,AC16,0))+IF(Crédits!$K$10="",0,IF(Crédits!$K$10&lt;Crédits!$K$9,AS16,0))))))</f>
        <v>0</v>
      </c>
      <c r="AM16" s="101">
        <f t="shared" si="9"/>
        <v>0</v>
      </c>
      <c r="AN16" s="88">
        <f>ROUND(AN15+AO16-MIN(N(Crédits!$E$9),AN15+AO16),2)</f>
        <v>0</v>
      </c>
      <c r="AO16" s="89">
        <f>AN15*N(Crédits!$D$9)/12</f>
        <v>0</v>
      </c>
      <c r="AP16" s="102">
        <f t="shared" si="21"/>
        <v>0</v>
      </c>
      <c r="AQ16" s="102">
        <f>AP16*N(Crédits!$D$10)/12</f>
        <v>0</v>
      </c>
      <c r="AR16" s="102">
        <f>MIN(N(Crédits!$E$10),AP16+AQ16)</f>
        <v>0</v>
      </c>
      <c r="AS16" s="102">
        <f t="shared" si="10"/>
        <v>0</v>
      </c>
      <c r="AT16" s="103">
        <f>IF(Crédits!$K$10="",0,MAX(0,MIN(AS16,Plan!$L$18-(IF(Crédits!$K$5="",0,IF(Crédits!$K$5&lt;Crédits!$K$10,E16,0))+IF(Crédits!$K$6="",0,IF(Crédits!$K$6&lt;Crédits!$K$10,M16,0))+IF(Crédits!$K$7="",0,IF(Crédits!$K$7&lt;Crédits!$K$10,U16,0))+IF(Crédits!$K$8="",0,IF(Crédits!$K$8&lt;Crédits!$K$10,AC16,0))+IF(Crédits!$K$9="",0,IF(Crédits!$K$9&lt;Crédits!$K$10,AK16,0))))))</f>
        <v>0</v>
      </c>
      <c r="AU16" s="104">
        <f t="shared" si="11"/>
        <v>0</v>
      </c>
      <c r="AV16" s="88">
        <f>ROUND(AV15+AW16-MIN(N(Crédits!$E$10),AV15+AW16),2)</f>
        <v>0</v>
      </c>
      <c r="AW16" s="89">
        <f>AV15*N(Crédits!$D$10)/12</f>
        <v>0</v>
      </c>
      <c r="AX16" s="105">
        <f t="shared" si="12"/>
        <v>531.45000000000005</v>
      </c>
      <c r="AY16" s="105">
        <f t="shared" ref="AY16:AZ16" si="34">F16+N16+V16+AD16+AL16+AT16</f>
        <v>386.12999999999994</v>
      </c>
      <c r="AZ16" s="105">
        <f t="shared" si="34"/>
        <v>7869</v>
      </c>
      <c r="BA16" s="105">
        <f t="shared" si="14"/>
        <v>40.267572916666666</v>
      </c>
      <c r="BB16" s="105">
        <f t="shared" si="15"/>
        <v>52.699362916666672</v>
      </c>
    </row>
    <row r="17" spans="1:54" ht="15" customHeight="1" x14ac:dyDescent="0.25">
      <c r="A17" s="2">
        <v>15</v>
      </c>
      <c r="B17" s="83">
        <f t="shared" si="16"/>
        <v>5154.54</v>
      </c>
      <c r="C17" s="83">
        <f>B17*N(Crédits!$D$5)/12</f>
        <v>21.047705000000001</v>
      </c>
      <c r="D17" s="83">
        <f>MIN(N(Crédits!$E$5),B17+C17)</f>
        <v>245.3</v>
      </c>
      <c r="E17" s="83">
        <f t="shared" si="0"/>
        <v>4930.29</v>
      </c>
      <c r="F17" s="86">
        <f>IF(Crédits!$K$5="",0,MAX(0,MIN(E17,Plan!$L$19-(IF(Crédits!$K$6="",0,IF(Crédits!$K$6&lt;Crédits!$K$5,M17,0))+IF(Crédits!$K$7="",0,IF(Crédits!$K$7&lt;Crédits!$K$5,U17,0))+IF(Crédits!$K$8="",0,IF(Crédits!$K$8&lt;Crédits!$K$5,AC17,0))+IF(Crédits!$K$9="",0,IF(Crédits!$K$9&lt;Crédits!$K$5,AK17,0))+IF(Crédits!$K$10="",0,IF(Crédits!$K$10&lt;Crédits!$K$5,AS17,0))))))</f>
        <v>0</v>
      </c>
      <c r="G17" s="87">
        <f t="shared" si="1"/>
        <v>4930.29</v>
      </c>
      <c r="H17" s="88">
        <f>ROUND(H16+I17-MIN(N(Crédits!$E$5),H16+I17),2)</f>
        <v>4930.29</v>
      </c>
      <c r="I17" s="89">
        <f>H16*N(Crédits!$D$5)/12</f>
        <v>21.047705000000001</v>
      </c>
      <c r="J17" s="90">
        <f t="shared" si="17"/>
        <v>0</v>
      </c>
      <c r="K17" s="90">
        <f>J17*N(Crédits!$D$6)/12</f>
        <v>0</v>
      </c>
      <c r="L17" s="90">
        <f>MIN(N(Crédits!$E$6),J17+K17)</f>
        <v>0</v>
      </c>
      <c r="M17" s="90">
        <f t="shared" si="2"/>
        <v>0</v>
      </c>
      <c r="N17" s="91">
        <f>IF(Crédits!$K$6="",0,MAX(0,MIN(M17,Plan!$L$19-(IF(Crédits!$K$5="",0,IF(Crédits!$K$5&lt;Crédits!$K$6,E17,0))+IF(Crédits!$K$7="",0,IF(Crédits!$K$7&lt;Crédits!$K$6,U17,0))+IF(Crédits!$K$8="",0,IF(Crédits!$K$8&lt;Crédits!$K$6,AC17,0))+IF(Crédits!$K$9="",0,IF(Crédits!$K$9&lt;Crédits!$K$6,AK17,0))+IF(Crédits!$K$10="",0,IF(Crédits!$K$10&lt;Crédits!$K$6,AS17,0))))))</f>
        <v>0</v>
      </c>
      <c r="O17" s="92">
        <f t="shared" si="3"/>
        <v>0</v>
      </c>
      <c r="P17" s="88">
        <f>ROUND(P16+Q17-MIN(N(Crédits!$E$6),P16+Q17),2)</f>
        <v>1124.3900000000001</v>
      </c>
      <c r="Q17" s="89">
        <f>P16*N(Crédits!$D$6)/12</f>
        <v>18.557122500000002</v>
      </c>
      <c r="R17" s="93">
        <f t="shared" si="18"/>
        <v>1923.55</v>
      </c>
      <c r="S17" s="93">
        <f>R17*N(Crédits!$D$7)/12</f>
        <v>9.8581937499999999</v>
      </c>
      <c r="T17" s="93">
        <f>MIN(N(Crédits!$E$7),R17+S17)</f>
        <v>118.75</v>
      </c>
      <c r="U17" s="93">
        <f t="shared" si="4"/>
        <v>1814.66</v>
      </c>
      <c r="V17" s="94">
        <f>IF(Crédits!$K$7="",0,MAX(0,MIN(U17,Plan!$L$19-(IF(Crédits!$K$5="",0,IF(Crédits!$K$5&lt;Crédits!$K$7,E17,0))+IF(Crédits!$K$6="",0,IF(Crédits!$K$6&lt;Crédits!$K$7,M17,0))+IF(Crédits!$K$8="",0,IF(Crédits!$K$8&lt;Crédits!$K$7,AC17,0))+IF(Crédits!$K$9="",0,IF(Crédits!$K$9&lt;Crédits!$K$7,AK17,0))+IF(Crédits!$K$10="",0,IF(Crédits!$K$10&lt;Crédits!$K$7,AS17,0))))))</f>
        <v>429.57</v>
      </c>
      <c r="W17" s="95">
        <f t="shared" si="5"/>
        <v>1385.09</v>
      </c>
      <c r="X17" s="88">
        <f>ROUND(X16+Y17-MIN(N(Crédits!$E$7),X16+Y17),2)</f>
        <v>1824.36</v>
      </c>
      <c r="Y17" s="89">
        <f>X16*N(Crédits!$D$7)/12</f>
        <v>9.9076500000000003</v>
      </c>
      <c r="Z17" s="96">
        <f t="shared" si="19"/>
        <v>790.91</v>
      </c>
      <c r="AA17" s="96">
        <f>Z17*N(Crédits!$D$8)/12</f>
        <v>0.79090999999999989</v>
      </c>
      <c r="AB17" s="96">
        <f>MIN(N(Crédits!$E$8),Z17+AA17)</f>
        <v>95</v>
      </c>
      <c r="AC17" s="96">
        <f t="shared" si="6"/>
        <v>696.7</v>
      </c>
      <c r="AD17" s="97">
        <f>IF(Crédits!$K$8="",0,MAX(0,MIN(AC17,Plan!$L$19-(IF(Crédits!$K$5="",0,IF(Crédits!$K$5&lt;Crédits!$K$8,E17,0))+IF(Crédits!$K$6="",0,IF(Crédits!$K$6&lt;Crédits!$K$8,M17,0))+IF(Crédits!$K$7="",0,IF(Crédits!$K$7&lt;Crédits!$K$8,U17,0))+IF(Crédits!$K$9="",0,IF(Crédits!$K$9&lt;Crédits!$K$8,AK17,0))+IF(Crédits!$K$10="",0,IF(Crédits!$K$10&lt;Crédits!$K$8,AS17,0))))))</f>
        <v>0</v>
      </c>
      <c r="AE17" s="98">
        <f t="shared" si="7"/>
        <v>696.7</v>
      </c>
      <c r="AF17" s="88">
        <f>ROUND(AF16+AG17-MIN(N(Crédits!$E$8),AF16+AG17),2)</f>
        <v>696.7</v>
      </c>
      <c r="AG17" s="89">
        <f>AF16*N(Crédits!$D$8)/12</f>
        <v>0.79090999999999989</v>
      </c>
      <c r="AH17" s="99">
        <f t="shared" si="20"/>
        <v>0</v>
      </c>
      <c r="AI17" s="99">
        <f>AH17*N(Crédits!$D$9)/12</f>
        <v>0</v>
      </c>
      <c r="AJ17" s="99">
        <f>MIN(N(Crédits!$E$9),AH17+AI17)</f>
        <v>0</v>
      </c>
      <c r="AK17" s="99">
        <f t="shared" si="8"/>
        <v>0</v>
      </c>
      <c r="AL17" s="100">
        <f>IF(Crédits!$K$9="",0,MAX(0,MIN(AK17,Plan!$L$19-(IF(Crédits!$K$5="",0,IF(Crédits!$K$5&lt;Crédits!$K$9,E17,0))+IF(Crédits!$K$6="",0,IF(Crédits!$K$6&lt;Crédits!$K$9,M17,0))+IF(Crédits!$K$7="",0,IF(Crédits!$K$7&lt;Crédits!$K$9,U17,0))+IF(Crédits!$K$8="",0,IF(Crédits!$K$8&lt;Crédits!$K$9,AC17,0))+IF(Crédits!$K$10="",0,IF(Crédits!$K$10&lt;Crédits!$K$9,AS17,0))))))</f>
        <v>0</v>
      </c>
      <c r="AM17" s="101">
        <f t="shared" si="9"/>
        <v>0</v>
      </c>
      <c r="AN17" s="88">
        <f>ROUND(AN16+AO17-MIN(N(Crédits!$E$9),AN16+AO17),2)</f>
        <v>0</v>
      </c>
      <c r="AO17" s="89">
        <f>AN16*N(Crédits!$D$9)/12</f>
        <v>0</v>
      </c>
      <c r="AP17" s="102">
        <f t="shared" si="21"/>
        <v>0</v>
      </c>
      <c r="AQ17" s="102">
        <f>AP17*N(Crédits!$D$10)/12</f>
        <v>0</v>
      </c>
      <c r="AR17" s="102">
        <f>MIN(N(Crédits!$E$10),AP17+AQ17)</f>
        <v>0</v>
      </c>
      <c r="AS17" s="102">
        <f t="shared" si="10"/>
        <v>0</v>
      </c>
      <c r="AT17" s="103">
        <f>IF(Crédits!$K$10="",0,MAX(0,MIN(AS17,Plan!$L$19-(IF(Crédits!$K$5="",0,IF(Crédits!$K$5&lt;Crédits!$K$10,E17,0))+IF(Crédits!$K$6="",0,IF(Crédits!$K$6&lt;Crédits!$K$10,M17,0))+IF(Crédits!$K$7="",0,IF(Crédits!$K$7&lt;Crédits!$K$10,U17,0))+IF(Crédits!$K$8="",0,IF(Crédits!$K$8&lt;Crédits!$K$10,AC17,0))+IF(Crédits!$K$9="",0,IF(Crédits!$K$9&lt;Crédits!$K$10,AK17,0))))))</f>
        <v>0</v>
      </c>
      <c r="AU17" s="104">
        <f t="shared" si="11"/>
        <v>0</v>
      </c>
      <c r="AV17" s="88">
        <f>ROUND(AV16+AW17-MIN(N(Crédits!$E$10),AV16+AW17),2)</f>
        <v>0</v>
      </c>
      <c r="AW17" s="89">
        <f>AV16*N(Crédits!$D$10)/12</f>
        <v>0</v>
      </c>
      <c r="AX17" s="105">
        <f t="shared" si="12"/>
        <v>459.05</v>
      </c>
      <c r="AY17" s="105">
        <f t="shared" ref="AY17:AZ17" si="35">F17+N17+V17+AD17+AL17+AT17</f>
        <v>429.57</v>
      </c>
      <c r="AZ17" s="105">
        <f t="shared" si="35"/>
        <v>7012.08</v>
      </c>
      <c r="BA17" s="105">
        <f t="shared" si="14"/>
        <v>31.696808749999999</v>
      </c>
      <c r="BB17" s="105">
        <f t="shared" si="15"/>
        <v>50.303387499999999</v>
      </c>
    </row>
    <row r="18" spans="1:54" ht="15" customHeight="1" x14ac:dyDescent="0.25">
      <c r="A18" s="2">
        <v>16</v>
      </c>
      <c r="B18" s="83">
        <f t="shared" si="16"/>
        <v>4930.29</v>
      </c>
      <c r="C18" s="83">
        <f>B18*N(Crédits!$D$5)/12</f>
        <v>20.1320175</v>
      </c>
      <c r="D18" s="83">
        <f>MIN(N(Crédits!$E$5),B18+C18)</f>
        <v>245.3</v>
      </c>
      <c r="E18" s="83">
        <f t="shared" si="0"/>
        <v>4705.12</v>
      </c>
      <c r="F18" s="86">
        <f>IF(Crédits!$K$5="",0,MAX(0,MIN(E18,Plan!$L$20-(IF(Crédits!$K$6="",0,IF(Crédits!$K$6&lt;Crédits!$K$5,M18,0))+IF(Crédits!$K$7="",0,IF(Crédits!$K$7&lt;Crédits!$K$5,U18,0))+IF(Crédits!$K$8="",0,IF(Crédits!$K$8&lt;Crédits!$K$5,AC18,0))+IF(Crédits!$K$9="",0,IF(Crédits!$K$9&lt;Crédits!$K$5,AK18,0))+IF(Crédits!$K$10="",0,IF(Crédits!$K$10&lt;Crédits!$K$5,AS18,0))))))</f>
        <v>0</v>
      </c>
      <c r="G18" s="87">
        <f t="shared" si="1"/>
        <v>4705.12</v>
      </c>
      <c r="H18" s="88">
        <f>ROUND(H17+I18-MIN(N(Crédits!$E$5),H17+I18),2)</f>
        <v>4705.12</v>
      </c>
      <c r="I18" s="89">
        <f>H17*N(Crédits!$D$5)/12</f>
        <v>20.1320175</v>
      </c>
      <c r="J18" s="90">
        <f t="shared" si="17"/>
        <v>0</v>
      </c>
      <c r="K18" s="90">
        <f>J18*N(Crédits!$D$6)/12</f>
        <v>0</v>
      </c>
      <c r="L18" s="90">
        <f>MIN(N(Crédits!$E$6),J18+K18)</f>
        <v>0</v>
      </c>
      <c r="M18" s="90">
        <f t="shared" si="2"/>
        <v>0</v>
      </c>
      <c r="N18" s="91">
        <f>IF(Crédits!$K$6="",0,MAX(0,MIN(M18,Plan!$L$20-(IF(Crédits!$K$5="",0,IF(Crédits!$K$5&lt;Crédits!$K$6,E18,0))+IF(Crédits!$K$7="",0,IF(Crédits!$K$7&lt;Crédits!$K$6,U18,0))+IF(Crédits!$K$8="",0,IF(Crédits!$K$8&lt;Crédits!$K$6,AC18,0))+IF(Crédits!$K$9="",0,IF(Crédits!$K$9&lt;Crédits!$K$6,AK18,0))+IF(Crédits!$K$10="",0,IF(Crédits!$K$10&lt;Crédits!$K$6,AS18,0))))))</f>
        <v>0</v>
      </c>
      <c r="O18" s="92">
        <f t="shared" si="3"/>
        <v>0</v>
      </c>
      <c r="P18" s="88">
        <f>ROUND(P17+Q18-MIN(N(Crédits!$E$6),P17+Q18),2)</f>
        <v>1069.7</v>
      </c>
      <c r="Q18" s="89">
        <f>P17*N(Crédits!$D$6)/12</f>
        <v>17.709142500000002</v>
      </c>
      <c r="R18" s="93">
        <f t="shared" si="18"/>
        <v>1385.09</v>
      </c>
      <c r="S18" s="93">
        <f>R18*N(Crédits!$D$7)/12</f>
        <v>7.0985862499999994</v>
      </c>
      <c r="T18" s="93">
        <f>MIN(N(Crédits!$E$7),R18+S18)</f>
        <v>118.75</v>
      </c>
      <c r="U18" s="93">
        <f t="shared" si="4"/>
        <v>1273.44</v>
      </c>
      <c r="V18" s="94">
        <f>IF(Crédits!$K$7="",0,MAX(0,MIN(U18,Plan!$L$20-(IF(Crédits!$K$5="",0,IF(Crédits!$K$5&lt;Crédits!$K$7,E18,0))+IF(Crédits!$K$6="",0,IF(Crédits!$K$6&lt;Crédits!$K$7,M18,0))+IF(Crédits!$K$8="",0,IF(Crédits!$K$8&lt;Crédits!$K$7,AC18,0))+IF(Crédits!$K$9="",0,IF(Crédits!$K$9&lt;Crédits!$K$7,AK18,0))+IF(Crédits!$K$10="",0,IF(Crédits!$K$10&lt;Crédits!$K$7,AS18,0))))))</f>
        <v>429.57</v>
      </c>
      <c r="W18" s="95">
        <f t="shared" si="5"/>
        <v>843.87</v>
      </c>
      <c r="X18" s="88">
        <f>ROUND(X17+Y18-MIN(N(Crédits!$E$7),X17+Y18),2)</f>
        <v>1714.96</v>
      </c>
      <c r="Y18" s="89">
        <f>X17*N(Crédits!$D$7)/12</f>
        <v>9.3498450000000002</v>
      </c>
      <c r="Z18" s="96">
        <f t="shared" si="19"/>
        <v>696.7</v>
      </c>
      <c r="AA18" s="96">
        <f>Z18*N(Crédits!$D$8)/12</f>
        <v>0.69669999999999999</v>
      </c>
      <c r="AB18" s="96">
        <f>MIN(N(Crédits!$E$8),Z18+AA18)</f>
        <v>95</v>
      </c>
      <c r="AC18" s="96">
        <f t="shared" si="6"/>
        <v>602.4</v>
      </c>
      <c r="AD18" s="97">
        <f>IF(Crédits!$K$8="",0,MAX(0,MIN(AC18,Plan!$L$20-(IF(Crédits!$K$5="",0,IF(Crédits!$K$5&lt;Crédits!$K$8,E18,0))+IF(Crédits!$K$6="",0,IF(Crédits!$K$6&lt;Crédits!$K$8,M18,0))+IF(Crédits!$K$7="",0,IF(Crédits!$K$7&lt;Crédits!$K$8,U18,0))+IF(Crédits!$K$9="",0,IF(Crédits!$K$9&lt;Crédits!$K$8,AK18,0))+IF(Crédits!$K$10="",0,IF(Crédits!$K$10&lt;Crédits!$K$8,AS18,0))))))</f>
        <v>0</v>
      </c>
      <c r="AE18" s="98">
        <f t="shared" si="7"/>
        <v>602.4</v>
      </c>
      <c r="AF18" s="88">
        <f>ROUND(AF17+AG18-MIN(N(Crédits!$E$8),AF17+AG18),2)</f>
        <v>602.4</v>
      </c>
      <c r="AG18" s="89">
        <f>AF17*N(Crédits!$D$8)/12</f>
        <v>0.69669999999999999</v>
      </c>
      <c r="AH18" s="99">
        <f t="shared" si="20"/>
        <v>0</v>
      </c>
      <c r="AI18" s="99">
        <f>AH18*N(Crédits!$D$9)/12</f>
        <v>0</v>
      </c>
      <c r="AJ18" s="99">
        <f>MIN(N(Crédits!$E$9),AH18+AI18)</f>
        <v>0</v>
      </c>
      <c r="AK18" s="99">
        <f t="shared" si="8"/>
        <v>0</v>
      </c>
      <c r="AL18" s="100">
        <f>IF(Crédits!$K$9="",0,MAX(0,MIN(AK18,Plan!$L$20-(IF(Crédits!$K$5="",0,IF(Crédits!$K$5&lt;Crédits!$K$9,E18,0))+IF(Crédits!$K$6="",0,IF(Crédits!$K$6&lt;Crédits!$K$9,M18,0))+IF(Crédits!$K$7="",0,IF(Crédits!$K$7&lt;Crédits!$K$9,U18,0))+IF(Crédits!$K$8="",0,IF(Crédits!$K$8&lt;Crédits!$K$9,AC18,0))+IF(Crédits!$K$10="",0,IF(Crédits!$K$10&lt;Crédits!$K$9,AS18,0))))))</f>
        <v>0</v>
      </c>
      <c r="AM18" s="101">
        <f t="shared" si="9"/>
        <v>0</v>
      </c>
      <c r="AN18" s="88">
        <f>ROUND(AN17+AO18-MIN(N(Crédits!$E$9),AN17+AO18),2)</f>
        <v>0</v>
      </c>
      <c r="AO18" s="89">
        <f>AN17*N(Crédits!$D$9)/12</f>
        <v>0</v>
      </c>
      <c r="AP18" s="102">
        <f t="shared" si="21"/>
        <v>0</v>
      </c>
      <c r="AQ18" s="102">
        <f>AP18*N(Crédits!$D$10)/12</f>
        <v>0</v>
      </c>
      <c r="AR18" s="102">
        <f>MIN(N(Crédits!$E$10),AP18+AQ18)</f>
        <v>0</v>
      </c>
      <c r="AS18" s="102">
        <f t="shared" si="10"/>
        <v>0</v>
      </c>
      <c r="AT18" s="103">
        <f>IF(Crédits!$K$10="",0,MAX(0,MIN(AS18,Plan!$L$20-(IF(Crédits!$K$5="",0,IF(Crédits!$K$5&lt;Crédits!$K$10,E18,0))+IF(Crédits!$K$6="",0,IF(Crédits!$K$6&lt;Crédits!$K$10,M18,0))+IF(Crédits!$K$7="",0,IF(Crédits!$K$7&lt;Crédits!$K$10,U18,0))+IF(Crédits!$K$8="",0,IF(Crédits!$K$8&lt;Crédits!$K$10,AC18,0))+IF(Crédits!$K$9="",0,IF(Crédits!$K$9&lt;Crédits!$K$10,AK18,0))))))</f>
        <v>0</v>
      </c>
      <c r="AU18" s="104">
        <f t="shared" si="11"/>
        <v>0</v>
      </c>
      <c r="AV18" s="88">
        <f>ROUND(AV17+AW18-MIN(N(Crédits!$E$10),AV17+AW18),2)</f>
        <v>0</v>
      </c>
      <c r="AW18" s="89">
        <f>AV17*N(Crédits!$D$10)/12</f>
        <v>0</v>
      </c>
      <c r="AX18" s="105">
        <f t="shared" si="12"/>
        <v>459.05</v>
      </c>
      <c r="AY18" s="105">
        <f t="shared" ref="AY18:AZ18" si="36">F18+N18+V18+AD18+AL18+AT18</f>
        <v>429.57</v>
      </c>
      <c r="AZ18" s="105">
        <f t="shared" si="36"/>
        <v>6151.3899999999994</v>
      </c>
      <c r="BA18" s="105">
        <f t="shared" si="14"/>
        <v>27.92730375</v>
      </c>
      <c r="BB18" s="105">
        <f t="shared" si="15"/>
        <v>47.887705000000004</v>
      </c>
    </row>
    <row r="19" spans="1:54" ht="15" customHeight="1" x14ac:dyDescent="0.25">
      <c r="A19" s="2">
        <v>17</v>
      </c>
      <c r="B19" s="83">
        <f t="shared" si="16"/>
        <v>4705.12</v>
      </c>
      <c r="C19" s="83">
        <f>B19*N(Crédits!$D$5)/12</f>
        <v>19.212573333333335</v>
      </c>
      <c r="D19" s="83">
        <f>MIN(N(Crédits!$E$5),B19+C19)</f>
        <v>245.3</v>
      </c>
      <c r="E19" s="83">
        <f t="shared" si="0"/>
        <v>4479.03</v>
      </c>
      <c r="F19" s="86">
        <f>IF(Crédits!$K$5="",0,MAX(0,MIN(E19,Plan!$L$21-(IF(Crédits!$K$6="",0,IF(Crédits!$K$6&lt;Crédits!$K$5,M19,0))+IF(Crédits!$K$7="",0,IF(Crédits!$K$7&lt;Crédits!$K$5,U19,0))+IF(Crédits!$K$8="",0,IF(Crédits!$K$8&lt;Crédits!$K$5,AC19,0))+IF(Crédits!$K$9="",0,IF(Crédits!$K$9&lt;Crédits!$K$5,AK19,0))+IF(Crédits!$K$10="",0,IF(Crédits!$K$10&lt;Crédits!$K$5,AS19,0))))))</f>
        <v>0</v>
      </c>
      <c r="G19" s="87">
        <f t="shared" si="1"/>
        <v>4479.03</v>
      </c>
      <c r="H19" s="88">
        <f>ROUND(H18+I19-MIN(N(Crédits!$E$5),H18+I19),2)</f>
        <v>4479.03</v>
      </c>
      <c r="I19" s="89">
        <f>H18*N(Crédits!$D$5)/12</f>
        <v>19.212573333333335</v>
      </c>
      <c r="J19" s="90">
        <f t="shared" si="17"/>
        <v>0</v>
      </c>
      <c r="K19" s="90">
        <f>J19*N(Crédits!$D$6)/12</f>
        <v>0</v>
      </c>
      <c r="L19" s="90">
        <f>MIN(N(Crédits!$E$6),J19+K19)</f>
        <v>0</v>
      </c>
      <c r="M19" s="90">
        <f t="shared" si="2"/>
        <v>0</v>
      </c>
      <c r="N19" s="91">
        <f>IF(Crédits!$K$6="",0,MAX(0,MIN(M19,Plan!$L$21-(IF(Crédits!$K$5="",0,IF(Crédits!$K$5&lt;Crédits!$K$6,E19,0))+IF(Crédits!$K$7="",0,IF(Crédits!$K$7&lt;Crédits!$K$6,U19,0))+IF(Crédits!$K$8="",0,IF(Crédits!$K$8&lt;Crédits!$K$6,AC19,0))+IF(Crédits!$K$9="",0,IF(Crédits!$K$9&lt;Crédits!$K$6,AK19,0))+IF(Crédits!$K$10="",0,IF(Crédits!$K$10&lt;Crédits!$K$6,AS19,0))))))</f>
        <v>0</v>
      </c>
      <c r="O19" s="92">
        <f t="shared" si="3"/>
        <v>0</v>
      </c>
      <c r="P19" s="88">
        <f>ROUND(P18+Q19-MIN(N(Crédits!$E$6),P18+Q19),2)</f>
        <v>1014.15</v>
      </c>
      <c r="Q19" s="89">
        <f>P18*N(Crédits!$D$6)/12</f>
        <v>16.847775000000002</v>
      </c>
      <c r="R19" s="93">
        <f t="shared" si="18"/>
        <v>843.87</v>
      </c>
      <c r="S19" s="93">
        <f>R19*N(Crédits!$D$7)/12</f>
        <v>4.3248337499999998</v>
      </c>
      <c r="T19" s="93">
        <f>MIN(N(Crédits!$E$7),R19+S19)</f>
        <v>118.75</v>
      </c>
      <c r="U19" s="93">
        <f t="shared" si="4"/>
        <v>729.44</v>
      </c>
      <c r="V19" s="94">
        <f>IF(Crédits!$K$7="",0,MAX(0,MIN(U19,Plan!$L$21-(IF(Crédits!$K$5="",0,IF(Crédits!$K$5&lt;Crédits!$K$7,E19,0))+IF(Crédits!$K$6="",0,IF(Crédits!$K$6&lt;Crédits!$K$7,M19,0))+IF(Crédits!$K$8="",0,IF(Crédits!$K$8&lt;Crédits!$K$7,AC19,0))+IF(Crédits!$K$9="",0,IF(Crédits!$K$9&lt;Crédits!$K$7,AK19,0))+IF(Crédits!$K$10="",0,IF(Crédits!$K$10&lt;Crédits!$K$7,AS19,0))))))</f>
        <v>429.57</v>
      </c>
      <c r="W19" s="95">
        <f t="shared" si="5"/>
        <v>299.87</v>
      </c>
      <c r="X19" s="88">
        <f>ROUND(X18+Y19-MIN(N(Crédits!$E$7),X18+Y19),2)</f>
        <v>1605</v>
      </c>
      <c r="Y19" s="89">
        <f>X18*N(Crédits!$D$7)/12</f>
        <v>8.7891700000000004</v>
      </c>
      <c r="Z19" s="96">
        <f t="shared" si="19"/>
        <v>602.4</v>
      </c>
      <c r="AA19" s="96">
        <f>Z19*N(Crédits!$D$8)/12</f>
        <v>0.60239999999999994</v>
      </c>
      <c r="AB19" s="96">
        <f>MIN(N(Crédits!$E$8),Z19+AA19)</f>
        <v>95</v>
      </c>
      <c r="AC19" s="96">
        <f t="shared" si="6"/>
        <v>508</v>
      </c>
      <c r="AD19" s="97">
        <f>IF(Crédits!$K$8="",0,MAX(0,MIN(AC19,Plan!$L$21-(IF(Crédits!$K$5="",0,IF(Crédits!$K$5&lt;Crédits!$K$8,E19,0))+IF(Crédits!$K$6="",0,IF(Crédits!$K$6&lt;Crédits!$K$8,M19,0))+IF(Crédits!$K$7="",0,IF(Crédits!$K$7&lt;Crédits!$K$8,U19,0))+IF(Crédits!$K$9="",0,IF(Crédits!$K$9&lt;Crédits!$K$8,AK19,0))+IF(Crédits!$K$10="",0,IF(Crédits!$K$10&lt;Crédits!$K$8,AS19,0))))))</f>
        <v>0</v>
      </c>
      <c r="AE19" s="98">
        <f t="shared" si="7"/>
        <v>508</v>
      </c>
      <c r="AF19" s="88">
        <f>ROUND(AF18+AG19-MIN(N(Crédits!$E$8),AF18+AG19),2)</f>
        <v>508</v>
      </c>
      <c r="AG19" s="89">
        <f>AF18*N(Crédits!$D$8)/12</f>
        <v>0.60239999999999994</v>
      </c>
      <c r="AH19" s="99">
        <f t="shared" si="20"/>
        <v>0</v>
      </c>
      <c r="AI19" s="99">
        <f>AH19*N(Crédits!$D$9)/12</f>
        <v>0</v>
      </c>
      <c r="AJ19" s="99">
        <f>MIN(N(Crédits!$E$9),AH19+AI19)</f>
        <v>0</v>
      </c>
      <c r="AK19" s="99">
        <f t="shared" si="8"/>
        <v>0</v>
      </c>
      <c r="AL19" s="100">
        <f>IF(Crédits!$K$9="",0,MAX(0,MIN(AK19,Plan!$L$21-(IF(Crédits!$K$5="",0,IF(Crédits!$K$5&lt;Crédits!$K$9,E19,0))+IF(Crédits!$K$6="",0,IF(Crédits!$K$6&lt;Crédits!$K$9,M19,0))+IF(Crédits!$K$7="",0,IF(Crédits!$K$7&lt;Crédits!$K$9,U19,0))+IF(Crédits!$K$8="",0,IF(Crédits!$K$8&lt;Crédits!$K$9,AC19,0))+IF(Crédits!$K$10="",0,IF(Crédits!$K$10&lt;Crédits!$K$9,AS19,0))))))</f>
        <v>0</v>
      </c>
      <c r="AM19" s="101">
        <f t="shared" si="9"/>
        <v>0</v>
      </c>
      <c r="AN19" s="88">
        <f>ROUND(AN18+AO19-MIN(N(Crédits!$E$9),AN18+AO19),2)</f>
        <v>0</v>
      </c>
      <c r="AO19" s="89">
        <f>AN18*N(Crédits!$D$9)/12</f>
        <v>0</v>
      </c>
      <c r="AP19" s="102">
        <f t="shared" si="21"/>
        <v>0</v>
      </c>
      <c r="AQ19" s="102">
        <f>AP19*N(Crédits!$D$10)/12</f>
        <v>0</v>
      </c>
      <c r="AR19" s="102">
        <f>MIN(N(Crédits!$E$10),AP19+AQ19)</f>
        <v>0</v>
      </c>
      <c r="AS19" s="102">
        <f t="shared" si="10"/>
        <v>0</v>
      </c>
      <c r="AT19" s="103">
        <f>IF(Crédits!$K$10="",0,MAX(0,MIN(AS19,Plan!$L$21-(IF(Crédits!$K$5="",0,IF(Crédits!$K$5&lt;Crédits!$K$10,E19,0))+IF(Crédits!$K$6="",0,IF(Crédits!$K$6&lt;Crédits!$K$10,M19,0))+IF(Crédits!$K$7="",0,IF(Crédits!$K$7&lt;Crédits!$K$10,U19,0))+IF(Crédits!$K$8="",0,IF(Crédits!$K$8&lt;Crédits!$K$10,AC19,0))+IF(Crédits!$K$9="",0,IF(Crédits!$K$9&lt;Crédits!$K$10,AK19,0))))))</f>
        <v>0</v>
      </c>
      <c r="AU19" s="104">
        <f t="shared" si="11"/>
        <v>0</v>
      </c>
      <c r="AV19" s="88">
        <f>ROUND(AV18+AW19-MIN(N(Crédits!$E$10),AV18+AW19),2)</f>
        <v>0</v>
      </c>
      <c r="AW19" s="89">
        <f>AV18*N(Crédits!$D$10)/12</f>
        <v>0</v>
      </c>
      <c r="AX19" s="105">
        <f t="shared" si="12"/>
        <v>459.05</v>
      </c>
      <c r="AY19" s="105">
        <f t="shared" ref="AY19:AZ19" si="37">F19+N19+V19+AD19+AL19+AT19</f>
        <v>429.57</v>
      </c>
      <c r="AZ19" s="105">
        <f t="shared" si="37"/>
        <v>5286.9</v>
      </c>
      <c r="BA19" s="105">
        <f t="shared" si="14"/>
        <v>24.139807083333334</v>
      </c>
      <c r="BB19" s="105">
        <f t="shared" si="15"/>
        <v>45.451918333333339</v>
      </c>
    </row>
    <row r="20" spans="1:54" ht="15" customHeight="1" x14ac:dyDescent="0.25">
      <c r="A20" s="2">
        <v>18</v>
      </c>
      <c r="B20" s="83">
        <f t="shared" si="16"/>
        <v>4479.03</v>
      </c>
      <c r="C20" s="83">
        <f>B20*N(Crédits!$D$5)/12</f>
        <v>18.289372499999999</v>
      </c>
      <c r="D20" s="83">
        <f>MIN(N(Crédits!$E$5),B20+C20)</f>
        <v>245.3</v>
      </c>
      <c r="E20" s="83">
        <f t="shared" si="0"/>
        <v>4252.0200000000004</v>
      </c>
      <c r="F20" s="86">
        <f>IF(Crédits!$K$5="",0,MAX(0,MIN(E20,Plan!$L$22-(IF(Crédits!$K$6="",0,IF(Crédits!$K$6&lt;Crédits!$K$5,M20,0))+IF(Crédits!$K$7="",0,IF(Crédits!$K$7&lt;Crédits!$K$5,U20,0))+IF(Crédits!$K$8="",0,IF(Crédits!$K$8&lt;Crédits!$K$5,AC20,0))+IF(Crédits!$K$9="",0,IF(Crédits!$K$9&lt;Crédits!$K$5,AK20,0))+IF(Crédits!$K$10="",0,IF(Crédits!$K$10&lt;Crédits!$K$5,AS20,0))))))</f>
        <v>246.91</v>
      </c>
      <c r="G20" s="87">
        <f t="shared" si="1"/>
        <v>4005.11</v>
      </c>
      <c r="H20" s="88">
        <f>ROUND(H19+I20-MIN(N(Crédits!$E$5),H19+I20),2)</f>
        <v>4252.0200000000004</v>
      </c>
      <c r="I20" s="89">
        <f>H19*N(Crédits!$D$5)/12</f>
        <v>18.289372499999999</v>
      </c>
      <c r="J20" s="90">
        <f t="shared" si="17"/>
        <v>0</v>
      </c>
      <c r="K20" s="90">
        <f>J20*N(Crédits!$D$6)/12</f>
        <v>0</v>
      </c>
      <c r="L20" s="90">
        <f>MIN(N(Crédits!$E$6),J20+K20)</f>
        <v>0</v>
      </c>
      <c r="M20" s="90">
        <f t="shared" si="2"/>
        <v>0</v>
      </c>
      <c r="N20" s="91">
        <f>IF(Crédits!$K$6="",0,MAX(0,MIN(M20,Plan!$L$22-(IF(Crédits!$K$5="",0,IF(Crédits!$K$5&lt;Crédits!$K$6,E20,0))+IF(Crédits!$K$7="",0,IF(Crédits!$K$7&lt;Crédits!$K$6,U20,0))+IF(Crédits!$K$8="",0,IF(Crédits!$K$8&lt;Crédits!$K$6,AC20,0))+IF(Crédits!$K$9="",0,IF(Crédits!$K$9&lt;Crédits!$K$6,AK20,0))+IF(Crédits!$K$10="",0,IF(Crédits!$K$10&lt;Crédits!$K$6,AS20,0))))))</f>
        <v>0</v>
      </c>
      <c r="O20" s="92">
        <f t="shared" si="3"/>
        <v>0</v>
      </c>
      <c r="P20" s="88">
        <f>ROUND(P19+Q20-MIN(N(Crédits!$E$6),P19+Q20),2)</f>
        <v>957.72</v>
      </c>
      <c r="Q20" s="89">
        <f>P19*N(Crédits!$D$6)/12</f>
        <v>15.9728625</v>
      </c>
      <c r="R20" s="93">
        <f t="shared" si="18"/>
        <v>299.87</v>
      </c>
      <c r="S20" s="93">
        <f>R20*N(Crédits!$D$7)/12</f>
        <v>1.5368337500000002</v>
      </c>
      <c r="T20" s="93">
        <f>MIN(N(Crédits!$E$7),R20+S20)</f>
        <v>118.75</v>
      </c>
      <c r="U20" s="93">
        <f t="shared" si="4"/>
        <v>182.66</v>
      </c>
      <c r="V20" s="94">
        <f>IF(Crédits!$K$7="",0,MAX(0,MIN(U20,Plan!$L$22-(IF(Crédits!$K$5="",0,IF(Crédits!$K$5&lt;Crédits!$K$7,E20,0))+IF(Crédits!$K$6="",0,IF(Crédits!$K$6&lt;Crédits!$K$7,M20,0))+IF(Crédits!$K$8="",0,IF(Crédits!$K$8&lt;Crédits!$K$7,AC20,0))+IF(Crédits!$K$9="",0,IF(Crédits!$K$9&lt;Crédits!$K$7,AK20,0))+IF(Crédits!$K$10="",0,IF(Crédits!$K$10&lt;Crédits!$K$7,AS20,0))))))</f>
        <v>182.66</v>
      </c>
      <c r="W20" s="95">
        <f t="shared" si="5"/>
        <v>0</v>
      </c>
      <c r="X20" s="88">
        <f>ROUND(X19+Y20-MIN(N(Crédits!$E$7),X19+Y20),2)</f>
        <v>1494.48</v>
      </c>
      <c r="Y20" s="89">
        <f>X19*N(Crédits!$D$7)/12</f>
        <v>8.2256249999999991</v>
      </c>
      <c r="Z20" s="96">
        <f t="shared" si="19"/>
        <v>508</v>
      </c>
      <c r="AA20" s="96">
        <f>Z20*N(Crédits!$D$8)/12</f>
        <v>0.50800000000000001</v>
      </c>
      <c r="AB20" s="96">
        <f>MIN(N(Crédits!$E$8),Z20+AA20)</f>
        <v>95</v>
      </c>
      <c r="AC20" s="96">
        <f t="shared" si="6"/>
        <v>413.51</v>
      </c>
      <c r="AD20" s="97">
        <f>IF(Crédits!$K$8="",0,MAX(0,MIN(AC20,Plan!$L$22-(IF(Crédits!$K$5="",0,IF(Crédits!$K$5&lt;Crédits!$K$8,E20,0))+IF(Crédits!$K$6="",0,IF(Crédits!$K$6&lt;Crédits!$K$8,M20,0))+IF(Crédits!$K$7="",0,IF(Crédits!$K$7&lt;Crédits!$K$8,U20,0))+IF(Crédits!$K$9="",0,IF(Crédits!$K$9&lt;Crédits!$K$8,AK20,0))+IF(Crédits!$K$10="",0,IF(Crédits!$K$10&lt;Crédits!$K$8,AS20,0))))))</f>
        <v>0</v>
      </c>
      <c r="AE20" s="98">
        <f t="shared" si="7"/>
        <v>413.51</v>
      </c>
      <c r="AF20" s="88">
        <f>ROUND(AF19+AG20-MIN(N(Crédits!$E$8),AF19+AG20),2)</f>
        <v>413.51</v>
      </c>
      <c r="AG20" s="89">
        <f>AF19*N(Crédits!$D$8)/12</f>
        <v>0.50800000000000001</v>
      </c>
      <c r="AH20" s="99">
        <f t="shared" si="20"/>
        <v>0</v>
      </c>
      <c r="AI20" s="99">
        <f>AH20*N(Crédits!$D$9)/12</f>
        <v>0</v>
      </c>
      <c r="AJ20" s="99">
        <f>MIN(N(Crédits!$E$9),AH20+AI20)</f>
        <v>0</v>
      </c>
      <c r="AK20" s="99">
        <f t="shared" si="8"/>
        <v>0</v>
      </c>
      <c r="AL20" s="100">
        <f>IF(Crédits!$K$9="",0,MAX(0,MIN(AK20,Plan!$L$22-(IF(Crédits!$K$5="",0,IF(Crédits!$K$5&lt;Crédits!$K$9,E20,0))+IF(Crédits!$K$6="",0,IF(Crédits!$K$6&lt;Crédits!$K$9,M20,0))+IF(Crédits!$K$7="",0,IF(Crédits!$K$7&lt;Crédits!$K$9,U20,0))+IF(Crédits!$K$8="",0,IF(Crédits!$K$8&lt;Crédits!$K$9,AC20,0))+IF(Crédits!$K$10="",0,IF(Crédits!$K$10&lt;Crédits!$K$9,AS20,0))))))</f>
        <v>0</v>
      </c>
      <c r="AM20" s="101">
        <f t="shared" si="9"/>
        <v>0</v>
      </c>
      <c r="AN20" s="88">
        <f>ROUND(AN19+AO20-MIN(N(Crédits!$E$9),AN19+AO20),2)</f>
        <v>0</v>
      </c>
      <c r="AO20" s="89">
        <f>AN19*N(Crédits!$D$9)/12</f>
        <v>0</v>
      </c>
      <c r="AP20" s="102">
        <f t="shared" si="21"/>
        <v>0</v>
      </c>
      <c r="AQ20" s="102">
        <f>AP20*N(Crédits!$D$10)/12</f>
        <v>0</v>
      </c>
      <c r="AR20" s="102">
        <f>MIN(N(Crédits!$E$10),AP20+AQ20)</f>
        <v>0</v>
      </c>
      <c r="AS20" s="102">
        <f t="shared" si="10"/>
        <v>0</v>
      </c>
      <c r="AT20" s="103">
        <f>IF(Crédits!$K$10="",0,MAX(0,MIN(AS20,Plan!$L$22-(IF(Crédits!$K$5="",0,IF(Crédits!$K$5&lt;Crédits!$K$10,E20,0))+IF(Crédits!$K$6="",0,IF(Crédits!$K$6&lt;Crédits!$K$10,M20,0))+IF(Crédits!$K$7="",0,IF(Crédits!$K$7&lt;Crédits!$K$10,U20,0))+IF(Crédits!$K$8="",0,IF(Crédits!$K$8&lt;Crédits!$K$10,AC20,0))+IF(Crédits!$K$9="",0,IF(Crédits!$K$9&lt;Crédits!$K$10,AK20,0))))))</f>
        <v>0</v>
      </c>
      <c r="AU20" s="104">
        <f t="shared" si="11"/>
        <v>0</v>
      </c>
      <c r="AV20" s="88">
        <f>ROUND(AV19+AW20-MIN(N(Crédits!$E$10),AV19+AW20),2)</f>
        <v>0</v>
      </c>
      <c r="AW20" s="89">
        <f>AV19*N(Crédits!$D$10)/12</f>
        <v>0</v>
      </c>
      <c r="AX20" s="105">
        <f t="shared" si="12"/>
        <v>459.05</v>
      </c>
      <c r="AY20" s="105">
        <f t="shared" ref="AY20:AZ20" si="38">F20+N20+V20+AD20+AL20+AT20</f>
        <v>429.57</v>
      </c>
      <c r="AZ20" s="105">
        <f t="shared" si="38"/>
        <v>4418.62</v>
      </c>
      <c r="BA20" s="105">
        <f t="shared" si="14"/>
        <v>20.334206249999998</v>
      </c>
      <c r="BB20" s="105">
        <f t="shared" si="15"/>
        <v>42.99586</v>
      </c>
    </row>
    <row r="21" spans="1:54" ht="15" customHeight="1" x14ac:dyDescent="0.25">
      <c r="A21" s="2">
        <v>19</v>
      </c>
      <c r="B21" s="83">
        <f t="shared" si="16"/>
        <v>4005.11</v>
      </c>
      <c r="C21" s="83">
        <f>B21*N(Crédits!$D$5)/12</f>
        <v>16.354199166666668</v>
      </c>
      <c r="D21" s="83">
        <f>MIN(N(Crédits!$E$5),B21+C21)</f>
        <v>245.3</v>
      </c>
      <c r="E21" s="83">
        <f t="shared" si="0"/>
        <v>3776.16</v>
      </c>
      <c r="F21" s="86">
        <f>IF(Crédits!$K$5="",0,MAX(0,MIN(E21,Plan!$L$23-(IF(Crédits!$K$6="",0,IF(Crédits!$K$6&lt;Crédits!$K$5,M21,0))+IF(Crédits!$K$7="",0,IF(Crédits!$K$7&lt;Crédits!$K$5,U21,0))+IF(Crédits!$K$8="",0,IF(Crédits!$K$8&lt;Crédits!$K$5,AC21,0))+IF(Crédits!$K$9="",0,IF(Crédits!$K$9&lt;Crédits!$K$5,AK21,0))+IF(Crédits!$K$10="",0,IF(Crédits!$K$10&lt;Crédits!$K$5,AS21,0))))))</f>
        <v>500.82</v>
      </c>
      <c r="G21" s="87">
        <f t="shared" si="1"/>
        <v>3275.34</v>
      </c>
      <c r="H21" s="88">
        <f>ROUND(H20+I21-MIN(N(Crédits!$E$5),H20+I21),2)</f>
        <v>4024.08</v>
      </c>
      <c r="I21" s="89">
        <f>H20*N(Crédits!$D$5)/12</f>
        <v>17.362415000000002</v>
      </c>
      <c r="J21" s="90">
        <f t="shared" si="17"/>
        <v>0</v>
      </c>
      <c r="K21" s="90">
        <f>J21*N(Crédits!$D$6)/12</f>
        <v>0</v>
      </c>
      <c r="L21" s="90">
        <f>MIN(N(Crédits!$E$6),J21+K21)</f>
        <v>0</v>
      </c>
      <c r="M21" s="90">
        <f t="shared" si="2"/>
        <v>0</v>
      </c>
      <c r="N21" s="91">
        <f>IF(Crédits!$K$6="",0,MAX(0,MIN(M21,Plan!$L$23-(IF(Crédits!$K$5="",0,IF(Crédits!$K$5&lt;Crédits!$K$6,E21,0))+IF(Crédits!$K$7="",0,IF(Crédits!$K$7&lt;Crédits!$K$6,U21,0))+IF(Crédits!$K$8="",0,IF(Crédits!$K$8&lt;Crédits!$K$6,AC21,0))+IF(Crédits!$K$9="",0,IF(Crédits!$K$9&lt;Crédits!$K$6,AK21,0))+IF(Crédits!$K$10="",0,IF(Crédits!$K$10&lt;Crédits!$K$6,AS21,0))))))</f>
        <v>0</v>
      </c>
      <c r="O21" s="92">
        <f t="shared" si="3"/>
        <v>0</v>
      </c>
      <c r="P21" s="88">
        <f>ROUND(P20+Q21-MIN(N(Crédits!$E$6),P20+Q21),2)</f>
        <v>900.4</v>
      </c>
      <c r="Q21" s="89">
        <f>P20*N(Crédits!$D$6)/12</f>
        <v>15.084090000000002</v>
      </c>
      <c r="R21" s="93">
        <f t="shared" si="18"/>
        <v>0</v>
      </c>
      <c r="S21" s="93">
        <f>R21*N(Crédits!$D$7)/12</f>
        <v>0</v>
      </c>
      <c r="T21" s="93">
        <f>MIN(N(Crédits!$E$7),R21+S21)</f>
        <v>0</v>
      </c>
      <c r="U21" s="93">
        <f t="shared" si="4"/>
        <v>0</v>
      </c>
      <c r="V21" s="94">
        <f>IF(Crédits!$K$7="",0,MAX(0,MIN(U21,Plan!$L$23-(IF(Crédits!$K$5="",0,IF(Crédits!$K$5&lt;Crédits!$K$7,E21,0))+IF(Crédits!$K$6="",0,IF(Crédits!$K$6&lt;Crédits!$K$7,M21,0))+IF(Crédits!$K$8="",0,IF(Crédits!$K$8&lt;Crédits!$K$7,AC21,0))+IF(Crédits!$K$9="",0,IF(Crédits!$K$9&lt;Crédits!$K$7,AK21,0))+IF(Crédits!$K$10="",0,IF(Crédits!$K$10&lt;Crédits!$K$7,AS21,0))))))</f>
        <v>0</v>
      </c>
      <c r="W21" s="95">
        <f t="shared" si="5"/>
        <v>0</v>
      </c>
      <c r="X21" s="88">
        <f>ROUND(X20+Y21-MIN(N(Crédits!$E$7),X20+Y21),2)</f>
        <v>1383.39</v>
      </c>
      <c r="Y21" s="89">
        <f>X20*N(Crédits!$D$7)/12</f>
        <v>7.6592100000000007</v>
      </c>
      <c r="Z21" s="96">
        <f t="shared" si="19"/>
        <v>413.51</v>
      </c>
      <c r="AA21" s="96">
        <f>Z21*N(Crédits!$D$8)/12</f>
        <v>0.41350999999999999</v>
      </c>
      <c r="AB21" s="96">
        <f>MIN(N(Crédits!$E$8),Z21+AA21)</f>
        <v>95</v>
      </c>
      <c r="AC21" s="96">
        <f t="shared" si="6"/>
        <v>318.92</v>
      </c>
      <c r="AD21" s="97">
        <f>IF(Crédits!$K$8="",0,MAX(0,MIN(AC21,Plan!$L$23-(IF(Crédits!$K$5="",0,IF(Crédits!$K$5&lt;Crédits!$K$8,E21,0))+IF(Crédits!$K$6="",0,IF(Crédits!$K$6&lt;Crédits!$K$8,M21,0))+IF(Crédits!$K$7="",0,IF(Crédits!$K$7&lt;Crédits!$K$8,U21,0))+IF(Crédits!$K$9="",0,IF(Crédits!$K$9&lt;Crédits!$K$8,AK21,0))+IF(Crédits!$K$10="",0,IF(Crédits!$K$10&lt;Crédits!$K$8,AS21,0))))))</f>
        <v>0</v>
      </c>
      <c r="AE21" s="98">
        <f t="shared" si="7"/>
        <v>318.92</v>
      </c>
      <c r="AF21" s="88">
        <f>ROUND(AF20+AG21-MIN(N(Crédits!$E$8),AF20+AG21),2)</f>
        <v>318.92</v>
      </c>
      <c r="AG21" s="89">
        <f>AF20*N(Crédits!$D$8)/12</f>
        <v>0.41350999999999999</v>
      </c>
      <c r="AH21" s="99">
        <f t="shared" si="20"/>
        <v>0</v>
      </c>
      <c r="AI21" s="99">
        <f>AH21*N(Crédits!$D$9)/12</f>
        <v>0</v>
      </c>
      <c r="AJ21" s="99">
        <f>MIN(N(Crédits!$E$9),AH21+AI21)</f>
        <v>0</v>
      </c>
      <c r="AK21" s="99">
        <f t="shared" si="8"/>
        <v>0</v>
      </c>
      <c r="AL21" s="100">
        <f>IF(Crédits!$K$9="",0,MAX(0,MIN(AK21,Plan!$L$23-(IF(Crédits!$K$5="",0,IF(Crédits!$K$5&lt;Crédits!$K$9,E21,0))+IF(Crédits!$K$6="",0,IF(Crédits!$K$6&lt;Crédits!$K$9,M21,0))+IF(Crédits!$K$7="",0,IF(Crédits!$K$7&lt;Crédits!$K$9,U21,0))+IF(Crédits!$K$8="",0,IF(Crédits!$K$8&lt;Crédits!$K$9,AC21,0))+IF(Crédits!$K$10="",0,IF(Crédits!$K$10&lt;Crédits!$K$9,AS21,0))))))</f>
        <v>0</v>
      </c>
      <c r="AM21" s="101">
        <f t="shared" si="9"/>
        <v>0</v>
      </c>
      <c r="AN21" s="88">
        <f>ROUND(AN20+AO21-MIN(N(Crédits!$E$9),AN20+AO21),2)</f>
        <v>0</v>
      </c>
      <c r="AO21" s="89">
        <f>AN20*N(Crédits!$D$9)/12</f>
        <v>0</v>
      </c>
      <c r="AP21" s="102">
        <f t="shared" si="21"/>
        <v>0</v>
      </c>
      <c r="AQ21" s="102">
        <f>AP21*N(Crédits!$D$10)/12</f>
        <v>0</v>
      </c>
      <c r="AR21" s="102">
        <f>MIN(N(Crédits!$E$10),AP21+AQ21)</f>
        <v>0</v>
      </c>
      <c r="AS21" s="102">
        <f t="shared" si="10"/>
        <v>0</v>
      </c>
      <c r="AT21" s="103">
        <f>IF(Crédits!$K$10="",0,MAX(0,MIN(AS21,Plan!$L$23-(IF(Crédits!$K$5="",0,IF(Crédits!$K$5&lt;Crédits!$K$10,E21,0))+IF(Crédits!$K$6="",0,IF(Crédits!$K$6&lt;Crédits!$K$10,M21,0))+IF(Crédits!$K$7="",0,IF(Crédits!$K$7&lt;Crédits!$K$10,U21,0))+IF(Crédits!$K$8="",0,IF(Crédits!$K$8&lt;Crédits!$K$10,AC21,0))+IF(Crédits!$K$9="",0,IF(Crédits!$K$9&lt;Crédits!$K$10,AK21,0))))))</f>
        <v>0</v>
      </c>
      <c r="AU21" s="104">
        <f t="shared" si="11"/>
        <v>0</v>
      </c>
      <c r="AV21" s="88">
        <f>ROUND(AV20+AW21-MIN(N(Crédits!$E$10),AV20+AW21),2)</f>
        <v>0</v>
      </c>
      <c r="AW21" s="89">
        <f>AV20*N(Crédits!$D$10)/12</f>
        <v>0</v>
      </c>
      <c r="AX21" s="105">
        <f t="shared" si="12"/>
        <v>340.3</v>
      </c>
      <c r="AY21" s="105">
        <f t="shared" ref="AY21:AZ21" si="39">F21+N21+V21+AD21+AL21+AT21</f>
        <v>500.82</v>
      </c>
      <c r="AZ21" s="105">
        <f t="shared" si="39"/>
        <v>3594.26</v>
      </c>
      <c r="BA21" s="105">
        <f t="shared" si="14"/>
        <v>16.767709166666666</v>
      </c>
      <c r="BB21" s="105">
        <f t="shared" si="15"/>
        <v>40.519225000000006</v>
      </c>
    </row>
    <row r="22" spans="1:54" ht="15" customHeight="1" x14ac:dyDescent="0.25">
      <c r="A22" s="2">
        <v>20</v>
      </c>
      <c r="B22" s="83">
        <f t="shared" si="16"/>
        <v>3275.34</v>
      </c>
      <c r="C22" s="83">
        <f>B22*N(Crédits!$D$5)/12</f>
        <v>13.374305000000001</v>
      </c>
      <c r="D22" s="83">
        <f>MIN(N(Crédits!$E$5),B22+C22)</f>
        <v>245.3</v>
      </c>
      <c r="E22" s="83">
        <f t="shared" si="0"/>
        <v>3043.41</v>
      </c>
      <c r="F22" s="86">
        <f>IF(Crédits!$K$5="",0,MAX(0,MIN(E22,Plan!$L$24-(IF(Crédits!$K$6="",0,IF(Crédits!$K$6&lt;Crédits!$K$5,M22,0))+IF(Crédits!$K$7="",0,IF(Crédits!$K$7&lt;Crédits!$K$5,U22,0))+IF(Crédits!$K$8="",0,IF(Crédits!$K$8&lt;Crédits!$K$5,AC22,0))+IF(Crédits!$K$9="",0,IF(Crédits!$K$9&lt;Crédits!$K$5,AK22,0))+IF(Crédits!$K$10="",0,IF(Crédits!$K$10&lt;Crédits!$K$5,AS22,0))))))</f>
        <v>500.82</v>
      </c>
      <c r="G22" s="87">
        <f t="shared" si="1"/>
        <v>2542.59</v>
      </c>
      <c r="H22" s="88">
        <f>ROUND(H21+I22-MIN(N(Crédits!$E$5),H21+I22),2)</f>
        <v>3795.21</v>
      </c>
      <c r="I22" s="89">
        <f>H21*N(Crédits!$D$5)/12</f>
        <v>16.431660000000001</v>
      </c>
      <c r="J22" s="90">
        <f t="shared" si="17"/>
        <v>0</v>
      </c>
      <c r="K22" s="90">
        <f>J22*N(Crédits!$D$6)/12</f>
        <v>0</v>
      </c>
      <c r="L22" s="90">
        <f>MIN(N(Crédits!$E$6),J22+K22)</f>
        <v>0</v>
      </c>
      <c r="M22" s="90">
        <f t="shared" si="2"/>
        <v>0</v>
      </c>
      <c r="N22" s="91">
        <f>IF(Crédits!$K$6="",0,MAX(0,MIN(M22,Plan!$L$24-(IF(Crédits!$K$5="",0,IF(Crédits!$K$5&lt;Crédits!$K$6,E22,0))+IF(Crédits!$K$7="",0,IF(Crédits!$K$7&lt;Crédits!$K$6,U22,0))+IF(Crédits!$K$8="",0,IF(Crédits!$K$8&lt;Crédits!$K$6,AC22,0))+IF(Crédits!$K$9="",0,IF(Crédits!$K$9&lt;Crédits!$K$6,AK22,0))+IF(Crédits!$K$10="",0,IF(Crédits!$K$10&lt;Crédits!$K$6,AS22,0))))))</f>
        <v>0</v>
      </c>
      <c r="O22" s="92">
        <f t="shared" si="3"/>
        <v>0</v>
      </c>
      <c r="P22" s="88">
        <f>ROUND(P21+Q22-MIN(N(Crédits!$E$6),P21+Q22),2)</f>
        <v>842.18</v>
      </c>
      <c r="Q22" s="89">
        <f>P21*N(Crédits!$D$6)/12</f>
        <v>14.1813</v>
      </c>
      <c r="R22" s="93">
        <f t="shared" si="18"/>
        <v>0</v>
      </c>
      <c r="S22" s="93">
        <f>R22*N(Crédits!$D$7)/12</f>
        <v>0</v>
      </c>
      <c r="T22" s="93">
        <f>MIN(N(Crédits!$E$7),R22+S22)</f>
        <v>0</v>
      </c>
      <c r="U22" s="93">
        <f t="shared" si="4"/>
        <v>0</v>
      </c>
      <c r="V22" s="94">
        <f>IF(Crédits!$K$7="",0,MAX(0,MIN(U22,Plan!$L$24-(IF(Crédits!$K$5="",0,IF(Crédits!$K$5&lt;Crédits!$K$7,E22,0))+IF(Crédits!$K$6="",0,IF(Crédits!$K$6&lt;Crédits!$K$7,M22,0))+IF(Crédits!$K$8="",0,IF(Crédits!$K$8&lt;Crédits!$K$7,AC22,0))+IF(Crédits!$K$9="",0,IF(Crédits!$K$9&lt;Crédits!$K$7,AK22,0))+IF(Crédits!$K$10="",0,IF(Crédits!$K$10&lt;Crédits!$K$7,AS22,0))))))</f>
        <v>0</v>
      </c>
      <c r="W22" s="95">
        <f t="shared" si="5"/>
        <v>0</v>
      </c>
      <c r="X22" s="88">
        <f>ROUND(X21+Y22-MIN(N(Crédits!$E$7),X21+Y22),2)</f>
        <v>1271.73</v>
      </c>
      <c r="Y22" s="89">
        <f>X21*N(Crédits!$D$7)/12</f>
        <v>7.0898737499999998</v>
      </c>
      <c r="Z22" s="96">
        <f t="shared" si="19"/>
        <v>318.92</v>
      </c>
      <c r="AA22" s="96">
        <f>Z22*N(Crédits!$D$8)/12</f>
        <v>0.31892000000000004</v>
      </c>
      <c r="AB22" s="96">
        <f>MIN(N(Crédits!$E$8),Z22+AA22)</f>
        <v>95</v>
      </c>
      <c r="AC22" s="96">
        <f t="shared" si="6"/>
        <v>224.24</v>
      </c>
      <c r="AD22" s="97">
        <f>IF(Crédits!$K$8="",0,MAX(0,MIN(AC22,Plan!$L$24-(IF(Crédits!$K$5="",0,IF(Crédits!$K$5&lt;Crédits!$K$8,E22,0))+IF(Crédits!$K$6="",0,IF(Crédits!$K$6&lt;Crédits!$K$8,M22,0))+IF(Crédits!$K$7="",0,IF(Crédits!$K$7&lt;Crédits!$K$8,U22,0))+IF(Crédits!$K$9="",0,IF(Crédits!$K$9&lt;Crédits!$K$8,AK22,0))+IF(Crédits!$K$10="",0,IF(Crédits!$K$10&lt;Crédits!$K$8,AS22,0))))))</f>
        <v>0</v>
      </c>
      <c r="AE22" s="98">
        <f t="shared" si="7"/>
        <v>224.24</v>
      </c>
      <c r="AF22" s="88">
        <f>ROUND(AF21+AG22-MIN(N(Crédits!$E$8),AF21+AG22),2)</f>
        <v>224.24</v>
      </c>
      <c r="AG22" s="89">
        <f>AF21*N(Crédits!$D$8)/12</f>
        <v>0.31892000000000004</v>
      </c>
      <c r="AH22" s="99">
        <f t="shared" si="20"/>
        <v>0</v>
      </c>
      <c r="AI22" s="99">
        <f>AH22*N(Crédits!$D$9)/12</f>
        <v>0</v>
      </c>
      <c r="AJ22" s="99">
        <f>MIN(N(Crédits!$E$9),AH22+AI22)</f>
        <v>0</v>
      </c>
      <c r="AK22" s="99">
        <f t="shared" si="8"/>
        <v>0</v>
      </c>
      <c r="AL22" s="100">
        <f>IF(Crédits!$K$9="",0,MAX(0,MIN(AK22,Plan!$L$24-(IF(Crédits!$K$5="",0,IF(Crédits!$K$5&lt;Crédits!$K$9,E22,0))+IF(Crédits!$K$6="",0,IF(Crédits!$K$6&lt;Crédits!$K$9,M22,0))+IF(Crédits!$K$7="",0,IF(Crédits!$K$7&lt;Crédits!$K$9,U22,0))+IF(Crédits!$K$8="",0,IF(Crédits!$K$8&lt;Crédits!$K$9,AC22,0))+IF(Crédits!$K$10="",0,IF(Crédits!$K$10&lt;Crédits!$K$9,AS22,0))))))</f>
        <v>0</v>
      </c>
      <c r="AM22" s="101">
        <f t="shared" si="9"/>
        <v>0</v>
      </c>
      <c r="AN22" s="88">
        <f>ROUND(AN21+AO22-MIN(N(Crédits!$E$9),AN21+AO22),2)</f>
        <v>0</v>
      </c>
      <c r="AO22" s="89">
        <f>AN21*N(Crédits!$D$9)/12</f>
        <v>0</v>
      </c>
      <c r="AP22" s="102">
        <f t="shared" si="21"/>
        <v>0</v>
      </c>
      <c r="AQ22" s="102">
        <f>AP22*N(Crédits!$D$10)/12</f>
        <v>0</v>
      </c>
      <c r="AR22" s="102">
        <f>MIN(N(Crédits!$E$10),AP22+AQ22)</f>
        <v>0</v>
      </c>
      <c r="AS22" s="102">
        <f t="shared" si="10"/>
        <v>0</v>
      </c>
      <c r="AT22" s="103">
        <f>IF(Crédits!$K$10="",0,MAX(0,MIN(AS22,Plan!$L$24-(IF(Crédits!$K$5="",0,IF(Crédits!$K$5&lt;Crédits!$K$10,E22,0))+IF(Crédits!$K$6="",0,IF(Crédits!$K$6&lt;Crédits!$K$10,M22,0))+IF(Crédits!$K$7="",0,IF(Crédits!$K$7&lt;Crédits!$K$10,U22,0))+IF(Crédits!$K$8="",0,IF(Crédits!$K$8&lt;Crédits!$K$10,AC22,0))+IF(Crédits!$K$9="",0,IF(Crédits!$K$9&lt;Crédits!$K$10,AK22,0))))))</f>
        <v>0</v>
      </c>
      <c r="AU22" s="104">
        <f t="shared" si="11"/>
        <v>0</v>
      </c>
      <c r="AV22" s="88">
        <f>ROUND(AV21+AW22-MIN(N(Crédits!$E$10),AV21+AW22),2)</f>
        <v>0</v>
      </c>
      <c r="AW22" s="89">
        <f>AV21*N(Crédits!$D$10)/12</f>
        <v>0</v>
      </c>
      <c r="AX22" s="105">
        <f t="shared" si="12"/>
        <v>340.3</v>
      </c>
      <c r="AY22" s="105">
        <f t="shared" ref="AY22:AZ22" si="40">F22+N22+V22+AD22+AL22+AT22</f>
        <v>500.82</v>
      </c>
      <c r="AZ22" s="105">
        <f t="shared" si="40"/>
        <v>2766.83</v>
      </c>
      <c r="BA22" s="105">
        <f t="shared" si="14"/>
        <v>13.693225000000002</v>
      </c>
      <c r="BB22" s="105">
        <f t="shared" si="15"/>
        <v>38.021753750000002</v>
      </c>
    </row>
    <row r="23" spans="1:54" ht="15" customHeight="1" x14ac:dyDescent="0.25">
      <c r="A23" s="2">
        <v>21</v>
      </c>
      <c r="B23" s="83">
        <f t="shared" si="16"/>
        <v>2542.59</v>
      </c>
      <c r="C23" s="83">
        <f>B23*N(Crédits!$D$5)/12</f>
        <v>10.382242500000002</v>
      </c>
      <c r="D23" s="83">
        <f>MIN(N(Crédits!$E$5),B23+C23)</f>
        <v>245.3</v>
      </c>
      <c r="E23" s="83">
        <f t="shared" si="0"/>
        <v>2307.67</v>
      </c>
      <c r="F23" s="86">
        <f>IF(Crédits!$K$5="",0,MAX(0,MIN(E23,Plan!$L$25-(IF(Crédits!$K$6="",0,IF(Crédits!$K$6&lt;Crédits!$K$5,M23,0))+IF(Crédits!$K$7="",0,IF(Crédits!$K$7&lt;Crédits!$K$5,U23,0))+IF(Crédits!$K$8="",0,IF(Crédits!$K$8&lt;Crédits!$K$5,AC23,0))+IF(Crédits!$K$9="",0,IF(Crédits!$K$9&lt;Crédits!$K$5,AK23,0))+IF(Crédits!$K$10="",0,IF(Crédits!$K$10&lt;Crédits!$K$5,AS23,0))))))</f>
        <v>500.82</v>
      </c>
      <c r="G23" s="87">
        <f t="shared" si="1"/>
        <v>1806.85</v>
      </c>
      <c r="H23" s="88">
        <f>ROUND(H22+I23-MIN(N(Crédits!$E$5),H22+I23),2)</f>
        <v>3565.41</v>
      </c>
      <c r="I23" s="89">
        <f>H22*N(Crédits!$D$5)/12</f>
        <v>15.4971075</v>
      </c>
      <c r="J23" s="90">
        <f t="shared" si="17"/>
        <v>0</v>
      </c>
      <c r="K23" s="90">
        <f>J23*N(Crédits!$D$6)/12</f>
        <v>0</v>
      </c>
      <c r="L23" s="90">
        <f>MIN(N(Crédits!$E$6),J23+K23)</f>
        <v>0</v>
      </c>
      <c r="M23" s="90">
        <f t="shared" si="2"/>
        <v>0</v>
      </c>
      <c r="N23" s="91">
        <f>IF(Crédits!$K$6="",0,MAX(0,MIN(M23,Plan!$L$25-(IF(Crédits!$K$5="",0,IF(Crédits!$K$5&lt;Crédits!$K$6,E23,0))+IF(Crédits!$K$7="",0,IF(Crédits!$K$7&lt;Crédits!$K$6,U23,0))+IF(Crédits!$K$8="",0,IF(Crédits!$K$8&lt;Crédits!$K$6,AC23,0))+IF(Crédits!$K$9="",0,IF(Crédits!$K$9&lt;Crédits!$K$6,AK23,0))+IF(Crédits!$K$10="",0,IF(Crédits!$K$10&lt;Crédits!$K$6,AS23,0))))))</f>
        <v>0</v>
      </c>
      <c r="O23" s="92">
        <f t="shared" si="3"/>
        <v>0</v>
      </c>
      <c r="P23" s="88">
        <f>ROUND(P22+Q23-MIN(N(Crédits!$E$6),P22+Q23),2)</f>
        <v>783.04</v>
      </c>
      <c r="Q23" s="89">
        <f>P22*N(Crédits!$D$6)/12</f>
        <v>13.264335000000001</v>
      </c>
      <c r="R23" s="93">
        <f t="shared" si="18"/>
        <v>0</v>
      </c>
      <c r="S23" s="93">
        <f>R23*N(Crédits!$D$7)/12</f>
        <v>0</v>
      </c>
      <c r="T23" s="93">
        <f>MIN(N(Crédits!$E$7),R23+S23)</f>
        <v>0</v>
      </c>
      <c r="U23" s="93">
        <f t="shared" si="4"/>
        <v>0</v>
      </c>
      <c r="V23" s="94">
        <f>IF(Crédits!$K$7="",0,MAX(0,MIN(U23,Plan!$L$25-(IF(Crédits!$K$5="",0,IF(Crédits!$K$5&lt;Crédits!$K$7,E23,0))+IF(Crédits!$K$6="",0,IF(Crédits!$K$6&lt;Crédits!$K$7,M23,0))+IF(Crédits!$K$8="",0,IF(Crédits!$K$8&lt;Crédits!$K$7,AC23,0))+IF(Crédits!$K$9="",0,IF(Crédits!$K$9&lt;Crédits!$K$7,AK23,0))+IF(Crédits!$K$10="",0,IF(Crédits!$K$10&lt;Crédits!$K$7,AS23,0))))))</f>
        <v>0</v>
      </c>
      <c r="W23" s="95">
        <f t="shared" si="5"/>
        <v>0</v>
      </c>
      <c r="X23" s="88">
        <f>ROUND(X22+Y23-MIN(N(Crédits!$E$7),X22+Y23),2)</f>
        <v>1159.5</v>
      </c>
      <c r="Y23" s="89">
        <f>X22*N(Crédits!$D$7)/12</f>
        <v>6.5176162499999997</v>
      </c>
      <c r="Z23" s="96">
        <f t="shared" si="19"/>
        <v>224.24</v>
      </c>
      <c r="AA23" s="96">
        <f>Z23*N(Crédits!$D$8)/12</f>
        <v>0.22424000000000002</v>
      </c>
      <c r="AB23" s="96">
        <f>MIN(N(Crédits!$E$8),Z23+AA23)</f>
        <v>95</v>
      </c>
      <c r="AC23" s="96">
        <f t="shared" si="6"/>
        <v>129.46</v>
      </c>
      <c r="AD23" s="97">
        <f>IF(Crédits!$K$8="",0,MAX(0,MIN(AC23,Plan!$L$25-(IF(Crédits!$K$5="",0,IF(Crédits!$K$5&lt;Crédits!$K$8,E23,0))+IF(Crédits!$K$6="",0,IF(Crédits!$K$6&lt;Crédits!$K$8,M23,0))+IF(Crédits!$K$7="",0,IF(Crédits!$K$7&lt;Crédits!$K$8,U23,0))+IF(Crédits!$K$9="",0,IF(Crédits!$K$9&lt;Crédits!$K$8,AK23,0))+IF(Crédits!$K$10="",0,IF(Crédits!$K$10&lt;Crédits!$K$8,AS23,0))))))</f>
        <v>0</v>
      </c>
      <c r="AE23" s="98">
        <f t="shared" si="7"/>
        <v>129.46</v>
      </c>
      <c r="AF23" s="88">
        <f>ROUND(AF22+AG23-MIN(N(Crédits!$E$8),AF22+AG23),2)</f>
        <v>129.46</v>
      </c>
      <c r="AG23" s="89">
        <f>AF22*N(Crédits!$D$8)/12</f>
        <v>0.22424000000000002</v>
      </c>
      <c r="AH23" s="99">
        <f t="shared" si="20"/>
        <v>0</v>
      </c>
      <c r="AI23" s="99">
        <f>AH23*N(Crédits!$D$9)/12</f>
        <v>0</v>
      </c>
      <c r="AJ23" s="99">
        <f>MIN(N(Crédits!$E$9),AH23+AI23)</f>
        <v>0</v>
      </c>
      <c r="AK23" s="99">
        <f t="shared" si="8"/>
        <v>0</v>
      </c>
      <c r="AL23" s="100">
        <f>IF(Crédits!$K$9="",0,MAX(0,MIN(AK23,Plan!$L$25-(IF(Crédits!$K$5="",0,IF(Crédits!$K$5&lt;Crédits!$K$9,E23,0))+IF(Crédits!$K$6="",0,IF(Crédits!$K$6&lt;Crédits!$K$9,M23,0))+IF(Crédits!$K$7="",0,IF(Crédits!$K$7&lt;Crédits!$K$9,U23,0))+IF(Crédits!$K$8="",0,IF(Crédits!$K$8&lt;Crédits!$K$9,AC23,0))+IF(Crédits!$K$10="",0,IF(Crédits!$K$10&lt;Crédits!$K$9,AS23,0))))))</f>
        <v>0</v>
      </c>
      <c r="AM23" s="101">
        <f t="shared" si="9"/>
        <v>0</v>
      </c>
      <c r="AN23" s="88">
        <f>ROUND(AN22+AO23-MIN(N(Crédits!$E$9),AN22+AO23),2)</f>
        <v>0</v>
      </c>
      <c r="AO23" s="89">
        <f>AN22*N(Crédits!$D$9)/12</f>
        <v>0</v>
      </c>
      <c r="AP23" s="102">
        <f t="shared" si="21"/>
        <v>0</v>
      </c>
      <c r="AQ23" s="102">
        <f>AP23*N(Crédits!$D$10)/12</f>
        <v>0</v>
      </c>
      <c r="AR23" s="102">
        <f>MIN(N(Crédits!$E$10),AP23+AQ23)</f>
        <v>0</v>
      </c>
      <c r="AS23" s="102">
        <f t="shared" si="10"/>
        <v>0</v>
      </c>
      <c r="AT23" s="103">
        <f>IF(Crédits!$K$10="",0,MAX(0,MIN(AS23,Plan!$L$25-(IF(Crédits!$K$5="",0,IF(Crédits!$K$5&lt;Crédits!$K$10,E23,0))+IF(Crédits!$K$6="",0,IF(Crédits!$K$6&lt;Crédits!$K$10,M23,0))+IF(Crédits!$K$7="",0,IF(Crédits!$K$7&lt;Crédits!$K$10,U23,0))+IF(Crédits!$K$8="",0,IF(Crédits!$K$8&lt;Crédits!$K$10,AC23,0))+IF(Crédits!$K$9="",0,IF(Crédits!$K$9&lt;Crédits!$K$10,AK23,0))))))</f>
        <v>0</v>
      </c>
      <c r="AU23" s="104">
        <f t="shared" si="11"/>
        <v>0</v>
      </c>
      <c r="AV23" s="88">
        <f>ROUND(AV22+AW23-MIN(N(Crédits!$E$10),AV22+AW23),2)</f>
        <v>0</v>
      </c>
      <c r="AW23" s="89">
        <f>AV22*N(Crédits!$D$10)/12</f>
        <v>0</v>
      </c>
      <c r="AX23" s="105">
        <f t="shared" si="12"/>
        <v>340.3</v>
      </c>
      <c r="AY23" s="105">
        <f t="shared" ref="AY23:AZ23" si="41">F23+N23+V23+AD23+AL23+AT23</f>
        <v>500.82</v>
      </c>
      <c r="AZ23" s="105">
        <f t="shared" si="41"/>
        <v>1936.31</v>
      </c>
      <c r="BA23" s="105">
        <f t="shared" si="14"/>
        <v>10.606482500000002</v>
      </c>
      <c r="BB23" s="105">
        <f t="shared" si="15"/>
        <v>35.503298750000006</v>
      </c>
    </row>
    <row r="24" spans="1:54" ht="15" customHeight="1" x14ac:dyDescent="0.25">
      <c r="A24" s="2">
        <v>22</v>
      </c>
      <c r="B24" s="83">
        <f t="shared" si="16"/>
        <v>1806.85</v>
      </c>
      <c r="C24" s="83">
        <f>B24*N(Crédits!$D$5)/12</f>
        <v>7.3779708333333334</v>
      </c>
      <c r="D24" s="83">
        <f>MIN(N(Crédits!$E$5),B24+C24)</f>
        <v>245.3</v>
      </c>
      <c r="E24" s="83">
        <f t="shared" si="0"/>
        <v>1568.93</v>
      </c>
      <c r="F24" s="86">
        <f>IF(Crédits!$K$5="",0,MAX(0,MIN(E24,Plan!$L$26-(IF(Crédits!$K$6="",0,IF(Crédits!$K$6&lt;Crédits!$K$5,M24,0))+IF(Crédits!$K$7="",0,IF(Crédits!$K$7&lt;Crédits!$K$5,U24,0))+IF(Crédits!$K$8="",0,IF(Crédits!$K$8&lt;Crédits!$K$5,AC24,0))+IF(Crédits!$K$9="",0,IF(Crédits!$K$9&lt;Crédits!$K$5,AK24,0))+IF(Crédits!$K$10="",0,IF(Crédits!$K$10&lt;Crédits!$K$5,AS24,0))))))</f>
        <v>500.82</v>
      </c>
      <c r="G24" s="87">
        <f t="shared" si="1"/>
        <v>1068.1099999999999</v>
      </c>
      <c r="H24" s="88">
        <f>ROUND(H23+I24-MIN(N(Crédits!$E$5),H23+I24),2)</f>
        <v>3334.67</v>
      </c>
      <c r="I24" s="89">
        <f>H23*N(Crédits!$D$5)/12</f>
        <v>14.5587575</v>
      </c>
      <c r="J24" s="90">
        <f t="shared" si="17"/>
        <v>0</v>
      </c>
      <c r="K24" s="90">
        <f>J24*N(Crédits!$D$6)/12</f>
        <v>0</v>
      </c>
      <c r="L24" s="90">
        <f>MIN(N(Crédits!$E$6),J24+K24)</f>
        <v>0</v>
      </c>
      <c r="M24" s="90">
        <f t="shared" si="2"/>
        <v>0</v>
      </c>
      <c r="N24" s="91">
        <f>IF(Crédits!$K$6="",0,MAX(0,MIN(M24,Plan!$L$26-(IF(Crédits!$K$5="",0,IF(Crédits!$K$5&lt;Crédits!$K$6,E24,0))+IF(Crédits!$K$7="",0,IF(Crédits!$K$7&lt;Crédits!$K$6,U24,0))+IF(Crédits!$K$8="",0,IF(Crédits!$K$8&lt;Crédits!$K$6,AC24,0))+IF(Crédits!$K$9="",0,IF(Crédits!$K$9&lt;Crédits!$K$6,AK24,0))+IF(Crédits!$K$10="",0,IF(Crédits!$K$10&lt;Crédits!$K$6,AS24,0))))))</f>
        <v>0</v>
      </c>
      <c r="O24" s="92">
        <f t="shared" si="3"/>
        <v>0</v>
      </c>
      <c r="P24" s="88">
        <f>ROUND(P23+Q24-MIN(N(Crédits!$E$6),P23+Q24),2)</f>
        <v>722.97</v>
      </c>
      <c r="Q24" s="89">
        <f>P23*N(Crédits!$D$6)/12</f>
        <v>12.332880000000001</v>
      </c>
      <c r="R24" s="93">
        <f t="shared" si="18"/>
        <v>0</v>
      </c>
      <c r="S24" s="93">
        <f>R24*N(Crédits!$D$7)/12</f>
        <v>0</v>
      </c>
      <c r="T24" s="93">
        <f>MIN(N(Crédits!$E$7),R24+S24)</f>
        <v>0</v>
      </c>
      <c r="U24" s="93">
        <f t="shared" si="4"/>
        <v>0</v>
      </c>
      <c r="V24" s="94">
        <f>IF(Crédits!$K$7="",0,MAX(0,MIN(U24,Plan!$L$26-(IF(Crédits!$K$5="",0,IF(Crédits!$K$5&lt;Crédits!$K$7,E24,0))+IF(Crédits!$K$6="",0,IF(Crédits!$K$6&lt;Crédits!$K$7,M24,0))+IF(Crédits!$K$8="",0,IF(Crédits!$K$8&lt;Crédits!$K$7,AC24,0))+IF(Crédits!$K$9="",0,IF(Crédits!$K$9&lt;Crédits!$K$7,AK24,0))+IF(Crédits!$K$10="",0,IF(Crédits!$K$10&lt;Crédits!$K$7,AS24,0))))))</f>
        <v>0</v>
      </c>
      <c r="W24" s="95">
        <f t="shared" si="5"/>
        <v>0</v>
      </c>
      <c r="X24" s="88">
        <f>ROUND(X23+Y24-MIN(N(Crédits!$E$7),X23+Y24),2)</f>
        <v>1046.69</v>
      </c>
      <c r="Y24" s="89">
        <f>X23*N(Crédits!$D$7)/12</f>
        <v>5.9424375000000005</v>
      </c>
      <c r="Z24" s="96">
        <f t="shared" si="19"/>
        <v>129.46</v>
      </c>
      <c r="AA24" s="96">
        <f>Z24*N(Crédits!$D$8)/12</f>
        <v>0.12946000000000002</v>
      </c>
      <c r="AB24" s="96">
        <f>MIN(N(Crédits!$E$8),Z24+AA24)</f>
        <v>95</v>
      </c>
      <c r="AC24" s="96">
        <f t="shared" si="6"/>
        <v>34.590000000000003</v>
      </c>
      <c r="AD24" s="97">
        <f>IF(Crédits!$K$8="",0,MAX(0,MIN(AC24,Plan!$L$26-(IF(Crédits!$K$5="",0,IF(Crédits!$K$5&lt;Crédits!$K$8,E24,0))+IF(Crédits!$K$6="",0,IF(Crédits!$K$6&lt;Crédits!$K$8,M24,0))+IF(Crédits!$K$7="",0,IF(Crédits!$K$7&lt;Crédits!$K$8,U24,0))+IF(Crédits!$K$9="",0,IF(Crédits!$K$9&lt;Crédits!$K$8,AK24,0))+IF(Crédits!$K$10="",0,IF(Crédits!$K$10&lt;Crédits!$K$8,AS24,0))))))</f>
        <v>0</v>
      </c>
      <c r="AE24" s="98">
        <f t="shared" si="7"/>
        <v>34.590000000000003</v>
      </c>
      <c r="AF24" s="88">
        <f>ROUND(AF23+AG24-MIN(N(Crédits!$E$8),AF23+AG24),2)</f>
        <v>34.590000000000003</v>
      </c>
      <c r="AG24" s="89">
        <f>AF23*N(Crédits!$D$8)/12</f>
        <v>0.12946000000000002</v>
      </c>
      <c r="AH24" s="99">
        <f t="shared" si="20"/>
        <v>0</v>
      </c>
      <c r="AI24" s="99">
        <f>AH24*N(Crédits!$D$9)/12</f>
        <v>0</v>
      </c>
      <c r="AJ24" s="99">
        <f>MIN(N(Crédits!$E$9),AH24+AI24)</f>
        <v>0</v>
      </c>
      <c r="AK24" s="99">
        <f t="shared" si="8"/>
        <v>0</v>
      </c>
      <c r="AL24" s="100">
        <f>IF(Crédits!$K$9="",0,MAX(0,MIN(AK24,Plan!$L$26-(IF(Crédits!$K$5="",0,IF(Crédits!$K$5&lt;Crédits!$K$9,E24,0))+IF(Crédits!$K$6="",0,IF(Crédits!$K$6&lt;Crédits!$K$9,M24,0))+IF(Crédits!$K$7="",0,IF(Crédits!$K$7&lt;Crédits!$K$9,U24,0))+IF(Crédits!$K$8="",0,IF(Crédits!$K$8&lt;Crédits!$K$9,AC24,0))+IF(Crédits!$K$10="",0,IF(Crédits!$K$10&lt;Crédits!$K$9,AS24,0))))))</f>
        <v>0</v>
      </c>
      <c r="AM24" s="101">
        <f t="shared" si="9"/>
        <v>0</v>
      </c>
      <c r="AN24" s="88">
        <f>ROUND(AN23+AO24-MIN(N(Crédits!$E$9),AN23+AO24),2)</f>
        <v>0</v>
      </c>
      <c r="AO24" s="89">
        <f>AN23*N(Crédits!$D$9)/12</f>
        <v>0</v>
      </c>
      <c r="AP24" s="102">
        <f t="shared" si="21"/>
        <v>0</v>
      </c>
      <c r="AQ24" s="102">
        <f>AP24*N(Crédits!$D$10)/12</f>
        <v>0</v>
      </c>
      <c r="AR24" s="102">
        <f>MIN(N(Crédits!$E$10),AP24+AQ24)</f>
        <v>0</v>
      </c>
      <c r="AS24" s="102">
        <f t="shared" si="10"/>
        <v>0</v>
      </c>
      <c r="AT24" s="103">
        <f>IF(Crédits!$K$10="",0,MAX(0,MIN(AS24,Plan!$L$26-(IF(Crédits!$K$5="",0,IF(Crédits!$K$5&lt;Crédits!$K$10,E24,0))+IF(Crédits!$K$6="",0,IF(Crédits!$K$6&lt;Crédits!$K$10,M24,0))+IF(Crédits!$K$7="",0,IF(Crédits!$K$7&lt;Crédits!$K$10,U24,0))+IF(Crédits!$K$8="",0,IF(Crédits!$K$8&lt;Crédits!$K$10,AC24,0))+IF(Crédits!$K$9="",0,IF(Crédits!$K$9&lt;Crédits!$K$10,AK24,0))))))</f>
        <v>0</v>
      </c>
      <c r="AU24" s="104">
        <f t="shared" si="11"/>
        <v>0</v>
      </c>
      <c r="AV24" s="88">
        <f>ROUND(AV23+AW24-MIN(N(Crédits!$E$10),AV23+AW24),2)</f>
        <v>0</v>
      </c>
      <c r="AW24" s="89">
        <f>AV23*N(Crédits!$D$10)/12</f>
        <v>0</v>
      </c>
      <c r="AX24" s="105">
        <f t="shared" si="12"/>
        <v>340.3</v>
      </c>
      <c r="AY24" s="105">
        <f t="shared" ref="AY24:AZ24" si="42">F24+N24+V24+AD24+AL24+AT24</f>
        <v>500.82</v>
      </c>
      <c r="AZ24" s="105">
        <f t="shared" si="42"/>
        <v>1102.6999999999998</v>
      </c>
      <c r="BA24" s="105">
        <f t="shared" si="14"/>
        <v>7.5074308333333333</v>
      </c>
      <c r="BB24" s="105">
        <f t="shared" si="15"/>
        <v>32.963535</v>
      </c>
    </row>
    <row r="25" spans="1:54" ht="15" customHeight="1" x14ac:dyDescent="0.25">
      <c r="A25" s="2">
        <v>23</v>
      </c>
      <c r="B25" s="83">
        <f t="shared" si="16"/>
        <v>1068.1099999999999</v>
      </c>
      <c r="C25" s="83">
        <f>B25*N(Crédits!$D$5)/12</f>
        <v>4.3614491666666666</v>
      </c>
      <c r="D25" s="83">
        <f>MIN(N(Crédits!$E$5),B25+C25)</f>
        <v>245.3</v>
      </c>
      <c r="E25" s="83">
        <f t="shared" si="0"/>
        <v>827.17</v>
      </c>
      <c r="F25" s="86">
        <f>IF(Crédits!$K$5="",0,MAX(0,MIN(E25,Plan!$L$27-(IF(Crédits!$K$6="",0,IF(Crédits!$K$6&lt;Crédits!$K$5,M25,0))+IF(Crédits!$K$7="",0,IF(Crédits!$K$7&lt;Crédits!$K$5,U25,0))+IF(Crédits!$K$8="",0,IF(Crédits!$K$8&lt;Crédits!$K$5,AC25,0))+IF(Crédits!$K$9="",0,IF(Crédits!$K$9&lt;Crédits!$K$5,AK25,0))+IF(Crédits!$K$10="",0,IF(Crédits!$K$10&lt;Crédits!$K$5,AS25,0))))))</f>
        <v>537.04524599999991</v>
      </c>
      <c r="G25" s="87">
        <f t="shared" si="1"/>
        <v>290.12</v>
      </c>
      <c r="H25" s="88">
        <f>ROUND(H24+I25-MIN(N(Crédits!$E$5),H24+I25),2)</f>
        <v>3102.99</v>
      </c>
      <c r="I25" s="89">
        <f>H24*N(Crédits!$D$5)/12</f>
        <v>13.616569166666666</v>
      </c>
      <c r="J25" s="90">
        <f t="shared" si="17"/>
        <v>0</v>
      </c>
      <c r="K25" s="90">
        <f>J25*N(Crédits!$D$6)/12</f>
        <v>0</v>
      </c>
      <c r="L25" s="90">
        <f>MIN(N(Crédits!$E$6),J25+K25)</f>
        <v>0</v>
      </c>
      <c r="M25" s="90">
        <f t="shared" si="2"/>
        <v>0</v>
      </c>
      <c r="N25" s="91">
        <f>IF(Crédits!$K$6="",0,MAX(0,MIN(M25,Plan!$L$27-(IF(Crédits!$K$5="",0,IF(Crédits!$K$5&lt;Crédits!$K$6,E25,0))+IF(Crédits!$K$7="",0,IF(Crédits!$K$7&lt;Crédits!$K$6,U25,0))+IF(Crédits!$K$8="",0,IF(Crédits!$K$8&lt;Crédits!$K$6,AC25,0))+IF(Crédits!$K$9="",0,IF(Crédits!$K$9&lt;Crédits!$K$6,AK25,0))+IF(Crédits!$K$10="",0,IF(Crédits!$K$10&lt;Crédits!$K$6,AS25,0))))))</f>
        <v>0</v>
      </c>
      <c r="O25" s="92">
        <f t="shared" si="3"/>
        <v>0</v>
      </c>
      <c r="P25" s="88">
        <f>ROUND(P24+Q25-MIN(N(Crédits!$E$6),P24+Q25),2)</f>
        <v>661.96</v>
      </c>
      <c r="Q25" s="89">
        <f>P24*N(Crédits!$D$6)/12</f>
        <v>11.386777500000001</v>
      </c>
      <c r="R25" s="93">
        <f t="shared" si="18"/>
        <v>0</v>
      </c>
      <c r="S25" s="93">
        <f>R25*N(Crédits!$D$7)/12</f>
        <v>0</v>
      </c>
      <c r="T25" s="93">
        <f>MIN(N(Crédits!$E$7),R25+S25)</f>
        <v>0</v>
      </c>
      <c r="U25" s="93">
        <f t="shared" si="4"/>
        <v>0</v>
      </c>
      <c r="V25" s="94">
        <f>IF(Crédits!$K$7="",0,MAX(0,MIN(U25,Plan!$L$27-(IF(Crédits!$K$5="",0,IF(Crédits!$K$5&lt;Crédits!$K$7,E25,0))+IF(Crédits!$K$6="",0,IF(Crédits!$K$6&lt;Crédits!$K$7,M25,0))+IF(Crédits!$K$8="",0,IF(Crédits!$K$8&lt;Crédits!$K$7,AC25,0))+IF(Crédits!$K$9="",0,IF(Crédits!$K$9&lt;Crédits!$K$7,AK25,0))+IF(Crédits!$K$10="",0,IF(Crédits!$K$10&lt;Crédits!$K$7,AS25,0))))))</f>
        <v>0</v>
      </c>
      <c r="W25" s="95">
        <f t="shared" si="5"/>
        <v>0</v>
      </c>
      <c r="X25" s="88">
        <f>ROUND(X24+Y25-MIN(N(Crédits!$E$7),X24+Y25),2)</f>
        <v>933.3</v>
      </c>
      <c r="Y25" s="89">
        <f>X24*N(Crédits!$D$7)/12</f>
        <v>5.3642862500000001</v>
      </c>
      <c r="Z25" s="96">
        <f t="shared" si="19"/>
        <v>34.590000000000003</v>
      </c>
      <c r="AA25" s="96">
        <f>Z25*N(Crédits!$D$8)/12</f>
        <v>3.4590000000000003E-2</v>
      </c>
      <c r="AB25" s="96">
        <f>MIN(N(Crédits!$E$8),Z25+AA25)</f>
        <v>34.624590000000005</v>
      </c>
      <c r="AC25" s="96">
        <f t="shared" si="6"/>
        <v>0</v>
      </c>
      <c r="AD25" s="97">
        <f>IF(Crédits!$K$8="",0,MAX(0,MIN(AC25,Plan!$L$27-(IF(Crédits!$K$5="",0,IF(Crédits!$K$5&lt;Crédits!$K$8,E25,0))+IF(Crédits!$K$6="",0,IF(Crédits!$K$6&lt;Crédits!$K$8,M25,0))+IF(Crédits!$K$7="",0,IF(Crédits!$K$7&lt;Crédits!$K$8,U25,0))+IF(Crédits!$K$9="",0,IF(Crédits!$K$9&lt;Crédits!$K$8,AK25,0))+IF(Crédits!$K$10="",0,IF(Crédits!$K$10&lt;Crédits!$K$8,AS25,0))))))</f>
        <v>0</v>
      </c>
      <c r="AE25" s="98">
        <f t="shared" si="7"/>
        <v>0</v>
      </c>
      <c r="AF25" s="88">
        <f>ROUND(AF24+AG25-MIN(N(Crédits!$E$8),AF24+AG25),2)</f>
        <v>0</v>
      </c>
      <c r="AG25" s="89">
        <f>AF24*N(Crédits!$D$8)/12</f>
        <v>3.4590000000000003E-2</v>
      </c>
      <c r="AH25" s="99">
        <f t="shared" si="20"/>
        <v>0</v>
      </c>
      <c r="AI25" s="99">
        <f>AH25*N(Crédits!$D$9)/12</f>
        <v>0</v>
      </c>
      <c r="AJ25" s="99">
        <f>MIN(N(Crédits!$E$9),AH25+AI25)</f>
        <v>0</v>
      </c>
      <c r="AK25" s="99">
        <f t="shared" si="8"/>
        <v>0</v>
      </c>
      <c r="AL25" s="100">
        <f>IF(Crédits!$K$9="",0,MAX(0,MIN(AK25,Plan!$L$27-(IF(Crédits!$K$5="",0,IF(Crédits!$K$5&lt;Crédits!$K$9,E25,0))+IF(Crédits!$K$6="",0,IF(Crédits!$K$6&lt;Crédits!$K$9,M25,0))+IF(Crédits!$K$7="",0,IF(Crédits!$K$7&lt;Crédits!$K$9,U25,0))+IF(Crédits!$K$8="",0,IF(Crédits!$K$8&lt;Crédits!$K$9,AC25,0))+IF(Crédits!$K$10="",0,IF(Crédits!$K$10&lt;Crédits!$K$9,AS25,0))))))</f>
        <v>0</v>
      </c>
      <c r="AM25" s="101">
        <f t="shared" si="9"/>
        <v>0</v>
      </c>
      <c r="AN25" s="88">
        <f>ROUND(AN24+AO25-MIN(N(Crédits!$E$9),AN24+AO25),2)</f>
        <v>0</v>
      </c>
      <c r="AO25" s="89">
        <f>AN24*N(Crédits!$D$9)/12</f>
        <v>0</v>
      </c>
      <c r="AP25" s="102">
        <f t="shared" si="21"/>
        <v>0</v>
      </c>
      <c r="AQ25" s="102">
        <f>AP25*N(Crédits!$D$10)/12</f>
        <v>0</v>
      </c>
      <c r="AR25" s="102">
        <f>MIN(N(Crédits!$E$10),AP25+AQ25)</f>
        <v>0</v>
      </c>
      <c r="AS25" s="102">
        <f t="shared" si="10"/>
        <v>0</v>
      </c>
      <c r="AT25" s="103">
        <f>IF(Crédits!$K$10="",0,MAX(0,MIN(AS25,Plan!$L$27-(IF(Crédits!$K$5="",0,IF(Crédits!$K$5&lt;Crédits!$K$10,E25,0))+IF(Crédits!$K$6="",0,IF(Crédits!$K$6&lt;Crédits!$K$10,M25,0))+IF(Crédits!$K$7="",0,IF(Crédits!$K$7&lt;Crédits!$K$10,U25,0))+IF(Crédits!$K$8="",0,IF(Crédits!$K$8&lt;Crédits!$K$10,AC25,0))+IF(Crédits!$K$9="",0,IF(Crédits!$K$9&lt;Crédits!$K$10,AK25,0))))))</f>
        <v>0</v>
      </c>
      <c r="AU25" s="104">
        <f t="shared" si="11"/>
        <v>0</v>
      </c>
      <c r="AV25" s="88">
        <f>ROUND(AV24+AW25-MIN(N(Crédits!$E$10),AV24+AW25),2)</f>
        <v>0</v>
      </c>
      <c r="AW25" s="89">
        <f>AV24*N(Crédits!$D$10)/12</f>
        <v>0</v>
      </c>
      <c r="AX25" s="105">
        <f t="shared" si="12"/>
        <v>279.92459000000002</v>
      </c>
      <c r="AY25" s="105">
        <f t="shared" ref="AY25:AZ25" si="43">F25+N25+V25+AD25+AL25+AT25</f>
        <v>537.04524599999991</v>
      </c>
      <c r="AZ25" s="105">
        <f t="shared" si="43"/>
        <v>290.12</v>
      </c>
      <c r="BA25" s="105">
        <f t="shared" si="14"/>
        <v>4.3960391666666663</v>
      </c>
      <c r="BB25" s="105">
        <f t="shared" si="15"/>
        <v>30.402222916666666</v>
      </c>
    </row>
    <row r="26" spans="1:54" ht="15" customHeight="1" x14ac:dyDescent="0.25">
      <c r="A26" s="2">
        <v>24</v>
      </c>
      <c r="B26" s="83">
        <f t="shared" si="16"/>
        <v>290.12</v>
      </c>
      <c r="C26" s="83">
        <f>B26*N(Crédits!$D$5)/12</f>
        <v>1.1846566666666667</v>
      </c>
      <c r="D26" s="83">
        <f>MIN(N(Crédits!$E$5),B26+C26)</f>
        <v>245.3</v>
      </c>
      <c r="E26" s="83">
        <f t="shared" si="0"/>
        <v>46</v>
      </c>
      <c r="F26" s="86">
        <f>IF(Crédits!$K$5="",0,MAX(0,MIN(E26,Plan!$L$28-(IF(Crédits!$K$6="",0,IF(Crédits!$K$6&lt;Crédits!$K$5,M26,0))+IF(Crédits!$K$7="",0,IF(Crédits!$K$7&lt;Crédits!$K$5,U26,0))+IF(Crédits!$K$8="",0,IF(Crédits!$K$8&lt;Crédits!$K$5,AC26,0))+IF(Crédits!$K$9="",0,IF(Crédits!$K$9&lt;Crédits!$K$5,AK26,0))+IF(Crédits!$K$10="",0,IF(Crédits!$K$10&lt;Crédits!$K$5,AS26,0))))))</f>
        <v>46</v>
      </c>
      <c r="G26" s="87">
        <f t="shared" si="1"/>
        <v>0</v>
      </c>
      <c r="H26" s="88">
        <f>ROUND(H25+I26-MIN(N(Crédits!$E$5),H25+I26),2)</f>
        <v>2870.36</v>
      </c>
      <c r="I26" s="89">
        <f>H25*N(Crédits!$D$5)/12</f>
        <v>12.670542499999998</v>
      </c>
      <c r="J26" s="90">
        <f t="shared" si="17"/>
        <v>0</v>
      </c>
      <c r="K26" s="90">
        <f>J26*N(Crédits!$D$6)/12</f>
        <v>0</v>
      </c>
      <c r="L26" s="90">
        <f>MIN(N(Crédits!$E$6),J26+K26)</f>
        <v>0</v>
      </c>
      <c r="M26" s="90">
        <f t="shared" si="2"/>
        <v>0</v>
      </c>
      <c r="N26" s="91">
        <f>IF(Crédits!$K$6="",0,MAX(0,MIN(M26,Plan!$L$28-(IF(Crédits!$K$5="",0,IF(Crédits!$K$5&lt;Crédits!$K$6,E26,0))+IF(Crédits!$K$7="",0,IF(Crédits!$K$7&lt;Crédits!$K$6,U26,0))+IF(Crédits!$K$8="",0,IF(Crédits!$K$8&lt;Crédits!$K$6,AC26,0))+IF(Crédits!$K$9="",0,IF(Crédits!$K$9&lt;Crédits!$K$6,AK26,0))+IF(Crédits!$K$10="",0,IF(Crédits!$K$10&lt;Crédits!$K$6,AS26,0))))))</f>
        <v>0</v>
      </c>
      <c r="O26" s="92">
        <f t="shared" si="3"/>
        <v>0</v>
      </c>
      <c r="P26" s="88">
        <f>ROUND(P25+Q26-MIN(N(Crédits!$E$6),P25+Q26),2)</f>
        <v>599.99</v>
      </c>
      <c r="Q26" s="89">
        <f>P25*N(Crédits!$D$6)/12</f>
        <v>10.425870000000002</v>
      </c>
      <c r="R26" s="93">
        <f t="shared" si="18"/>
        <v>0</v>
      </c>
      <c r="S26" s="93">
        <f>R26*N(Crédits!$D$7)/12</f>
        <v>0</v>
      </c>
      <c r="T26" s="93">
        <f>MIN(N(Crédits!$E$7),R26+S26)</f>
        <v>0</v>
      </c>
      <c r="U26" s="93">
        <f t="shared" si="4"/>
        <v>0</v>
      </c>
      <c r="V26" s="94">
        <f>IF(Crédits!$K$7="",0,MAX(0,MIN(U26,Plan!$L$28-(IF(Crédits!$K$5="",0,IF(Crédits!$K$5&lt;Crédits!$K$7,E26,0))+IF(Crédits!$K$6="",0,IF(Crédits!$K$6&lt;Crédits!$K$7,M26,0))+IF(Crédits!$K$8="",0,IF(Crédits!$K$8&lt;Crédits!$K$7,AC26,0))+IF(Crédits!$K$9="",0,IF(Crédits!$K$9&lt;Crédits!$K$7,AK26,0))+IF(Crédits!$K$10="",0,IF(Crédits!$K$10&lt;Crédits!$K$7,AS26,0))))))</f>
        <v>0</v>
      </c>
      <c r="W26" s="95">
        <f t="shared" si="5"/>
        <v>0</v>
      </c>
      <c r="X26" s="88">
        <f>ROUND(X25+Y26-MIN(N(Crédits!$E$7),X25+Y26),2)</f>
        <v>819.33</v>
      </c>
      <c r="Y26" s="89">
        <f>X25*N(Crédits!$D$7)/12</f>
        <v>4.7831624999999995</v>
      </c>
      <c r="Z26" s="96">
        <f t="shared" si="19"/>
        <v>0</v>
      </c>
      <c r="AA26" s="96">
        <f>Z26*N(Crédits!$D$8)/12</f>
        <v>0</v>
      </c>
      <c r="AB26" s="96">
        <f>MIN(N(Crédits!$E$8),Z26+AA26)</f>
        <v>0</v>
      </c>
      <c r="AC26" s="96">
        <f t="shared" si="6"/>
        <v>0</v>
      </c>
      <c r="AD26" s="97">
        <f>IF(Crédits!$K$8="",0,MAX(0,MIN(AC26,Plan!$L$28-(IF(Crédits!$K$5="",0,IF(Crédits!$K$5&lt;Crédits!$K$8,E26,0))+IF(Crédits!$K$6="",0,IF(Crédits!$K$6&lt;Crédits!$K$8,M26,0))+IF(Crédits!$K$7="",0,IF(Crédits!$K$7&lt;Crédits!$K$8,U26,0))+IF(Crédits!$K$9="",0,IF(Crédits!$K$9&lt;Crédits!$K$8,AK26,0))+IF(Crédits!$K$10="",0,IF(Crédits!$K$10&lt;Crédits!$K$8,AS26,0))))))</f>
        <v>0</v>
      </c>
      <c r="AE26" s="98">
        <f t="shared" si="7"/>
        <v>0</v>
      </c>
      <c r="AF26" s="88">
        <f>ROUND(AF25+AG26-MIN(N(Crédits!$E$8),AF25+AG26),2)</f>
        <v>0</v>
      </c>
      <c r="AG26" s="89">
        <f>AF25*N(Crédits!$D$8)/12</f>
        <v>0</v>
      </c>
      <c r="AH26" s="99">
        <f t="shared" si="20"/>
        <v>0</v>
      </c>
      <c r="AI26" s="99">
        <f>AH26*N(Crédits!$D$9)/12</f>
        <v>0</v>
      </c>
      <c r="AJ26" s="99">
        <f>MIN(N(Crédits!$E$9),AH26+AI26)</f>
        <v>0</v>
      </c>
      <c r="AK26" s="99">
        <f t="shared" si="8"/>
        <v>0</v>
      </c>
      <c r="AL26" s="100">
        <f>IF(Crédits!$K$9="",0,MAX(0,MIN(AK26,Plan!$L$28-(IF(Crédits!$K$5="",0,IF(Crédits!$K$5&lt;Crédits!$K$9,E26,0))+IF(Crédits!$K$6="",0,IF(Crédits!$K$6&lt;Crédits!$K$9,M26,0))+IF(Crédits!$K$7="",0,IF(Crédits!$K$7&lt;Crédits!$K$9,U26,0))+IF(Crédits!$K$8="",0,IF(Crédits!$K$8&lt;Crédits!$K$9,AC26,0))+IF(Crédits!$K$10="",0,IF(Crédits!$K$10&lt;Crédits!$K$9,AS26,0))))))</f>
        <v>0</v>
      </c>
      <c r="AM26" s="101">
        <f t="shared" si="9"/>
        <v>0</v>
      </c>
      <c r="AN26" s="88">
        <f>ROUND(AN25+AO26-MIN(N(Crédits!$E$9),AN25+AO26),2)</f>
        <v>0</v>
      </c>
      <c r="AO26" s="89">
        <f>AN25*N(Crédits!$D$9)/12</f>
        <v>0</v>
      </c>
      <c r="AP26" s="102">
        <f t="shared" si="21"/>
        <v>0</v>
      </c>
      <c r="AQ26" s="102">
        <f>AP26*N(Crédits!$D$10)/12</f>
        <v>0</v>
      </c>
      <c r="AR26" s="102">
        <f>MIN(N(Crédits!$E$10),AP26+AQ26)</f>
        <v>0</v>
      </c>
      <c r="AS26" s="102">
        <f t="shared" si="10"/>
        <v>0</v>
      </c>
      <c r="AT26" s="103">
        <f>IF(Crédits!$K$10="",0,MAX(0,MIN(AS26,Plan!$L$28-(IF(Crédits!$K$5="",0,IF(Crédits!$K$5&lt;Crédits!$K$10,E26,0))+IF(Crédits!$K$6="",0,IF(Crédits!$K$6&lt;Crédits!$K$10,M26,0))+IF(Crédits!$K$7="",0,IF(Crédits!$K$7&lt;Crédits!$K$10,U26,0))+IF(Crédits!$K$8="",0,IF(Crédits!$K$8&lt;Crédits!$K$10,AC26,0))+IF(Crédits!$K$9="",0,IF(Crédits!$K$9&lt;Crédits!$K$10,AK26,0))))))</f>
        <v>0</v>
      </c>
      <c r="AU26" s="104">
        <f t="shared" si="11"/>
        <v>0</v>
      </c>
      <c r="AV26" s="88">
        <f>ROUND(AV25+AW26-MIN(N(Crédits!$E$10),AV25+AW26),2)</f>
        <v>0</v>
      </c>
      <c r="AW26" s="89">
        <f>AV25*N(Crédits!$D$10)/12</f>
        <v>0</v>
      </c>
      <c r="AX26" s="105">
        <f t="shared" si="12"/>
        <v>245.3</v>
      </c>
      <c r="AY26" s="105">
        <f t="shared" ref="AY26:AZ26" si="44">F26+N26+V26+AD26+AL26+AT26</f>
        <v>46</v>
      </c>
      <c r="AZ26" s="105">
        <f t="shared" si="44"/>
        <v>0</v>
      </c>
      <c r="BA26" s="105">
        <f t="shared" si="14"/>
        <v>1.1846566666666667</v>
      </c>
      <c r="BB26" s="105">
        <f t="shared" si="15"/>
        <v>27.879574999999999</v>
      </c>
    </row>
    <row r="27" spans="1:54" ht="15" customHeight="1" x14ac:dyDescent="0.25">
      <c r="A27" s="2">
        <v>25</v>
      </c>
      <c r="B27" s="83">
        <f t="shared" si="16"/>
        <v>0</v>
      </c>
      <c r="C27" s="83">
        <f>B27*N(Crédits!$D$5)/12</f>
        <v>0</v>
      </c>
      <c r="D27" s="83">
        <f>MIN(N(Crédits!$E$5),B27+C27)</f>
        <v>0</v>
      </c>
      <c r="E27" s="83">
        <f t="shared" si="0"/>
        <v>0</v>
      </c>
      <c r="F27" s="86">
        <f>IF(Crédits!$K$5="",0,MAX(0,MIN(E27,Plan!$L$29-(IF(Crédits!$K$6="",0,IF(Crédits!$K$6&lt;Crédits!$K$5,M27,0))+IF(Crédits!$K$7="",0,IF(Crédits!$K$7&lt;Crédits!$K$5,U27,0))+IF(Crédits!$K$8="",0,IF(Crédits!$K$8&lt;Crédits!$K$5,AC27,0))+IF(Crédits!$K$9="",0,IF(Crédits!$K$9&lt;Crédits!$K$5,AK27,0))+IF(Crédits!$K$10="",0,IF(Crédits!$K$10&lt;Crédits!$K$5,AS27,0))))))</f>
        <v>0</v>
      </c>
      <c r="G27" s="87">
        <f t="shared" si="1"/>
        <v>0</v>
      </c>
      <c r="H27" s="88">
        <f>ROUND(H26+I27-MIN(N(Crédits!$E$5),H26+I27),2)</f>
        <v>2636.78</v>
      </c>
      <c r="I27" s="89">
        <f>H26*N(Crédits!$D$5)/12</f>
        <v>11.720636666666669</v>
      </c>
      <c r="J27" s="90">
        <f t="shared" si="17"/>
        <v>0</v>
      </c>
      <c r="K27" s="90">
        <f>J27*N(Crédits!$D$6)/12</f>
        <v>0</v>
      </c>
      <c r="L27" s="90">
        <f>MIN(N(Crédits!$E$6),J27+K27)</f>
        <v>0</v>
      </c>
      <c r="M27" s="90">
        <f t="shared" si="2"/>
        <v>0</v>
      </c>
      <c r="N27" s="91">
        <f>IF(Crédits!$K$6="",0,MAX(0,MIN(M27,Plan!$L$29-(IF(Crédits!$K$5="",0,IF(Crédits!$K$5&lt;Crédits!$K$6,E27,0))+IF(Crédits!$K$7="",0,IF(Crédits!$K$7&lt;Crédits!$K$6,U27,0))+IF(Crédits!$K$8="",0,IF(Crédits!$K$8&lt;Crédits!$K$6,AC27,0))+IF(Crédits!$K$9="",0,IF(Crédits!$K$9&lt;Crédits!$K$6,AK27,0))+IF(Crédits!$K$10="",0,IF(Crédits!$K$10&lt;Crédits!$K$6,AS27,0))))))</f>
        <v>0</v>
      </c>
      <c r="O27" s="92">
        <f t="shared" si="3"/>
        <v>0</v>
      </c>
      <c r="P27" s="88">
        <f>ROUND(P26+Q27-MIN(N(Crédits!$E$6),P26+Q27),2)</f>
        <v>537.04</v>
      </c>
      <c r="Q27" s="89">
        <f>P26*N(Crédits!$D$6)/12</f>
        <v>9.4498425000000008</v>
      </c>
      <c r="R27" s="93">
        <f t="shared" si="18"/>
        <v>0</v>
      </c>
      <c r="S27" s="93">
        <f>R27*N(Crédits!$D$7)/12</f>
        <v>0</v>
      </c>
      <c r="T27" s="93">
        <f>MIN(N(Crédits!$E$7),R27+S27)</f>
        <v>0</v>
      </c>
      <c r="U27" s="93">
        <f t="shared" si="4"/>
        <v>0</v>
      </c>
      <c r="V27" s="94">
        <f>IF(Crédits!$K$7="",0,MAX(0,MIN(U27,Plan!$L$29-(IF(Crédits!$K$5="",0,IF(Crédits!$K$5&lt;Crédits!$K$7,E27,0))+IF(Crédits!$K$6="",0,IF(Crédits!$K$6&lt;Crédits!$K$7,M27,0))+IF(Crédits!$K$8="",0,IF(Crédits!$K$8&lt;Crédits!$K$7,AC27,0))+IF(Crédits!$K$9="",0,IF(Crédits!$K$9&lt;Crédits!$K$7,AK27,0))+IF(Crédits!$K$10="",0,IF(Crédits!$K$10&lt;Crédits!$K$7,AS27,0))))))</f>
        <v>0</v>
      </c>
      <c r="W27" s="95">
        <f t="shared" si="5"/>
        <v>0</v>
      </c>
      <c r="X27" s="88">
        <f>ROUND(X26+Y27-MIN(N(Crédits!$E$7),X26+Y27),2)</f>
        <v>704.78</v>
      </c>
      <c r="Y27" s="89">
        <f>X26*N(Crédits!$D$7)/12</f>
        <v>4.1990662500000004</v>
      </c>
      <c r="Z27" s="96">
        <f t="shared" si="19"/>
        <v>0</v>
      </c>
      <c r="AA27" s="96">
        <f>Z27*N(Crédits!$D$8)/12</f>
        <v>0</v>
      </c>
      <c r="AB27" s="96">
        <f>MIN(N(Crédits!$E$8),Z27+AA27)</f>
        <v>0</v>
      </c>
      <c r="AC27" s="96">
        <f t="shared" si="6"/>
        <v>0</v>
      </c>
      <c r="AD27" s="97">
        <f>IF(Crédits!$K$8="",0,MAX(0,MIN(AC27,Plan!$L$29-(IF(Crédits!$K$5="",0,IF(Crédits!$K$5&lt;Crédits!$K$8,E27,0))+IF(Crédits!$K$6="",0,IF(Crédits!$K$6&lt;Crédits!$K$8,M27,0))+IF(Crédits!$K$7="",0,IF(Crédits!$K$7&lt;Crédits!$K$8,U27,0))+IF(Crédits!$K$9="",0,IF(Crédits!$K$9&lt;Crédits!$K$8,AK27,0))+IF(Crédits!$K$10="",0,IF(Crédits!$K$10&lt;Crédits!$K$8,AS27,0))))))</f>
        <v>0</v>
      </c>
      <c r="AE27" s="98">
        <f t="shared" si="7"/>
        <v>0</v>
      </c>
      <c r="AF27" s="88">
        <f>ROUND(AF26+AG27-MIN(N(Crédits!$E$8),AF26+AG27),2)</f>
        <v>0</v>
      </c>
      <c r="AG27" s="89">
        <f>AF26*N(Crédits!$D$8)/12</f>
        <v>0</v>
      </c>
      <c r="AH27" s="99">
        <f t="shared" si="20"/>
        <v>0</v>
      </c>
      <c r="AI27" s="99">
        <f>AH27*N(Crédits!$D$9)/12</f>
        <v>0</v>
      </c>
      <c r="AJ27" s="99">
        <f>MIN(N(Crédits!$E$9),AH27+AI27)</f>
        <v>0</v>
      </c>
      <c r="AK27" s="99">
        <f t="shared" si="8"/>
        <v>0</v>
      </c>
      <c r="AL27" s="100">
        <f>IF(Crédits!$K$9="",0,MAX(0,MIN(AK27,Plan!$L$29-(IF(Crédits!$K$5="",0,IF(Crédits!$K$5&lt;Crédits!$K$9,E27,0))+IF(Crédits!$K$6="",0,IF(Crédits!$K$6&lt;Crédits!$K$9,M27,0))+IF(Crédits!$K$7="",0,IF(Crédits!$K$7&lt;Crédits!$K$9,U27,0))+IF(Crédits!$K$8="",0,IF(Crédits!$K$8&lt;Crédits!$K$9,AC27,0))+IF(Crédits!$K$10="",0,IF(Crédits!$K$10&lt;Crédits!$K$9,AS27,0))))))</f>
        <v>0</v>
      </c>
      <c r="AM27" s="101">
        <f t="shared" si="9"/>
        <v>0</v>
      </c>
      <c r="AN27" s="88">
        <f>ROUND(AN26+AO27-MIN(N(Crédits!$E$9),AN26+AO27),2)</f>
        <v>0</v>
      </c>
      <c r="AO27" s="89">
        <f>AN26*N(Crédits!$D$9)/12</f>
        <v>0</v>
      </c>
      <c r="AP27" s="102">
        <f t="shared" si="21"/>
        <v>0</v>
      </c>
      <c r="AQ27" s="102">
        <f>AP27*N(Crédits!$D$10)/12</f>
        <v>0</v>
      </c>
      <c r="AR27" s="102">
        <f>MIN(N(Crédits!$E$10),AP27+AQ27)</f>
        <v>0</v>
      </c>
      <c r="AS27" s="102">
        <f t="shared" si="10"/>
        <v>0</v>
      </c>
      <c r="AT27" s="103">
        <f>IF(Crédits!$K$10="",0,MAX(0,MIN(AS27,Plan!$L$29-(IF(Crédits!$K$5="",0,IF(Crédits!$K$5&lt;Crédits!$K$10,E27,0))+IF(Crédits!$K$6="",0,IF(Crédits!$K$6&lt;Crédits!$K$10,M27,0))+IF(Crédits!$K$7="",0,IF(Crédits!$K$7&lt;Crédits!$K$10,U27,0))+IF(Crédits!$K$8="",0,IF(Crédits!$K$8&lt;Crédits!$K$10,AC27,0))+IF(Crédits!$K$9="",0,IF(Crédits!$K$9&lt;Crédits!$K$10,AK27,0))))))</f>
        <v>0</v>
      </c>
      <c r="AU27" s="104">
        <f t="shared" si="11"/>
        <v>0</v>
      </c>
      <c r="AV27" s="88">
        <f>ROUND(AV26+AW27-MIN(N(Crédits!$E$10),AV26+AW27),2)</f>
        <v>0</v>
      </c>
      <c r="AW27" s="89">
        <f>AV26*N(Crédits!$D$10)/12</f>
        <v>0</v>
      </c>
      <c r="AX27" s="105">
        <f t="shared" si="12"/>
        <v>0</v>
      </c>
      <c r="AY27" s="105">
        <f t="shared" ref="AY27:AZ27" si="45">F27+N27+V27+AD27+AL27+AT27</f>
        <v>0</v>
      </c>
      <c r="AZ27" s="105">
        <f t="shared" si="45"/>
        <v>0</v>
      </c>
      <c r="BA27" s="105">
        <f t="shared" si="14"/>
        <v>0</v>
      </c>
      <c r="BB27" s="105">
        <f t="shared" si="15"/>
        <v>25.369545416666671</v>
      </c>
    </row>
    <row r="28" spans="1:54" ht="15" customHeight="1" x14ac:dyDescent="0.25">
      <c r="A28" s="2">
        <v>26</v>
      </c>
      <c r="B28" s="83">
        <f t="shared" si="16"/>
        <v>0</v>
      </c>
      <c r="C28" s="83">
        <f>B28*N(Crédits!$D$5)/12</f>
        <v>0</v>
      </c>
      <c r="D28" s="83">
        <f>MIN(N(Crédits!$E$5),B28+C28)</f>
        <v>0</v>
      </c>
      <c r="E28" s="83">
        <f t="shared" si="0"/>
        <v>0</v>
      </c>
      <c r="F28" s="86">
        <f>IF(Crédits!$K$5="",0,MAX(0,MIN(E28,Plan!$L$30-(IF(Crédits!$K$6="",0,IF(Crédits!$K$6&lt;Crédits!$K$5,M28,0))+IF(Crédits!$K$7="",0,IF(Crédits!$K$7&lt;Crédits!$K$5,U28,0))+IF(Crédits!$K$8="",0,IF(Crédits!$K$8&lt;Crédits!$K$5,AC28,0))+IF(Crédits!$K$9="",0,IF(Crédits!$K$9&lt;Crédits!$K$5,AK28,0))+IF(Crédits!$K$10="",0,IF(Crédits!$K$10&lt;Crédits!$K$5,AS28,0))))))</f>
        <v>0</v>
      </c>
      <c r="G28" s="87">
        <f t="shared" si="1"/>
        <v>0</v>
      </c>
      <c r="H28" s="88">
        <f>ROUND(H27+I28-MIN(N(Crédits!$E$5),H27+I28),2)</f>
        <v>2402.25</v>
      </c>
      <c r="I28" s="89">
        <f>H27*N(Crédits!$D$5)/12</f>
        <v>10.766851666666668</v>
      </c>
      <c r="J28" s="90">
        <f t="shared" si="17"/>
        <v>0</v>
      </c>
      <c r="K28" s="90">
        <f>J28*N(Crédits!$D$6)/12</f>
        <v>0</v>
      </c>
      <c r="L28" s="90">
        <f>MIN(N(Crédits!$E$6),J28+K28)</f>
        <v>0</v>
      </c>
      <c r="M28" s="90">
        <f t="shared" si="2"/>
        <v>0</v>
      </c>
      <c r="N28" s="91">
        <f>IF(Crédits!$K$6="",0,MAX(0,MIN(M28,Plan!$L$30-(IF(Crédits!$K$5="",0,IF(Crédits!$K$5&lt;Crédits!$K$6,E28,0))+IF(Crédits!$K$7="",0,IF(Crédits!$K$7&lt;Crédits!$K$6,U28,0))+IF(Crédits!$K$8="",0,IF(Crédits!$K$8&lt;Crédits!$K$6,AC28,0))+IF(Crédits!$K$9="",0,IF(Crédits!$K$9&lt;Crédits!$K$6,AK28,0))+IF(Crédits!$K$10="",0,IF(Crédits!$K$10&lt;Crédits!$K$6,AS28,0))))))</f>
        <v>0</v>
      </c>
      <c r="O28" s="92">
        <f t="shared" si="3"/>
        <v>0</v>
      </c>
      <c r="P28" s="88">
        <f>ROUND(P27+Q28-MIN(N(Crédits!$E$6),P27+Q28),2)</f>
        <v>473.1</v>
      </c>
      <c r="Q28" s="89">
        <f>P27*N(Crédits!$D$6)/12</f>
        <v>8.45838</v>
      </c>
      <c r="R28" s="93">
        <f t="shared" si="18"/>
        <v>0</v>
      </c>
      <c r="S28" s="93">
        <f>R28*N(Crédits!$D$7)/12</f>
        <v>0</v>
      </c>
      <c r="T28" s="93">
        <f>MIN(N(Crédits!$E$7),R28+S28)</f>
        <v>0</v>
      </c>
      <c r="U28" s="93">
        <f t="shared" si="4"/>
        <v>0</v>
      </c>
      <c r="V28" s="94">
        <f>IF(Crédits!$K$7="",0,MAX(0,MIN(U28,Plan!$L$30-(IF(Crédits!$K$5="",0,IF(Crédits!$K$5&lt;Crédits!$K$7,E28,0))+IF(Crédits!$K$6="",0,IF(Crédits!$K$6&lt;Crédits!$K$7,M28,0))+IF(Crédits!$K$8="",0,IF(Crédits!$K$8&lt;Crédits!$K$7,AC28,0))+IF(Crédits!$K$9="",0,IF(Crédits!$K$9&lt;Crédits!$K$7,AK28,0))+IF(Crédits!$K$10="",0,IF(Crédits!$K$10&lt;Crédits!$K$7,AS28,0))))))</f>
        <v>0</v>
      </c>
      <c r="W28" s="95">
        <f t="shared" si="5"/>
        <v>0</v>
      </c>
      <c r="X28" s="88">
        <f>ROUND(X27+Y28-MIN(N(Crédits!$E$7),X27+Y28),2)</f>
        <v>589.64</v>
      </c>
      <c r="Y28" s="89">
        <f>X27*N(Crédits!$D$7)/12</f>
        <v>3.6119974999999998</v>
      </c>
      <c r="Z28" s="96">
        <f t="shared" si="19"/>
        <v>0</v>
      </c>
      <c r="AA28" s="96">
        <f>Z28*N(Crédits!$D$8)/12</f>
        <v>0</v>
      </c>
      <c r="AB28" s="96">
        <f>MIN(N(Crédits!$E$8),Z28+AA28)</f>
        <v>0</v>
      </c>
      <c r="AC28" s="96">
        <f t="shared" si="6"/>
        <v>0</v>
      </c>
      <c r="AD28" s="97">
        <f>IF(Crédits!$K$8="",0,MAX(0,MIN(AC28,Plan!$L$30-(IF(Crédits!$K$5="",0,IF(Crédits!$K$5&lt;Crédits!$K$8,E28,0))+IF(Crédits!$K$6="",0,IF(Crédits!$K$6&lt;Crédits!$K$8,M28,0))+IF(Crédits!$K$7="",0,IF(Crédits!$K$7&lt;Crédits!$K$8,U28,0))+IF(Crédits!$K$9="",0,IF(Crédits!$K$9&lt;Crédits!$K$8,AK28,0))+IF(Crédits!$K$10="",0,IF(Crédits!$K$10&lt;Crédits!$K$8,AS28,0))))))</f>
        <v>0</v>
      </c>
      <c r="AE28" s="98">
        <f t="shared" si="7"/>
        <v>0</v>
      </c>
      <c r="AF28" s="88">
        <f>ROUND(AF27+AG28-MIN(N(Crédits!$E$8),AF27+AG28),2)</f>
        <v>0</v>
      </c>
      <c r="AG28" s="89">
        <f>AF27*N(Crédits!$D$8)/12</f>
        <v>0</v>
      </c>
      <c r="AH28" s="99">
        <f t="shared" si="20"/>
        <v>0</v>
      </c>
      <c r="AI28" s="99">
        <f>AH28*N(Crédits!$D$9)/12</f>
        <v>0</v>
      </c>
      <c r="AJ28" s="99">
        <f>MIN(N(Crédits!$E$9),AH28+AI28)</f>
        <v>0</v>
      </c>
      <c r="AK28" s="99">
        <f t="shared" si="8"/>
        <v>0</v>
      </c>
      <c r="AL28" s="100">
        <f>IF(Crédits!$K$9="",0,MAX(0,MIN(AK28,Plan!$L$30-(IF(Crédits!$K$5="",0,IF(Crédits!$K$5&lt;Crédits!$K$9,E28,0))+IF(Crédits!$K$6="",0,IF(Crédits!$K$6&lt;Crédits!$K$9,M28,0))+IF(Crédits!$K$7="",0,IF(Crédits!$K$7&lt;Crédits!$K$9,U28,0))+IF(Crédits!$K$8="",0,IF(Crédits!$K$8&lt;Crédits!$K$9,AC28,0))+IF(Crédits!$K$10="",0,IF(Crédits!$K$10&lt;Crédits!$K$9,AS28,0))))))</f>
        <v>0</v>
      </c>
      <c r="AM28" s="101">
        <f t="shared" si="9"/>
        <v>0</v>
      </c>
      <c r="AN28" s="88">
        <f>ROUND(AN27+AO28-MIN(N(Crédits!$E$9),AN27+AO28),2)</f>
        <v>0</v>
      </c>
      <c r="AO28" s="89">
        <f>AN27*N(Crédits!$D$9)/12</f>
        <v>0</v>
      </c>
      <c r="AP28" s="102">
        <f t="shared" si="21"/>
        <v>0</v>
      </c>
      <c r="AQ28" s="102">
        <f>AP28*N(Crédits!$D$10)/12</f>
        <v>0</v>
      </c>
      <c r="AR28" s="102">
        <f>MIN(N(Crédits!$E$10),AP28+AQ28)</f>
        <v>0</v>
      </c>
      <c r="AS28" s="102">
        <f t="shared" si="10"/>
        <v>0</v>
      </c>
      <c r="AT28" s="103">
        <f>IF(Crédits!$K$10="",0,MAX(0,MIN(AS28,Plan!$L$30-(IF(Crédits!$K$5="",0,IF(Crédits!$K$5&lt;Crédits!$K$10,E28,0))+IF(Crédits!$K$6="",0,IF(Crédits!$K$6&lt;Crédits!$K$10,M28,0))+IF(Crédits!$K$7="",0,IF(Crédits!$K$7&lt;Crédits!$K$10,U28,0))+IF(Crédits!$K$8="",0,IF(Crédits!$K$8&lt;Crédits!$K$10,AC28,0))+IF(Crédits!$K$9="",0,IF(Crédits!$K$9&lt;Crédits!$K$10,AK28,0))))))</f>
        <v>0</v>
      </c>
      <c r="AU28" s="104">
        <f t="shared" si="11"/>
        <v>0</v>
      </c>
      <c r="AV28" s="88">
        <f>ROUND(AV27+AW28-MIN(N(Crédits!$E$10),AV27+AW28),2)</f>
        <v>0</v>
      </c>
      <c r="AW28" s="89">
        <f>AV27*N(Crédits!$D$10)/12</f>
        <v>0</v>
      </c>
      <c r="AX28" s="105">
        <f t="shared" si="12"/>
        <v>0</v>
      </c>
      <c r="AY28" s="105">
        <f t="shared" ref="AY28:AZ28" si="46">F28+N28+V28+AD28+AL28+AT28</f>
        <v>0</v>
      </c>
      <c r="AZ28" s="105">
        <f t="shared" si="46"/>
        <v>0</v>
      </c>
      <c r="BA28" s="105">
        <f t="shared" si="14"/>
        <v>0</v>
      </c>
      <c r="BB28" s="105">
        <f t="shared" si="15"/>
        <v>22.837229166666667</v>
      </c>
    </row>
    <row r="29" spans="1:54" ht="15" customHeight="1" x14ac:dyDescent="0.25">
      <c r="A29" s="2">
        <v>27</v>
      </c>
      <c r="B29" s="83">
        <f t="shared" si="16"/>
        <v>0</v>
      </c>
      <c r="C29" s="83">
        <f>B29*N(Crédits!$D$5)/12</f>
        <v>0</v>
      </c>
      <c r="D29" s="83">
        <f>MIN(N(Crédits!$E$5),B29+C29)</f>
        <v>0</v>
      </c>
      <c r="E29" s="83">
        <f t="shared" si="0"/>
        <v>0</v>
      </c>
      <c r="F29" s="86">
        <f>IF(Crédits!$K$5="",0,MAX(0,MIN(E29,Plan!$L$31-(IF(Crédits!$K$6="",0,IF(Crédits!$K$6&lt;Crédits!$K$5,M29,0))+IF(Crédits!$K$7="",0,IF(Crédits!$K$7&lt;Crédits!$K$5,U29,0))+IF(Crédits!$K$8="",0,IF(Crédits!$K$8&lt;Crédits!$K$5,AC29,0))+IF(Crédits!$K$9="",0,IF(Crédits!$K$9&lt;Crédits!$K$5,AK29,0))+IF(Crédits!$K$10="",0,IF(Crédits!$K$10&lt;Crédits!$K$5,AS29,0))))))</f>
        <v>0</v>
      </c>
      <c r="G29" s="87">
        <f t="shared" si="1"/>
        <v>0</v>
      </c>
      <c r="H29" s="88">
        <f>ROUND(H28+I29-MIN(N(Crédits!$E$5),H28+I29),2)</f>
        <v>2166.7600000000002</v>
      </c>
      <c r="I29" s="89">
        <f>H28*N(Crédits!$D$5)/12</f>
        <v>9.8091875000000002</v>
      </c>
      <c r="J29" s="90">
        <f t="shared" si="17"/>
        <v>0</v>
      </c>
      <c r="K29" s="90">
        <f>J29*N(Crédits!$D$6)/12</f>
        <v>0</v>
      </c>
      <c r="L29" s="90">
        <f>MIN(N(Crédits!$E$6),J29+K29)</f>
        <v>0</v>
      </c>
      <c r="M29" s="90">
        <f t="shared" si="2"/>
        <v>0</v>
      </c>
      <c r="N29" s="91">
        <f>IF(Crédits!$K$6="",0,MAX(0,MIN(M29,Plan!$L$31-(IF(Crédits!$K$5="",0,IF(Crédits!$K$5&lt;Crédits!$K$6,E29,0))+IF(Crédits!$K$7="",0,IF(Crédits!$K$7&lt;Crédits!$K$6,U29,0))+IF(Crédits!$K$8="",0,IF(Crédits!$K$8&lt;Crédits!$K$6,AC29,0))+IF(Crédits!$K$9="",0,IF(Crédits!$K$9&lt;Crédits!$K$6,AK29,0))+IF(Crédits!$K$10="",0,IF(Crédits!$K$10&lt;Crédits!$K$6,AS29,0))))))</f>
        <v>0</v>
      </c>
      <c r="O29" s="92">
        <f t="shared" si="3"/>
        <v>0</v>
      </c>
      <c r="P29" s="88">
        <f>ROUND(P28+Q29-MIN(N(Crédits!$E$6),P28+Q29),2)</f>
        <v>408.15</v>
      </c>
      <c r="Q29" s="89">
        <f>P28*N(Crédits!$D$6)/12</f>
        <v>7.4513250000000006</v>
      </c>
      <c r="R29" s="93">
        <f t="shared" si="18"/>
        <v>0</v>
      </c>
      <c r="S29" s="93">
        <f>R29*N(Crédits!$D$7)/12</f>
        <v>0</v>
      </c>
      <c r="T29" s="93">
        <f>MIN(N(Crédits!$E$7),R29+S29)</f>
        <v>0</v>
      </c>
      <c r="U29" s="93">
        <f t="shared" si="4"/>
        <v>0</v>
      </c>
      <c r="V29" s="94">
        <f>IF(Crédits!$K$7="",0,MAX(0,MIN(U29,Plan!$L$31-(IF(Crédits!$K$5="",0,IF(Crédits!$K$5&lt;Crédits!$K$7,E29,0))+IF(Crédits!$K$6="",0,IF(Crédits!$K$6&lt;Crédits!$K$7,M29,0))+IF(Crédits!$K$8="",0,IF(Crédits!$K$8&lt;Crédits!$K$7,AC29,0))+IF(Crédits!$K$9="",0,IF(Crédits!$K$9&lt;Crédits!$K$7,AK29,0))+IF(Crédits!$K$10="",0,IF(Crédits!$K$10&lt;Crédits!$K$7,AS29,0))))))</f>
        <v>0</v>
      </c>
      <c r="W29" s="95">
        <f t="shared" si="5"/>
        <v>0</v>
      </c>
      <c r="X29" s="88">
        <f>ROUND(X28+Y29-MIN(N(Crédits!$E$7),X28+Y29),2)</f>
        <v>473.91</v>
      </c>
      <c r="Y29" s="89">
        <f>X28*N(Crédits!$D$7)/12</f>
        <v>3.0219049999999998</v>
      </c>
      <c r="Z29" s="96">
        <f t="shared" si="19"/>
        <v>0</v>
      </c>
      <c r="AA29" s="96">
        <f>Z29*N(Crédits!$D$8)/12</f>
        <v>0</v>
      </c>
      <c r="AB29" s="96">
        <f>MIN(N(Crédits!$E$8),Z29+AA29)</f>
        <v>0</v>
      </c>
      <c r="AC29" s="96">
        <f t="shared" si="6"/>
        <v>0</v>
      </c>
      <c r="AD29" s="97">
        <f>IF(Crédits!$K$8="",0,MAX(0,MIN(AC29,Plan!$L$31-(IF(Crédits!$K$5="",0,IF(Crédits!$K$5&lt;Crédits!$K$8,E29,0))+IF(Crédits!$K$6="",0,IF(Crédits!$K$6&lt;Crédits!$K$8,M29,0))+IF(Crédits!$K$7="",0,IF(Crédits!$K$7&lt;Crédits!$K$8,U29,0))+IF(Crédits!$K$9="",0,IF(Crédits!$K$9&lt;Crédits!$K$8,AK29,0))+IF(Crédits!$K$10="",0,IF(Crédits!$K$10&lt;Crédits!$K$8,AS29,0))))))</f>
        <v>0</v>
      </c>
      <c r="AE29" s="98">
        <f t="shared" si="7"/>
        <v>0</v>
      </c>
      <c r="AF29" s="88">
        <f>ROUND(AF28+AG29-MIN(N(Crédits!$E$8),AF28+AG29),2)</f>
        <v>0</v>
      </c>
      <c r="AG29" s="89">
        <f>AF28*N(Crédits!$D$8)/12</f>
        <v>0</v>
      </c>
      <c r="AH29" s="99">
        <f t="shared" si="20"/>
        <v>0</v>
      </c>
      <c r="AI29" s="99">
        <f>AH29*N(Crédits!$D$9)/12</f>
        <v>0</v>
      </c>
      <c r="AJ29" s="99">
        <f>MIN(N(Crédits!$E$9),AH29+AI29)</f>
        <v>0</v>
      </c>
      <c r="AK29" s="99">
        <f t="shared" si="8"/>
        <v>0</v>
      </c>
      <c r="AL29" s="100">
        <f>IF(Crédits!$K$9="",0,MAX(0,MIN(AK29,Plan!$L$31-(IF(Crédits!$K$5="",0,IF(Crédits!$K$5&lt;Crédits!$K$9,E29,0))+IF(Crédits!$K$6="",0,IF(Crédits!$K$6&lt;Crédits!$K$9,M29,0))+IF(Crédits!$K$7="",0,IF(Crédits!$K$7&lt;Crédits!$K$9,U29,0))+IF(Crédits!$K$8="",0,IF(Crédits!$K$8&lt;Crédits!$K$9,AC29,0))+IF(Crédits!$K$10="",0,IF(Crédits!$K$10&lt;Crédits!$K$9,AS29,0))))))</f>
        <v>0</v>
      </c>
      <c r="AM29" s="101">
        <f t="shared" si="9"/>
        <v>0</v>
      </c>
      <c r="AN29" s="88">
        <f>ROUND(AN28+AO29-MIN(N(Crédits!$E$9),AN28+AO29),2)</f>
        <v>0</v>
      </c>
      <c r="AO29" s="89">
        <f>AN28*N(Crédits!$D$9)/12</f>
        <v>0</v>
      </c>
      <c r="AP29" s="102">
        <f t="shared" si="21"/>
        <v>0</v>
      </c>
      <c r="AQ29" s="102">
        <f>AP29*N(Crédits!$D$10)/12</f>
        <v>0</v>
      </c>
      <c r="AR29" s="102">
        <f>MIN(N(Crédits!$E$10),AP29+AQ29)</f>
        <v>0</v>
      </c>
      <c r="AS29" s="102">
        <f t="shared" si="10"/>
        <v>0</v>
      </c>
      <c r="AT29" s="103">
        <f>IF(Crédits!$K$10="",0,MAX(0,MIN(AS29,Plan!$L$31-(IF(Crédits!$K$5="",0,IF(Crédits!$K$5&lt;Crédits!$K$10,E29,0))+IF(Crédits!$K$6="",0,IF(Crédits!$K$6&lt;Crédits!$K$10,M29,0))+IF(Crédits!$K$7="",0,IF(Crédits!$K$7&lt;Crédits!$K$10,U29,0))+IF(Crédits!$K$8="",0,IF(Crédits!$K$8&lt;Crédits!$K$10,AC29,0))+IF(Crédits!$K$9="",0,IF(Crédits!$K$9&lt;Crédits!$K$10,AK29,0))))))</f>
        <v>0</v>
      </c>
      <c r="AU29" s="104">
        <f t="shared" si="11"/>
        <v>0</v>
      </c>
      <c r="AV29" s="88">
        <f>ROUND(AV28+AW29-MIN(N(Crédits!$E$10),AV28+AW29),2)</f>
        <v>0</v>
      </c>
      <c r="AW29" s="89">
        <f>AV28*N(Crédits!$D$10)/12</f>
        <v>0</v>
      </c>
      <c r="AX29" s="105">
        <f t="shared" si="12"/>
        <v>0</v>
      </c>
      <c r="AY29" s="105">
        <f t="shared" ref="AY29:AZ29" si="47">F29+N29+V29+AD29+AL29+AT29</f>
        <v>0</v>
      </c>
      <c r="AZ29" s="105">
        <f t="shared" si="47"/>
        <v>0</v>
      </c>
      <c r="BA29" s="105">
        <f t="shared" si="14"/>
        <v>0</v>
      </c>
      <c r="BB29" s="105">
        <f t="shared" si="15"/>
        <v>20.282417500000001</v>
      </c>
    </row>
    <row r="30" spans="1:54" ht="15" customHeight="1" x14ac:dyDescent="0.25">
      <c r="A30" s="2">
        <v>28</v>
      </c>
      <c r="B30" s="83">
        <f t="shared" si="16"/>
        <v>0</v>
      </c>
      <c r="C30" s="83">
        <f>B30*N(Crédits!$D$5)/12</f>
        <v>0</v>
      </c>
      <c r="D30" s="83">
        <f>MIN(N(Crédits!$E$5),B30+C30)</f>
        <v>0</v>
      </c>
      <c r="E30" s="83">
        <f t="shared" si="0"/>
        <v>0</v>
      </c>
      <c r="F30" s="86">
        <f>IF(Crédits!$K$5="",0,MAX(0,MIN(E30,Plan!$L$32-(IF(Crédits!$K$6="",0,IF(Crédits!$K$6&lt;Crédits!$K$5,M30,0))+IF(Crédits!$K$7="",0,IF(Crédits!$K$7&lt;Crédits!$K$5,U30,0))+IF(Crédits!$K$8="",0,IF(Crédits!$K$8&lt;Crédits!$K$5,AC30,0))+IF(Crédits!$K$9="",0,IF(Crédits!$K$9&lt;Crédits!$K$5,AK30,0))+IF(Crédits!$K$10="",0,IF(Crédits!$K$10&lt;Crédits!$K$5,AS30,0))))))</f>
        <v>0</v>
      </c>
      <c r="G30" s="87">
        <f t="shared" si="1"/>
        <v>0</v>
      </c>
      <c r="H30" s="88">
        <f>ROUND(H29+I30-MIN(N(Crédits!$E$5),H29+I30),2)</f>
        <v>1930.31</v>
      </c>
      <c r="I30" s="89">
        <f>H29*N(Crédits!$D$5)/12</f>
        <v>8.8476033333333337</v>
      </c>
      <c r="J30" s="90">
        <f t="shared" si="17"/>
        <v>0</v>
      </c>
      <c r="K30" s="90">
        <f>J30*N(Crédits!$D$6)/12</f>
        <v>0</v>
      </c>
      <c r="L30" s="90">
        <f>MIN(N(Crédits!$E$6),J30+K30)</f>
        <v>0</v>
      </c>
      <c r="M30" s="90">
        <f t="shared" si="2"/>
        <v>0</v>
      </c>
      <c r="N30" s="91">
        <f>IF(Crédits!$K$6="",0,MAX(0,MIN(M30,Plan!$L$32-(IF(Crédits!$K$5="",0,IF(Crédits!$K$5&lt;Crédits!$K$6,E30,0))+IF(Crédits!$K$7="",0,IF(Crédits!$K$7&lt;Crédits!$K$6,U30,0))+IF(Crédits!$K$8="",0,IF(Crédits!$K$8&lt;Crédits!$K$6,AC30,0))+IF(Crédits!$K$9="",0,IF(Crédits!$K$9&lt;Crédits!$K$6,AK30,0))+IF(Crédits!$K$10="",0,IF(Crédits!$K$10&lt;Crédits!$K$6,AS30,0))))))</f>
        <v>0</v>
      </c>
      <c r="O30" s="92">
        <f t="shared" si="3"/>
        <v>0</v>
      </c>
      <c r="P30" s="88">
        <f>ROUND(P29+Q30-MIN(N(Crédits!$E$6),P29+Q30),2)</f>
        <v>342.18</v>
      </c>
      <c r="Q30" s="89">
        <f>P29*N(Crédits!$D$6)/12</f>
        <v>6.4283624999999995</v>
      </c>
      <c r="R30" s="93">
        <f t="shared" si="18"/>
        <v>0</v>
      </c>
      <c r="S30" s="93">
        <f>R30*N(Crédits!$D$7)/12</f>
        <v>0</v>
      </c>
      <c r="T30" s="93">
        <f>MIN(N(Crédits!$E$7),R30+S30)</f>
        <v>0</v>
      </c>
      <c r="U30" s="93">
        <f t="shared" si="4"/>
        <v>0</v>
      </c>
      <c r="V30" s="94">
        <f>IF(Crédits!$K$7="",0,MAX(0,MIN(U30,Plan!$L$32-(IF(Crédits!$K$5="",0,IF(Crédits!$K$5&lt;Crédits!$K$7,E30,0))+IF(Crédits!$K$6="",0,IF(Crédits!$K$6&lt;Crédits!$K$7,M30,0))+IF(Crédits!$K$8="",0,IF(Crédits!$K$8&lt;Crédits!$K$7,AC30,0))+IF(Crédits!$K$9="",0,IF(Crédits!$K$9&lt;Crédits!$K$7,AK30,0))+IF(Crédits!$K$10="",0,IF(Crédits!$K$10&lt;Crédits!$K$7,AS30,0))))))</f>
        <v>0</v>
      </c>
      <c r="W30" s="95">
        <f t="shared" si="5"/>
        <v>0</v>
      </c>
      <c r="X30" s="88">
        <f>ROUND(X29+Y30-MIN(N(Crédits!$E$7),X29+Y30),2)</f>
        <v>357.59</v>
      </c>
      <c r="Y30" s="89">
        <f>X29*N(Crédits!$D$7)/12</f>
        <v>2.4287887500000003</v>
      </c>
      <c r="Z30" s="96">
        <f t="shared" si="19"/>
        <v>0</v>
      </c>
      <c r="AA30" s="96">
        <f>Z30*N(Crédits!$D$8)/12</f>
        <v>0</v>
      </c>
      <c r="AB30" s="96">
        <f>MIN(N(Crédits!$E$8),Z30+AA30)</f>
        <v>0</v>
      </c>
      <c r="AC30" s="96">
        <f t="shared" si="6"/>
        <v>0</v>
      </c>
      <c r="AD30" s="97">
        <f>IF(Crédits!$K$8="",0,MAX(0,MIN(AC30,Plan!$L$32-(IF(Crédits!$K$5="",0,IF(Crédits!$K$5&lt;Crédits!$K$8,E30,0))+IF(Crédits!$K$6="",0,IF(Crédits!$K$6&lt;Crédits!$K$8,M30,0))+IF(Crédits!$K$7="",0,IF(Crédits!$K$7&lt;Crédits!$K$8,U30,0))+IF(Crédits!$K$9="",0,IF(Crédits!$K$9&lt;Crédits!$K$8,AK30,0))+IF(Crédits!$K$10="",0,IF(Crédits!$K$10&lt;Crédits!$K$8,AS30,0))))))</f>
        <v>0</v>
      </c>
      <c r="AE30" s="98">
        <f t="shared" si="7"/>
        <v>0</v>
      </c>
      <c r="AF30" s="88">
        <f>ROUND(AF29+AG30-MIN(N(Crédits!$E$8),AF29+AG30),2)</f>
        <v>0</v>
      </c>
      <c r="AG30" s="89">
        <f>AF29*N(Crédits!$D$8)/12</f>
        <v>0</v>
      </c>
      <c r="AH30" s="99">
        <f t="shared" si="20"/>
        <v>0</v>
      </c>
      <c r="AI30" s="99">
        <f>AH30*N(Crédits!$D$9)/12</f>
        <v>0</v>
      </c>
      <c r="AJ30" s="99">
        <f>MIN(N(Crédits!$E$9),AH30+AI30)</f>
        <v>0</v>
      </c>
      <c r="AK30" s="99">
        <f t="shared" si="8"/>
        <v>0</v>
      </c>
      <c r="AL30" s="100">
        <f>IF(Crédits!$K$9="",0,MAX(0,MIN(AK30,Plan!$L$32-(IF(Crédits!$K$5="",0,IF(Crédits!$K$5&lt;Crédits!$K$9,E30,0))+IF(Crédits!$K$6="",0,IF(Crédits!$K$6&lt;Crédits!$K$9,M30,0))+IF(Crédits!$K$7="",0,IF(Crédits!$K$7&lt;Crédits!$K$9,U30,0))+IF(Crédits!$K$8="",0,IF(Crédits!$K$8&lt;Crédits!$K$9,AC30,0))+IF(Crédits!$K$10="",0,IF(Crédits!$K$10&lt;Crédits!$K$9,AS30,0))))))</f>
        <v>0</v>
      </c>
      <c r="AM30" s="101">
        <f t="shared" si="9"/>
        <v>0</v>
      </c>
      <c r="AN30" s="88">
        <f>ROUND(AN29+AO30-MIN(N(Crédits!$E$9),AN29+AO30),2)</f>
        <v>0</v>
      </c>
      <c r="AO30" s="89">
        <f>AN29*N(Crédits!$D$9)/12</f>
        <v>0</v>
      </c>
      <c r="AP30" s="102">
        <f t="shared" si="21"/>
        <v>0</v>
      </c>
      <c r="AQ30" s="102">
        <f>AP30*N(Crédits!$D$10)/12</f>
        <v>0</v>
      </c>
      <c r="AR30" s="102">
        <f>MIN(N(Crédits!$E$10),AP30+AQ30)</f>
        <v>0</v>
      </c>
      <c r="AS30" s="102">
        <f t="shared" si="10"/>
        <v>0</v>
      </c>
      <c r="AT30" s="103">
        <f>IF(Crédits!$K$10="",0,MAX(0,MIN(AS30,Plan!$L$32-(IF(Crédits!$K$5="",0,IF(Crédits!$K$5&lt;Crédits!$K$10,E30,0))+IF(Crédits!$K$6="",0,IF(Crédits!$K$6&lt;Crédits!$K$10,M30,0))+IF(Crédits!$K$7="",0,IF(Crédits!$K$7&lt;Crédits!$K$10,U30,0))+IF(Crédits!$K$8="",0,IF(Crédits!$K$8&lt;Crédits!$K$10,AC30,0))+IF(Crédits!$K$9="",0,IF(Crédits!$K$9&lt;Crédits!$K$10,AK30,0))))))</f>
        <v>0</v>
      </c>
      <c r="AU30" s="104">
        <f t="shared" si="11"/>
        <v>0</v>
      </c>
      <c r="AV30" s="88">
        <f>ROUND(AV29+AW30-MIN(N(Crédits!$E$10),AV29+AW30),2)</f>
        <v>0</v>
      </c>
      <c r="AW30" s="89">
        <f>AV29*N(Crédits!$D$10)/12</f>
        <v>0</v>
      </c>
      <c r="AX30" s="105">
        <f t="shared" si="12"/>
        <v>0</v>
      </c>
      <c r="AY30" s="105">
        <f t="shared" ref="AY30:AZ30" si="48">F30+N30+V30+AD30+AL30+AT30</f>
        <v>0</v>
      </c>
      <c r="AZ30" s="105">
        <f t="shared" si="48"/>
        <v>0</v>
      </c>
      <c r="BA30" s="105">
        <f t="shared" si="14"/>
        <v>0</v>
      </c>
      <c r="BB30" s="105">
        <f t="shared" si="15"/>
        <v>17.704754583333333</v>
      </c>
    </row>
    <row r="31" spans="1:54" ht="15" customHeight="1" x14ac:dyDescent="0.25">
      <c r="A31" s="2">
        <v>29</v>
      </c>
      <c r="B31" s="83">
        <f t="shared" si="16"/>
        <v>0</v>
      </c>
      <c r="C31" s="83">
        <f>B31*N(Crédits!$D$5)/12</f>
        <v>0</v>
      </c>
      <c r="D31" s="83">
        <f>MIN(N(Crédits!$E$5),B31+C31)</f>
        <v>0</v>
      </c>
      <c r="E31" s="83">
        <f t="shared" si="0"/>
        <v>0</v>
      </c>
      <c r="F31" s="86">
        <f>IF(Crédits!$K$5="",0,MAX(0,MIN(E31,Plan!$L$33-(IF(Crédits!$K$6="",0,IF(Crédits!$K$6&lt;Crédits!$K$5,M31,0))+IF(Crédits!$K$7="",0,IF(Crédits!$K$7&lt;Crédits!$K$5,U31,0))+IF(Crédits!$K$8="",0,IF(Crédits!$K$8&lt;Crédits!$K$5,AC31,0))+IF(Crédits!$K$9="",0,IF(Crédits!$K$9&lt;Crédits!$K$5,AK31,0))+IF(Crédits!$K$10="",0,IF(Crédits!$K$10&lt;Crédits!$K$5,AS31,0))))))</f>
        <v>0</v>
      </c>
      <c r="G31" s="87">
        <f t="shared" si="1"/>
        <v>0</v>
      </c>
      <c r="H31" s="88">
        <f>ROUND(H30+I31-MIN(N(Crédits!$E$5),H30+I31),2)</f>
        <v>1692.89</v>
      </c>
      <c r="I31" s="89">
        <f>H30*N(Crédits!$D$5)/12</f>
        <v>7.8820991666666664</v>
      </c>
      <c r="J31" s="90">
        <f t="shared" si="17"/>
        <v>0</v>
      </c>
      <c r="K31" s="90">
        <f>J31*N(Crédits!$D$6)/12</f>
        <v>0</v>
      </c>
      <c r="L31" s="90">
        <f>MIN(N(Crédits!$E$6),J31+K31)</f>
        <v>0</v>
      </c>
      <c r="M31" s="90">
        <f t="shared" si="2"/>
        <v>0</v>
      </c>
      <c r="N31" s="91">
        <f>IF(Crédits!$K$6="",0,MAX(0,MIN(M31,Plan!$L$33-(IF(Crédits!$K$5="",0,IF(Crédits!$K$5&lt;Crédits!$K$6,E31,0))+IF(Crédits!$K$7="",0,IF(Crédits!$K$7&lt;Crédits!$K$6,U31,0))+IF(Crédits!$K$8="",0,IF(Crédits!$K$8&lt;Crédits!$K$6,AC31,0))+IF(Crédits!$K$9="",0,IF(Crédits!$K$9&lt;Crédits!$K$6,AK31,0))+IF(Crédits!$K$10="",0,IF(Crédits!$K$10&lt;Crédits!$K$6,AS31,0))))))</f>
        <v>0</v>
      </c>
      <c r="O31" s="92">
        <f t="shared" si="3"/>
        <v>0</v>
      </c>
      <c r="P31" s="88">
        <f>ROUND(P30+Q31-MIN(N(Crédits!$E$6),P30+Q31),2)</f>
        <v>275.17</v>
      </c>
      <c r="Q31" s="89">
        <f>P30*N(Crédits!$D$6)/12</f>
        <v>5.389335</v>
      </c>
      <c r="R31" s="93">
        <f t="shared" si="18"/>
        <v>0</v>
      </c>
      <c r="S31" s="93">
        <f>R31*N(Crédits!$D$7)/12</f>
        <v>0</v>
      </c>
      <c r="T31" s="93">
        <f>MIN(N(Crédits!$E$7),R31+S31)</f>
        <v>0</v>
      </c>
      <c r="U31" s="93">
        <f t="shared" si="4"/>
        <v>0</v>
      </c>
      <c r="V31" s="94">
        <f>IF(Crédits!$K$7="",0,MAX(0,MIN(U31,Plan!$L$33-(IF(Crédits!$K$5="",0,IF(Crédits!$K$5&lt;Crédits!$K$7,E31,0))+IF(Crédits!$K$6="",0,IF(Crédits!$K$6&lt;Crédits!$K$7,M31,0))+IF(Crédits!$K$8="",0,IF(Crédits!$K$8&lt;Crédits!$K$7,AC31,0))+IF(Crédits!$K$9="",0,IF(Crédits!$K$9&lt;Crédits!$K$7,AK31,0))+IF(Crédits!$K$10="",0,IF(Crédits!$K$10&lt;Crédits!$K$7,AS31,0))))))</f>
        <v>0</v>
      </c>
      <c r="W31" s="95">
        <f t="shared" si="5"/>
        <v>0</v>
      </c>
      <c r="X31" s="88">
        <f>ROUND(X30+Y31-MIN(N(Crédits!$E$7),X30+Y31),2)</f>
        <v>240.67</v>
      </c>
      <c r="Y31" s="89">
        <f>X30*N(Crédits!$D$7)/12</f>
        <v>1.8326487499999997</v>
      </c>
      <c r="Z31" s="96">
        <f t="shared" si="19"/>
        <v>0</v>
      </c>
      <c r="AA31" s="96">
        <f>Z31*N(Crédits!$D$8)/12</f>
        <v>0</v>
      </c>
      <c r="AB31" s="96">
        <f>MIN(N(Crédits!$E$8),Z31+AA31)</f>
        <v>0</v>
      </c>
      <c r="AC31" s="96">
        <f t="shared" si="6"/>
        <v>0</v>
      </c>
      <c r="AD31" s="97">
        <f>IF(Crédits!$K$8="",0,MAX(0,MIN(AC31,Plan!$L$33-(IF(Crédits!$K$5="",0,IF(Crédits!$K$5&lt;Crédits!$K$8,E31,0))+IF(Crédits!$K$6="",0,IF(Crédits!$K$6&lt;Crédits!$K$8,M31,0))+IF(Crédits!$K$7="",0,IF(Crédits!$K$7&lt;Crédits!$K$8,U31,0))+IF(Crédits!$K$9="",0,IF(Crédits!$K$9&lt;Crédits!$K$8,AK31,0))+IF(Crédits!$K$10="",0,IF(Crédits!$K$10&lt;Crédits!$K$8,AS31,0))))))</f>
        <v>0</v>
      </c>
      <c r="AE31" s="98">
        <f t="shared" si="7"/>
        <v>0</v>
      </c>
      <c r="AF31" s="88">
        <f>ROUND(AF30+AG31-MIN(N(Crédits!$E$8),AF30+AG31),2)</f>
        <v>0</v>
      </c>
      <c r="AG31" s="89">
        <f>AF30*N(Crédits!$D$8)/12</f>
        <v>0</v>
      </c>
      <c r="AH31" s="99">
        <f t="shared" si="20"/>
        <v>0</v>
      </c>
      <c r="AI31" s="99">
        <f>AH31*N(Crédits!$D$9)/12</f>
        <v>0</v>
      </c>
      <c r="AJ31" s="99">
        <f>MIN(N(Crédits!$E$9),AH31+AI31)</f>
        <v>0</v>
      </c>
      <c r="AK31" s="99">
        <f t="shared" si="8"/>
        <v>0</v>
      </c>
      <c r="AL31" s="100">
        <f>IF(Crédits!$K$9="",0,MAX(0,MIN(AK31,Plan!$L$33-(IF(Crédits!$K$5="",0,IF(Crédits!$K$5&lt;Crédits!$K$9,E31,0))+IF(Crédits!$K$6="",0,IF(Crédits!$K$6&lt;Crédits!$K$9,M31,0))+IF(Crédits!$K$7="",0,IF(Crédits!$K$7&lt;Crédits!$K$9,U31,0))+IF(Crédits!$K$8="",0,IF(Crédits!$K$8&lt;Crédits!$K$9,AC31,0))+IF(Crédits!$K$10="",0,IF(Crédits!$K$10&lt;Crédits!$K$9,AS31,0))))))</f>
        <v>0</v>
      </c>
      <c r="AM31" s="101">
        <f t="shared" si="9"/>
        <v>0</v>
      </c>
      <c r="AN31" s="88">
        <f>ROUND(AN30+AO31-MIN(N(Crédits!$E$9),AN30+AO31),2)</f>
        <v>0</v>
      </c>
      <c r="AO31" s="89">
        <f>AN30*N(Crédits!$D$9)/12</f>
        <v>0</v>
      </c>
      <c r="AP31" s="102">
        <f t="shared" si="21"/>
        <v>0</v>
      </c>
      <c r="AQ31" s="102">
        <f>AP31*N(Crédits!$D$10)/12</f>
        <v>0</v>
      </c>
      <c r="AR31" s="102">
        <f>MIN(N(Crédits!$E$10),AP31+AQ31)</f>
        <v>0</v>
      </c>
      <c r="AS31" s="102">
        <f t="shared" si="10"/>
        <v>0</v>
      </c>
      <c r="AT31" s="103">
        <f>IF(Crédits!$K$10="",0,MAX(0,MIN(AS31,Plan!$L$33-(IF(Crédits!$K$5="",0,IF(Crédits!$K$5&lt;Crédits!$K$10,E31,0))+IF(Crédits!$K$6="",0,IF(Crédits!$K$6&lt;Crédits!$K$10,M31,0))+IF(Crédits!$K$7="",0,IF(Crédits!$K$7&lt;Crédits!$K$10,U31,0))+IF(Crédits!$K$8="",0,IF(Crédits!$K$8&lt;Crédits!$K$10,AC31,0))+IF(Crédits!$K$9="",0,IF(Crédits!$K$9&lt;Crédits!$K$10,AK31,0))))))</f>
        <v>0</v>
      </c>
      <c r="AU31" s="104">
        <f t="shared" si="11"/>
        <v>0</v>
      </c>
      <c r="AV31" s="88">
        <f>ROUND(AV30+AW31-MIN(N(Crédits!$E$10),AV30+AW31),2)</f>
        <v>0</v>
      </c>
      <c r="AW31" s="89">
        <f>AV30*N(Crédits!$D$10)/12</f>
        <v>0</v>
      </c>
      <c r="AX31" s="105">
        <f t="shared" si="12"/>
        <v>0</v>
      </c>
      <c r="AY31" s="105">
        <f t="shared" ref="AY31:AZ31" si="49">F31+N31+V31+AD31+AL31+AT31</f>
        <v>0</v>
      </c>
      <c r="AZ31" s="105">
        <f t="shared" si="49"/>
        <v>0</v>
      </c>
      <c r="BA31" s="105">
        <f t="shared" si="14"/>
        <v>0</v>
      </c>
      <c r="BB31" s="105">
        <f t="shared" si="15"/>
        <v>15.104082916666666</v>
      </c>
    </row>
    <row r="32" spans="1:54" ht="15" customHeight="1" x14ac:dyDescent="0.25">
      <c r="A32" s="2">
        <v>30</v>
      </c>
      <c r="B32" s="83">
        <f t="shared" si="16"/>
        <v>0</v>
      </c>
      <c r="C32" s="83">
        <f>B32*N(Crédits!$D$5)/12</f>
        <v>0</v>
      </c>
      <c r="D32" s="83">
        <f>MIN(N(Crédits!$E$5),B32+C32)</f>
        <v>0</v>
      </c>
      <c r="E32" s="83">
        <f t="shared" si="0"/>
        <v>0</v>
      </c>
      <c r="F32" s="86">
        <f>IF(Crédits!$K$5="",0,MAX(0,MIN(E32,Plan!$L$34-(IF(Crédits!$K$6="",0,IF(Crédits!$K$6&lt;Crédits!$K$5,M32,0))+IF(Crédits!$K$7="",0,IF(Crédits!$K$7&lt;Crédits!$K$5,U32,0))+IF(Crédits!$K$8="",0,IF(Crédits!$K$8&lt;Crédits!$K$5,AC32,0))+IF(Crédits!$K$9="",0,IF(Crédits!$K$9&lt;Crédits!$K$5,AK32,0))+IF(Crédits!$K$10="",0,IF(Crédits!$K$10&lt;Crédits!$K$5,AS32,0))))))</f>
        <v>0</v>
      </c>
      <c r="G32" s="87">
        <f t="shared" si="1"/>
        <v>0</v>
      </c>
      <c r="H32" s="88">
        <f>ROUND(H31+I32-MIN(N(Crédits!$E$5),H31+I32),2)</f>
        <v>1454.5</v>
      </c>
      <c r="I32" s="89">
        <f>H31*N(Crédits!$D$5)/12</f>
        <v>6.9126341666666669</v>
      </c>
      <c r="J32" s="90">
        <f t="shared" si="17"/>
        <v>0</v>
      </c>
      <c r="K32" s="90">
        <f>J32*N(Crédits!$D$6)/12</f>
        <v>0</v>
      </c>
      <c r="L32" s="90">
        <f>MIN(N(Crédits!$E$6),J32+K32)</f>
        <v>0</v>
      </c>
      <c r="M32" s="90">
        <f t="shared" si="2"/>
        <v>0</v>
      </c>
      <c r="N32" s="91">
        <f>IF(Crédits!$K$6="",0,MAX(0,MIN(M32,Plan!$L$34-(IF(Crédits!$K$5="",0,IF(Crédits!$K$5&lt;Crédits!$K$6,E32,0))+IF(Crédits!$K$7="",0,IF(Crédits!$K$7&lt;Crédits!$K$6,U32,0))+IF(Crédits!$K$8="",0,IF(Crédits!$K$8&lt;Crédits!$K$6,AC32,0))+IF(Crédits!$K$9="",0,IF(Crédits!$K$9&lt;Crédits!$K$6,AK32,0))+IF(Crédits!$K$10="",0,IF(Crédits!$K$10&lt;Crédits!$K$6,AS32,0))))))</f>
        <v>0</v>
      </c>
      <c r="O32" s="92">
        <f t="shared" si="3"/>
        <v>0</v>
      </c>
      <c r="P32" s="88">
        <f>ROUND(P31+Q32-MIN(N(Crédits!$E$6),P31+Q32),2)</f>
        <v>207.1</v>
      </c>
      <c r="Q32" s="89">
        <f>P31*N(Crédits!$D$6)/12</f>
        <v>4.3339275000000006</v>
      </c>
      <c r="R32" s="93">
        <f t="shared" si="18"/>
        <v>0</v>
      </c>
      <c r="S32" s="93">
        <f>R32*N(Crédits!$D$7)/12</f>
        <v>0</v>
      </c>
      <c r="T32" s="93">
        <f>MIN(N(Crédits!$E$7),R32+S32)</f>
        <v>0</v>
      </c>
      <c r="U32" s="93">
        <f t="shared" si="4"/>
        <v>0</v>
      </c>
      <c r="V32" s="94">
        <f>IF(Crédits!$K$7="",0,MAX(0,MIN(U32,Plan!$L$34-(IF(Crédits!$K$5="",0,IF(Crédits!$K$5&lt;Crédits!$K$7,E32,0))+IF(Crédits!$K$6="",0,IF(Crédits!$K$6&lt;Crédits!$K$7,M32,0))+IF(Crédits!$K$8="",0,IF(Crédits!$K$8&lt;Crédits!$K$7,AC32,0))+IF(Crédits!$K$9="",0,IF(Crédits!$K$9&lt;Crédits!$K$7,AK32,0))+IF(Crédits!$K$10="",0,IF(Crédits!$K$10&lt;Crédits!$K$7,AS32,0))))))</f>
        <v>0</v>
      </c>
      <c r="W32" s="95">
        <f t="shared" si="5"/>
        <v>0</v>
      </c>
      <c r="X32" s="88">
        <f>ROUND(X31+Y32-MIN(N(Crédits!$E$7),X31+Y32),2)</f>
        <v>123.15</v>
      </c>
      <c r="Y32" s="89">
        <f>X31*N(Crédits!$D$7)/12</f>
        <v>1.2334337499999999</v>
      </c>
      <c r="Z32" s="96">
        <f t="shared" si="19"/>
        <v>0</v>
      </c>
      <c r="AA32" s="96">
        <f>Z32*N(Crédits!$D$8)/12</f>
        <v>0</v>
      </c>
      <c r="AB32" s="96">
        <f>MIN(N(Crédits!$E$8),Z32+AA32)</f>
        <v>0</v>
      </c>
      <c r="AC32" s="96">
        <f t="shared" si="6"/>
        <v>0</v>
      </c>
      <c r="AD32" s="97">
        <f>IF(Crédits!$K$8="",0,MAX(0,MIN(AC32,Plan!$L$34-(IF(Crédits!$K$5="",0,IF(Crédits!$K$5&lt;Crédits!$K$8,E32,0))+IF(Crédits!$K$6="",0,IF(Crédits!$K$6&lt;Crédits!$K$8,M32,0))+IF(Crédits!$K$7="",0,IF(Crédits!$K$7&lt;Crédits!$K$8,U32,0))+IF(Crédits!$K$9="",0,IF(Crédits!$K$9&lt;Crédits!$K$8,AK32,0))+IF(Crédits!$K$10="",0,IF(Crédits!$K$10&lt;Crédits!$K$8,AS32,0))))))</f>
        <v>0</v>
      </c>
      <c r="AE32" s="98">
        <f t="shared" si="7"/>
        <v>0</v>
      </c>
      <c r="AF32" s="88">
        <f>ROUND(AF31+AG32-MIN(N(Crédits!$E$8),AF31+AG32),2)</f>
        <v>0</v>
      </c>
      <c r="AG32" s="89">
        <f>AF31*N(Crédits!$D$8)/12</f>
        <v>0</v>
      </c>
      <c r="AH32" s="99">
        <f t="shared" si="20"/>
        <v>0</v>
      </c>
      <c r="AI32" s="99">
        <f>AH32*N(Crédits!$D$9)/12</f>
        <v>0</v>
      </c>
      <c r="AJ32" s="99">
        <f>MIN(N(Crédits!$E$9),AH32+AI32)</f>
        <v>0</v>
      </c>
      <c r="AK32" s="99">
        <f t="shared" si="8"/>
        <v>0</v>
      </c>
      <c r="AL32" s="100">
        <f>IF(Crédits!$K$9="",0,MAX(0,MIN(AK32,Plan!$L$34-(IF(Crédits!$K$5="",0,IF(Crédits!$K$5&lt;Crédits!$K$9,E32,0))+IF(Crédits!$K$6="",0,IF(Crédits!$K$6&lt;Crédits!$K$9,M32,0))+IF(Crédits!$K$7="",0,IF(Crédits!$K$7&lt;Crédits!$K$9,U32,0))+IF(Crédits!$K$8="",0,IF(Crédits!$K$8&lt;Crédits!$K$9,AC32,0))+IF(Crédits!$K$10="",0,IF(Crédits!$K$10&lt;Crédits!$K$9,AS32,0))))))</f>
        <v>0</v>
      </c>
      <c r="AM32" s="101">
        <f t="shared" si="9"/>
        <v>0</v>
      </c>
      <c r="AN32" s="88">
        <f>ROUND(AN31+AO32-MIN(N(Crédits!$E$9),AN31+AO32),2)</f>
        <v>0</v>
      </c>
      <c r="AO32" s="89">
        <f>AN31*N(Crédits!$D$9)/12</f>
        <v>0</v>
      </c>
      <c r="AP32" s="102">
        <f t="shared" si="21"/>
        <v>0</v>
      </c>
      <c r="AQ32" s="102">
        <f>AP32*N(Crédits!$D$10)/12</f>
        <v>0</v>
      </c>
      <c r="AR32" s="102">
        <f>MIN(N(Crédits!$E$10),AP32+AQ32)</f>
        <v>0</v>
      </c>
      <c r="AS32" s="102">
        <f t="shared" si="10"/>
        <v>0</v>
      </c>
      <c r="AT32" s="103">
        <f>IF(Crédits!$K$10="",0,MAX(0,MIN(AS32,Plan!$L$34-(IF(Crédits!$K$5="",0,IF(Crédits!$K$5&lt;Crédits!$K$10,E32,0))+IF(Crédits!$K$6="",0,IF(Crédits!$K$6&lt;Crédits!$K$10,M32,0))+IF(Crédits!$K$7="",0,IF(Crédits!$K$7&lt;Crédits!$K$10,U32,0))+IF(Crédits!$K$8="",0,IF(Crédits!$K$8&lt;Crédits!$K$10,AC32,0))+IF(Crédits!$K$9="",0,IF(Crédits!$K$9&lt;Crédits!$K$10,AK32,0))))))</f>
        <v>0</v>
      </c>
      <c r="AU32" s="104">
        <f t="shared" si="11"/>
        <v>0</v>
      </c>
      <c r="AV32" s="88">
        <f>ROUND(AV31+AW32-MIN(N(Crédits!$E$10),AV31+AW32),2)</f>
        <v>0</v>
      </c>
      <c r="AW32" s="89">
        <f>AV31*N(Crédits!$D$10)/12</f>
        <v>0</v>
      </c>
      <c r="AX32" s="105">
        <f t="shared" si="12"/>
        <v>0</v>
      </c>
      <c r="AY32" s="105">
        <f t="shared" ref="AY32:AZ32" si="50">F32+N32+V32+AD32+AL32+AT32</f>
        <v>0</v>
      </c>
      <c r="AZ32" s="105">
        <f t="shared" si="50"/>
        <v>0</v>
      </c>
      <c r="BA32" s="105">
        <f t="shared" si="14"/>
        <v>0</v>
      </c>
      <c r="BB32" s="105">
        <f t="shared" si="15"/>
        <v>12.479995416666668</v>
      </c>
    </row>
    <row r="33" spans="1:54" ht="15" customHeight="1" x14ac:dyDescent="0.25">
      <c r="A33" s="2">
        <v>31</v>
      </c>
      <c r="B33" s="83">
        <f t="shared" si="16"/>
        <v>0</v>
      </c>
      <c r="C33" s="83">
        <f>B33*N(Crédits!$D$5)/12</f>
        <v>0</v>
      </c>
      <c r="D33" s="83">
        <f>MIN(N(Crédits!$E$5),B33+C33)</f>
        <v>0</v>
      </c>
      <c r="E33" s="83">
        <f t="shared" si="0"/>
        <v>0</v>
      </c>
      <c r="F33" s="86">
        <f>IF(Crédits!$K$5="",0,MAX(0,MIN(E33,Plan!$L$35-(IF(Crédits!$K$6="",0,IF(Crédits!$K$6&lt;Crédits!$K$5,M33,0))+IF(Crédits!$K$7="",0,IF(Crédits!$K$7&lt;Crédits!$K$5,U33,0))+IF(Crédits!$K$8="",0,IF(Crédits!$K$8&lt;Crédits!$K$5,AC33,0))+IF(Crédits!$K$9="",0,IF(Crédits!$K$9&lt;Crédits!$K$5,AK33,0))+IF(Crédits!$K$10="",0,IF(Crédits!$K$10&lt;Crédits!$K$5,AS33,0))))))</f>
        <v>0</v>
      </c>
      <c r="G33" s="87">
        <f t="shared" si="1"/>
        <v>0</v>
      </c>
      <c r="H33" s="88">
        <f>ROUND(H32+I33-MIN(N(Crédits!$E$5),H32+I33),2)</f>
        <v>1215.1400000000001</v>
      </c>
      <c r="I33" s="89">
        <f>H32*N(Crédits!$D$5)/12</f>
        <v>5.9392083333333332</v>
      </c>
      <c r="J33" s="90">
        <f t="shared" si="17"/>
        <v>0</v>
      </c>
      <c r="K33" s="90">
        <f>J33*N(Crédits!$D$6)/12</f>
        <v>0</v>
      </c>
      <c r="L33" s="90">
        <f>MIN(N(Crédits!$E$6),J33+K33)</f>
        <v>0</v>
      </c>
      <c r="M33" s="90">
        <f t="shared" si="2"/>
        <v>0</v>
      </c>
      <c r="N33" s="91">
        <f>IF(Crédits!$K$6="",0,MAX(0,MIN(M33,Plan!$L$35-(IF(Crédits!$K$5="",0,IF(Crédits!$K$5&lt;Crédits!$K$6,E33,0))+IF(Crédits!$K$7="",0,IF(Crédits!$K$7&lt;Crédits!$K$6,U33,0))+IF(Crédits!$K$8="",0,IF(Crédits!$K$8&lt;Crédits!$K$6,AC33,0))+IF(Crédits!$K$9="",0,IF(Crédits!$K$9&lt;Crédits!$K$6,AK33,0))+IF(Crédits!$K$10="",0,IF(Crédits!$K$10&lt;Crédits!$K$6,AS33,0))))))</f>
        <v>0</v>
      </c>
      <c r="O33" s="92">
        <f t="shared" si="3"/>
        <v>0</v>
      </c>
      <c r="P33" s="88">
        <f>ROUND(P32+Q33-MIN(N(Crédits!$E$6),P32+Q33),2)</f>
        <v>137.96</v>
      </c>
      <c r="Q33" s="89">
        <f>P32*N(Crédits!$D$6)/12</f>
        <v>3.261825</v>
      </c>
      <c r="R33" s="93">
        <f t="shared" si="18"/>
        <v>0</v>
      </c>
      <c r="S33" s="93">
        <f>R33*N(Crédits!$D$7)/12</f>
        <v>0</v>
      </c>
      <c r="T33" s="93">
        <f>MIN(N(Crédits!$E$7),R33+S33)</f>
        <v>0</v>
      </c>
      <c r="U33" s="93">
        <f t="shared" si="4"/>
        <v>0</v>
      </c>
      <c r="V33" s="94">
        <f>IF(Crédits!$K$7="",0,MAX(0,MIN(U33,Plan!$L$35-(IF(Crédits!$K$5="",0,IF(Crédits!$K$5&lt;Crédits!$K$7,E33,0))+IF(Crédits!$K$6="",0,IF(Crédits!$K$6&lt;Crédits!$K$7,M33,0))+IF(Crédits!$K$8="",0,IF(Crédits!$K$8&lt;Crédits!$K$7,AC33,0))+IF(Crédits!$K$9="",0,IF(Crédits!$K$9&lt;Crédits!$K$7,AK33,0))+IF(Crédits!$K$10="",0,IF(Crédits!$K$10&lt;Crédits!$K$7,AS33,0))))))</f>
        <v>0</v>
      </c>
      <c r="W33" s="95">
        <f t="shared" si="5"/>
        <v>0</v>
      </c>
      <c r="X33" s="88">
        <f>ROUND(X32+Y33-MIN(N(Crédits!$E$7),X32+Y33),2)</f>
        <v>5.03</v>
      </c>
      <c r="Y33" s="89">
        <f>X32*N(Crédits!$D$7)/12</f>
        <v>0.63114375</v>
      </c>
      <c r="Z33" s="96">
        <f t="shared" si="19"/>
        <v>0</v>
      </c>
      <c r="AA33" s="96">
        <f>Z33*N(Crédits!$D$8)/12</f>
        <v>0</v>
      </c>
      <c r="AB33" s="96">
        <f>MIN(N(Crédits!$E$8),Z33+AA33)</f>
        <v>0</v>
      </c>
      <c r="AC33" s="96">
        <f t="shared" si="6"/>
        <v>0</v>
      </c>
      <c r="AD33" s="97">
        <f>IF(Crédits!$K$8="",0,MAX(0,MIN(AC33,Plan!$L$35-(IF(Crédits!$K$5="",0,IF(Crédits!$K$5&lt;Crédits!$K$8,E33,0))+IF(Crédits!$K$6="",0,IF(Crédits!$K$6&lt;Crédits!$K$8,M33,0))+IF(Crédits!$K$7="",0,IF(Crédits!$K$7&lt;Crédits!$K$8,U33,0))+IF(Crédits!$K$9="",0,IF(Crédits!$K$9&lt;Crédits!$K$8,AK33,0))+IF(Crédits!$K$10="",0,IF(Crédits!$K$10&lt;Crédits!$K$8,AS33,0))))))</f>
        <v>0</v>
      </c>
      <c r="AE33" s="98">
        <f t="shared" si="7"/>
        <v>0</v>
      </c>
      <c r="AF33" s="88">
        <f>ROUND(AF32+AG33-MIN(N(Crédits!$E$8),AF32+AG33),2)</f>
        <v>0</v>
      </c>
      <c r="AG33" s="89">
        <f>AF32*N(Crédits!$D$8)/12</f>
        <v>0</v>
      </c>
      <c r="AH33" s="99">
        <f t="shared" si="20"/>
        <v>0</v>
      </c>
      <c r="AI33" s="99">
        <f>AH33*N(Crédits!$D$9)/12</f>
        <v>0</v>
      </c>
      <c r="AJ33" s="99">
        <f>MIN(N(Crédits!$E$9),AH33+AI33)</f>
        <v>0</v>
      </c>
      <c r="AK33" s="99">
        <f t="shared" si="8"/>
        <v>0</v>
      </c>
      <c r="AL33" s="100">
        <f>IF(Crédits!$K$9="",0,MAX(0,MIN(AK33,Plan!$L$35-(IF(Crédits!$K$5="",0,IF(Crédits!$K$5&lt;Crédits!$K$9,E33,0))+IF(Crédits!$K$6="",0,IF(Crédits!$K$6&lt;Crédits!$K$9,M33,0))+IF(Crédits!$K$7="",0,IF(Crédits!$K$7&lt;Crédits!$K$9,U33,0))+IF(Crédits!$K$8="",0,IF(Crédits!$K$8&lt;Crédits!$K$9,AC33,0))+IF(Crédits!$K$10="",0,IF(Crédits!$K$10&lt;Crédits!$K$9,AS33,0))))))</f>
        <v>0</v>
      </c>
      <c r="AM33" s="101">
        <f t="shared" si="9"/>
        <v>0</v>
      </c>
      <c r="AN33" s="88">
        <f>ROUND(AN32+AO33-MIN(N(Crédits!$E$9),AN32+AO33),2)</f>
        <v>0</v>
      </c>
      <c r="AO33" s="89">
        <f>AN32*N(Crédits!$D$9)/12</f>
        <v>0</v>
      </c>
      <c r="AP33" s="102">
        <f t="shared" si="21"/>
        <v>0</v>
      </c>
      <c r="AQ33" s="102">
        <f>AP33*N(Crédits!$D$10)/12</f>
        <v>0</v>
      </c>
      <c r="AR33" s="102">
        <f>MIN(N(Crédits!$E$10),AP33+AQ33)</f>
        <v>0</v>
      </c>
      <c r="AS33" s="102">
        <f t="shared" si="10"/>
        <v>0</v>
      </c>
      <c r="AT33" s="103">
        <f>IF(Crédits!$K$10="",0,MAX(0,MIN(AS33,Plan!$L$35-(IF(Crédits!$K$5="",0,IF(Crédits!$K$5&lt;Crédits!$K$10,E33,0))+IF(Crédits!$K$6="",0,IF(Crédits!$K$6&lt;Crédits!$K$10,M33,0))+IF(Crédits!$K$7="",0,IF(Crédits!$K$7&lt;Crédits!$K$10,U33,0))+IF(Crédits!$K$8="",0,IF(Crédits!$K$8&lt;Crédits!$K$10,AC33,0))+IF(Crédits!$K$9="",0,IF(Crédits!$K$9&lt;Crédits!$K$10,AK33,0))))))</f>
        <v>0</v>
      </c>
      <c r="AU33" s="104">
        <f t="shared" si="11"/>
        <v>0</v>
      </c>
      <c r="AV33" s="88">
        <f>ROUND(AV32+AW33-MIN(N(Crédits!$E$10),AV32+AW33),2)</f>
        <v>0</v>
      </c>
      <c r="AW33" s="89">
        <f>AV32*N(Crédits!$D$10)/12</f>
        <v>0</v>
      </c>
      <c r="AX33" s="105">
        <f t="shared" si="12"/>
        <v>0</v>
      </c>
      <c r="AY33" s="105">
        <f t="shared" ref="AY33:AZ33" si="51">F33+N33+V33+AD33+AL33+AT33</f>
        <v>0</v>
      </c>
      <c r="AZ33" s="105">
        <f t="shared" si="51"/>
        <v>0</v>
      </c>
      <c r="BA33" s="105">
        <f t="shared" si="14"/>
        <v>0</v>
      </c>
      <c r="BB33" s="105">
        <f t="shared" si="15"/>
        <v>9.8321770833333328</v>
      </c>
    </row>
    <row r="34" spans="1:54" ht="15" customHeight="1" x14ac:dyDescent="0.25">
      <c r="A34" s="2">
        <v>32</v>
      </c>
      <c r="B34" s="83">
        <f t="shared" si="16"/>
        <v>0</v>
      </c>
      <c r="C34" s="83">
        <f>B34*N(Crédits!$D$5)/12</f>
        <v>0</v>
      </c>
      <c r="D34" s="83">
        <f>MIN(N(Crédits!$E$5),B34+C34)</f>
        <v>0</v>
      </c>
      <c r="E34" s="83">
        <f t="shared" si="0"/>
        <v>0</v>
      </c>
      <c r="F34" s="86">
        <f>IF(Crédits!$K$5="",0,MAX(0,MIN(E34,Plan!$L$36-(IF(Crédits!$K$6="",0,IF(Crédits!$K$6&lt;Crédits!$K$5,M34,0))+IF(Crédits!$K$7="",0,IF(Crédits!$K$7&lt;Crédits!$K$5,U34,0))+IF(Crédits!$K$8="",0,IF(Crédits!$K$8&lt;Crédits!$K$5,AC34,0))+IF(Crédits!$K$9="",0,IF(Crédits!$K$9&lt;Crédits!$K$5,AK34,0))+IF(Crédits!$K$10="",0,IF(Crédits!$K$10&lt;Crédits!$K$5,AS34,0))))))</f>
        <v>0</v>
      </c>
      <c r="G34" s="87">
        <f t="shared" si="1"/>
        <v>0</v>
      </c>
      <c r="H34" s="88">
        <f>ROUND(H33+I34-MIN(N(Crédits!$E$5),H33+I34),2)</f>
        <v>974.8</v>
      </c>
      <c r="I34" s="89">
        <f>H33*N(Crédits!$D$5)/12</f>
        <v>4.9618216666666672</v>
      </c>
      <c r="J34" s="90">
        <f t="shared" si="17"/>
        <v>0</v>
      </c>
      <c r="K34" s="90">
        <f>J34*N(Crédits!$D$6)/12</f>
        <v>0</v>
      </c>
      <c r="L34" s="90">
        <f>MIN(N(Crédits!$E$6),J34+K34)</f>
        <v>0</v>
      </c>
      <c r="M34" s="90">
        <f t="shared" si="2"/>
        <v>0</v>
      </c>
      <c r="N34" s="91">
        <f>IF(Crédits!$K$6="",0,MAX(0,MIN(M34,Plan!$L$36-(IF(Crédits!$K$5="",0,IF(Crédits!$K$5&lt;Crédits!$K$6,E34,0))+IF(Crédits!$K$7="",0,IF(Crédits!$K$7&lt;Crédits!$K$6,U34,0))+IF(Crédits!$K$8="",0,IF(Crédits!$K$8&lt;Crédits!$K$6,AC34,0))+IF(Crédits!$K$9="",0,IF(Crédits!$K$9&lt;Crédits!$K$6,AK34,0))+IF(Crédits!$K$10="",0,IF(Crédits!$K$10&lt;Crédits!$K$6,AS34,0))))))</f>
        <v>0</v>
      </c>
      <c r="O34" s="92">
        <f t="shared" si="3"/>
        <v>0</v>
      </c>
      <c r="P34" s="88">
        <f>ROUND(P33+Q34-MIN(N(Crédits!$E$6),P33+Q34),2)</f>
        <v>67.73</v>
      </c>
      <c r="Q34" s="89">
        <f>P33*N(Crédits!$D$6)/12</f>
        <v>2.1728700000000001</v>
      </c>
      <c r="R34" s="93">
        <f t="shared" si="18"/>
        <v>0</v>
      </c>
      <c r="S34" s="93">
        <f>R34*N(Crédits!$D$7)/12</f>
        <v>0</v>
      </c>
      <c r="T34" s="93">
        <f>MIN(N(Crédits!$E$7),R34+S34)</f>
        <v>0</v>
      </c>
      <c r="U34" s="93">
        <f t="shared" si="4"/>
        <v>0</v>
      </c>
      <c r="V34" s="94">
        <f>IF(Crédits!$K$7="",0,MAX(0,MIN(U34,Plan!$L$36-(IF(Crédits!$K$5="",0,IF(Crédits!$K$5&lt;Crédits!$K$7,E34,0))+IF(Crédits!$K$6="",0,IF(Crédits!$K$6&lt;Crédits!$K$7,M34,0))+IF(Crédits!$K$8="",0,IF(Crédits!$K$8&lt;Crédits!$K$7,AC34,0))+IF(Crédits!$K$9="",0,IF(Crédits!$K$9&lt;Crédits!$K$7,AK34,0))+IF(Crédits!$K$10="",0,IF(Crédits!$K$10&lt;Crédits!$K$7,AS34,0))))))</f>
        <v>0</v>
      </c>
      <c r="W34" s="95">
        <f t="shared" si="5"/>
        <v>0</v>
      </c>
      <c r="X34" s="88">
        <f>ROUND(X33+Y34-MIN(N(Crédits!$E$7),X33+Y34),2)</f>
        <v>0</v>
      </c>
      <c r="Y34" s="89">
        <f>X33*N(Crédits!$D$7)/12</f>
        <v>2.5778750000000003E-2</v>
      </c>
      <c r="Z34" s="96">
        <f t="shared" si="19"/>
        <v>0</v>
      </c>
      <c r="AA34" s="96">
        <f>Z34*N(Crédits!$D$8)/12</f>
        <v>0</v>
      </c>
      <c r="AB34" s="96">
        <f>MIN(N(Crédits!$E$8),Z34+AA34)</f>
        <v>0</v>
      </c>
      <c r="AC34" s="96">
        <f t="shared" si="6"/>
        <v>0</v>
      </c>
      <c r="AD34" s="97">
        <f>IF(Crédits!$K$8="",0,MAX(0,MIN(AC34,Plan!$L$36-(IF(Crédits!$K$5="",0,IF(Crédits!$K$5&lt;Crédits!$K$8,E34,0))+IF(Crédits!$K$6="",0,IF(Crédits!$K$6&lt;Crédits!$K$8,M34,0))+IF(Crédits!$K$7="",0,IF(Crédits!$K$7&lt;Crédits!$K$8,U34,0))+IF(Crédits!$K$9="",0,IF(Crédits!$K$9&lt;Crédits!$K$8,AK34,0))+IF(Crédits!$K$10="",0,IF(Crédits!$K$10&lt;Crédits!$K$8,AS34,0))))))</f>
        <v>0</v>
      </c>
      <c r="AE34" s="98">
        <f t="shared" si="7"/>
        <v>0</v>
      </c>
      <c r="AF34" s="88">
        <f>ROUND(AF33+AG34-MIN(N(Crédits!$E$8),AF33+AG34),2)</f>
        <v>0</v>
      </c>
      <c r="AG34" s="89">
        <f>AF33*N(Crédits!$D$8)/12</f>
        <v>0</v>
      </c>
      <c r="AH34" s="99">
        <f t="shared" si="20"/>
        <v>0</v>
      </c>
      <c r="AI34" s="99">
        <f>AH34*N(Crédits!$D$9)/12</f>
        <v>0</v>
      </c>
      <c r="AJ34" s="99">
        <f>MIN(N(Crédits!$E$9),AH34+AI34)</f>
        <v>0</v>
      </c>
      <c r="AK34" s="99">
        <f t="shared" si="8"/>
        <v>0</v>
      </c>
      <c r="AL34" s="100">
        <f>IF(Crédits!$K$9="",0,MAX(0,MIN(AK34,Plan!$L$36-(IF(Crédits!$K$5="",0,IF(Crédits!$K$5&lt;Crédits!$K$9,E34,0))+IF(Crédits!$K$6="",0,IF(Crédits!$K$6&lt;Crédits!$K$9,M34,0))+IF(Crédits!$K$7="",0,IF(Crédits!$K$7&lt;Crédits!$K$9,U34,0))+IF(Crédits!$K$8="",0,IF(Crédits!$K$8&lt;Crédits!$K$9,AC34,0))+IF(Crédits!$K$10="",0,IF(Crédits!$K$10&lt;Crédits!$K$9,AS34,0))))))</f>
        <v>0</v>
      </c>
      <c r="AM34" s="101">
        <f t="shared" si="9"/>
        <v>0</v>
      </c>
      <c r="AN34" s="88">
        <f>ROUND(AN33+AO34-MIN(N(Crédits!$E$9),AN33+AO34),2)</f>
        <v>0</v>
      </c>
      <c r="AO34" s="89">
        <f>AN33*N(Crédits!$D$9)/12</f>
        <v>0</v>
      </c>
      <c r="AP34" s="102">
        <f t="shared" si="21"/>
        <v>0</v>
      </c>
      <c r="AQ34" s="102">
        <f>AP34*N(Crédits!$D$10)/12</f>
        <v>0</v>
      </c>
      <c r="AR34" s="102">
        <f>MIN(N(Crédits!$E$10),AP34+AQ34)</f>
        <v>0</v>
      </c>
      <c r="AS34" s="102">
        <f t="shared" si="10"/>
        <v>0</v>
      </c>
      <c r="AT34" s="103">
        <f>IF(Crédits!$K$10="",0,MAX(0,MIN(AS34,Plan!$L$36-(IF(Crédits!$K$5="",0,IF(Crédits!$K$5&lt;Crédits!$K$10,E34,0))+IF(Crédits!$K$6="",0,IF(Crédits!$K$6&lt;Crédits!$K$10,M34,0))+IF(Crédits!$K$7="",0,IF(Crédits!$K$7&lt;Crédits!$K$10,U34,0))+IF(Crédits!$K$8="",0,IF(Crédits!$K$8&lt;Crédits!$K$10,AC34,0))+IF(Crédits!$K$9="",0,IF(Crédits!$K$9&lt;Crédits!$K$10,AK34,0))))))</f>
        <v>0</v>
      </c>
      <c r="AU34" s="104">
        <f t="shared" si="11"/>
        <v>0</v>
      </c>
      <c r="AV34" s="88">
        <f>ROUND(AV33+AW34-MIN(N(Crédits!$E$10),AV33+AW34),2)</f>
        <v>0</v>
      </c>
      <c r="AW34" s="89">
        <f>AV33*N(Crédits!$D$10)/12</f>
        <v>0</v>
      </c>
      <c r="AX34" s="105">
        <f t="shared" si="12"/>
        <v>0</v>
      </c>
      <c r="AY34" s="105">
        <f t="shared" ref="AY34:AZ34" si="52">F34+N34+V34+AD34+AL34+AT34</f>
        <v>0</v>
      </c>
      <c r="AZ34" s="105">
        <f t="shared" si="52"/>
        <v>0</v>
      </c>
      <c r="BA34" s="105">
        <f t="shared" si="14"/>
        <v>0</v>
      </c>
      <c r="BB34" s="105">
        <f t="shared" si="15"/>
        <v>7.1604704166666666</v>
      </c>
    </row>
    <row r="35" spans="1:54" ht="15" customHeight="1" x14ac:dyDescent="0.25">
      <c r="A35" s="2">
        <v>33</v>
      </c>
      <c r="B35" s="83">
        <f t="shared" si="16"/>
        <v>0</v>
      </c>
      <c r="C35" s="83">
        <f>B35*N(Crédits!$D$5)/12</f>
        <v>0</v>
      </c>
      <c r="D35" s="83">
        <f>MIN(N(Crédits!$E$5),B35+C35)</f>
        <v>0</v>
      </c>
      <c r="E35" s="83">
        <f t="shared" si="0"/>
        <v>0</v>
      </c>
      <c r="F35" s="86">
        <f>IF(Crédits!$K$5="",0,MAX(0,MIN(E35,Plan!$L$37-(IF(Crédits!$K$6="",0,IF(Crédits!$K$6&lt;Crédits!$K$5,M35,0))+IF(Crédits!$K$7="",0,IF(Crédits!$K$7&lt;Crédits!$K$5,U35,0))+IF(Crédits!$K$8="",0,IF(Crédits!$K$8&lt;Crédits!$K$5,AC35,0))+IF(Crédits!$K$9="",0,IF(Crédits!$K$9&lt;Crédits!$K$5,AK35,0))+IF(Crédits!$K$10="",0,IF(Crédits!$K$10&lt;Crédits!$K$5,AS35,0))))))</f>
        <v>0</v>
      </c>
      <c r="G35" s="87">
        <f t="shared" si="1"/>
        <v>0</v>
      </c>
      <c r="H35" s="88">
        <f>ROUND(H34+I35-MIN(N(Crédits!$E$5),H34+I35),2)</f>
        <v>733.48</v>
      </c>
      <c r="I35" s="89">
        <f>H34*N(Crédits!$D$5)/12</f>
        <v>3.9804333333333335</v>
      </c>
      <c r="J35" s="90">
        <f t="shared" si="17"/>
        <v>0</v>
      </c>
      <c r="K35" s="90">
        <f>J35*N(Crédits!$D$6)/12</f>
        <v>0</v>
      </c>
      <c r="L35" s="90">
        <f>MIN(N(Crédits!$E$6),J35+K35)</f>
        <v>0</v>
      </c>
      <c r="M35" s="90">
        <f t="shared" si="2"/>
        <v>0</v>
      </c>
      <c r="N35" s="91">
        <f>IF(Crédits!$K$6="",0,MAX(0,MIN(M35,Plan!$L$37-(IF(Crédits!$K$5="",0,IF(Crédits!$K$5&lt;Crédits!$K$6,E35,0))+IF(Crédits!$K$7="",0,IF(Crédits!$K$7&lt;Crédits!$K$6,U35,0))+IF(Crédits!$K$8="",0,IF(Crédits!$K$8&lt;Crédits!$K$6,AC35,0))+IF(Crédits!$K$9="",0,IF(Crédits!$K$9&lt;Crédits!$K$6,AK35,0))+IF(Crédits!$K$10="",0,IF(Crédits!$K$10&lt;Crédits!$K$6,AS35,0))))))</f>
        <v>0</v>
      </c>
      <c r="O35" s="92">
        <f t="shared" si="3"/>
        <v>0</v>
      </c>
      <c r="P35" s="88">
        <f>ROUND(P34+Q35-MIN(N(Crédits!$E$6),P34+Q35),2)</f>
        <v>0</v>
      </c>
      <c r="Q35" s="89">
        <f>P34*N(Crédits!$D$6)/12</f>
        <v>1.0667475000000002</v>
      </c>
      <c r="R35" s="93">
        <f t="shared" si="18"/>
        <v>0</v>
      </c>
      <c r="S35" s="93">
        <f>R35*N(Crédits!$D$7)/12</f>
        <v>0</v>
      </c>
      <c r="T35" s="93">
        <f>MIN(N(Crédits!$E$7),R35+S35)</f>
        <v>0</v>
      </c>
      <c r="U35" s="93">
        <f t="shared" si="4"/>
        <v>0</v>
      </c>
      <c r="V35" s="94">
        <f>IF(Crédits!$K$7="",0,MAX(0,MIN(U35,Plan!$L$37-(IF(Crédits!$K$5="",0,IF(Crédits!$K$5&lt;Crédits!$K$7,E35,0))+IF(Crédits!$K$6="",0,IF(Crédits!$K$6&lt;Crédits!$K$7,M35,0))+IF(Crédits!$K$8="",0,IF(Crédits!$K$8&lt;Crédits!$K$7,AC35,0))+IF(Crédits!$K$9="",0,IF(Crédits!$K$9&lt;Crédits!$K$7,AK35,0))+IF(Crédits!$K$10="",0,IF(Crédits!$K$10&lt;Crédits!$K$7,AS35,0))))))</f>
        <v>0</v>
      </c>
      <c r="W35" s="95">
        <f t="shared" si="5"/>
        <v>0</v>
      </c>
      <c r="X35" s="88">
        <f>ROUND(X34+Y35-MIN(N(Crédits!$E$7),X34+Y35),2)</f>
        <v>0</v>
      </c>
      <c r="Y35" s="89">
        <f>X34*N(Crédits!$D$7)/12</f>
        <v>0</v>
      </c>
      <c r="Z35" s="96">
        <f t="shared" si="19"/>
        <v>0</v>
      </c>
      <c r="AA35" s="96">
        <f>Z35*N(Crédits!$D$8)/12</f>
        <v>0</v>
      </c>
      <c r="AB35" s="96">
        <f>MIN(N(Crédits!$E$8),Z35+AA35)</f>
        <v>0</v>
      </c>
      <c r="AC35" s="96">
        <f t="shared" si="6"/>
        <v>0</v>
      </c>
      <c r="AD35" s="97">
        <f>IF(Crédits!$K$8="",0,MAX(0,MIN(AC35,Plan!$L$37-(IF(Crédits!$K$5="",0,IF(Crédits!$K$5&lt;Crédits!$K$8,E35,0))+IF(Crédits!$K$6="",0,IF(Crédits!$K$6&lt;Crédits!$K$8,M35,0))+IF(Crédits!$K$7="",0,IF(Crédits!$K$7&lt;Crédits!$K$8,U35,0))+IF(Crédits!$K$9="",0,IF(Crédits!$K$9&lt;Crédits!$K$8,AK35,0))+IF(Crédits!$K$10="",0,IF(Crédits!$K$10&lt;Crédits!$K$8,AS35,0))))))</f>
        <v>0</v>
      </c>
      <c r="AE35" s="98">
        <f t="shared" si="7"/>
        <v>0</v>
      </c>
      <c r="AF35" s="88">
        <f>ROUND(AF34+AG35-MIN(N(Crédits!$E$8),AF34+AG35),2)</f>
        <v>0</v>
      </c>
      <c r="AG35" s="89">
        <f>AF34*N(Crédits!$D$8)/12</f>
        <v>0</v>
      </c>
      <c r="AH35" s="99">
        <f t="shared" si="20"/>
        <v>0</v>
      </c>
      <c r="AI35" s="99">
        <f>AH35*N(Crédits!$D$9)/12</f>
        <v>0</v>
      </c>
      <c r="AJ35" s="99">
        <f>MIN(N(Crédits!$E$9),AH35+AI35)</f>
        <v>0</v>
      </c>
      <c r="AK35" s="99">
        <f t="shared" si="8"/>
        <v>0</v>
      </c>
      <c r="AL35" s="100">
        <f>IF(Crédits!$K$9="",0,MAX(0,MIN(AK35,Plan!$L$37-(IF(Crédits!$K$5="",0,IF(Crédits!$K$5&lt;Crédits!$K$9,E35,0))+IF(Crédits!$K$6="",0,IF(Crédits!$K$6&lt;Crédits!$K$9,M35,0))+IF(Crédits!$K$7="",0,IF(Crédits!$K$7&lt;Crédits!$K$9,U35,0))+IF(Crédits!$K$8="",0,IF(Crédits!$K$8&lt;Crédits!$K$9,AC35,0))+IF(Crédits!$K$10="",0,IF(Crédits!$K$10&lt;Crédits!$K$9,AS35,0))))))</f>
        <v>0</v>
      </c>
      <c r="AM35" s="101">
        <f t="shared" si="9"/>
        <v>0</v>
      </c>
      <c r="AN35" s="88">
        <f>ROUND(AN34+AO35-MIN(N(Crédits!$E$9),AN34+AO35),2)</f>
        <v>0</v>
      </c>
      <c r="AO35" s="89">
        <f>AN34*N(Crédits!$D$9)/12</f>
        <v>0</v>
      </c>
      <c r="AP35" s="102">
        <f t="shared" si="21"/>
        <v>0</v>
      </c>
      <c r="AQ35" s="102">
        <f>AP35*N(Crédits!$D$10)/12</f>
        <v>0</v>
      </c>
      <c r="AR35" s="102">
        <f>MIN(N(Crédits!$E$10),AP35+AQ35)</f>
        <v>0</v>
      </c>
      <c r="AS35" s="102">
        <f t="shared" si="10"/>
        <v>0</v>
      </c>
      <c r="AT35" s="103">
        <f>IF(Crédits!$K$10="",0,MAX(0,MIN(AS35,Plan!$L$37-(IF(Crédits!$K$5="",0,IF(Crédits!$K$5&lt;Crédits!$K$10,E35,0))+IF(Crédits!$K$6="",0,IF(Crédits!$K$6&lt;Crédits!$K$10,M35,0))+IF(Crédits!$K$7="",0,IF(Crédits!$K$7&lt;Crédits!$K$10,U35,0))+IF(Crédits!$K$8="",0,IF(Crédits!$K$8&lt;Crédits!$K$10,AC35,0))+IF(Crédits!$K$9="",0,IF(Crédits!$K$9&lt;Crédits!$K$10,AK35,0))))))</f>
        <v>0</v>
      </c>
      <c r="AU35" s="104">
        <f t="shared" si="11"/>
        <v>0</v>
      </c>
      <c r="AV35" s="88">
        <f>ROUND(AV34+AW35-MIN(N(Crédits!$E$10),AV34+AW35),2)</f>
        <v>0</v>
      </c>
      <c r="AW35" s="89">
        <f>AV34*N(Crédits!$D$10)/12</f>
        <v>0</v>
      </c>
      <c r="AX35" s="105">
        <f t="shared" si="12"/>
        <v>0</v>
      </c>
      <c r="AY35" s="105">
        <f t="shared" ref="AY35:AZ35" si="53">F35+N35+V35+AD35+AL35+AT35</f>
        <v>0</v>
      </c>
      <c r="AZ35" s="105">
        <f t="shared" si="53"/>
        <v>0</v>
      </c>
      <c r="BA35" s="105">
        <f t="shared" si="14"/>
        <v>0</v>
      </c>
      <c r="BB35" s="105">
        <f t="shared" si="15"/>
        <v>5.0471808333333339</v>
      </c>
    </row>
    <row r="36" spans="1:54" ht="15" customHeight="1" x14ac:dyDescent="0.25">
      <c r="A36" s="2">
        <v>34</v>
      </c>
      <c r="B36" s="83">
        <f t="shared" si="16"/>
        <v>0</v>
      </c>
      <c r="C36" s="83">
        <f>B36*N(Crédits!$D$5)/12</f>
        <v>0</v>
      </c>
      <c r="D36" s="83">
        <f>MIN(N(Crédits!$E$5),B36+C36)</f>
        <v>0</v>
      </c>
      <c r="E36" s="83">
        <f t="shared" si="0"/>
        <v>0</v>
      </c>
      <c r="F36" s="86">
        <f>IF(Crédits!$K$5="",0,MAX(0,MIN(E36,Plan!$L$38-(IF(Crédits!$K$6="",0,IF(Crédits!$K$6&lt;Crédits!$K$5,M36,0))+IF(Crédits!$K$7="",0,IF(Crédits!$K$7&lt;Crédits!$K$5,U36,0))+IF(Crédits!$K$8="",0,IF(Crédits!$K$8&lt;Crédits!$K$5,AC36,0))+IF(Crédits!$K$9="",0,IF(Crédits!$K$9&lt;Crédits!$K$5,AK36,0))+IF(Crédits!$K$10="",0,IF(Crédits!$K$10&lt;Crédits!$K$5,AS36,0))))))</f>
        <v>0</v>
      </c>
      <c r="G36" s="87">
        <f t="shared" si="1"/>
        <v>0</v>
      </c>
      <c r="H36" s="88">
        <f>ROUND(H35+I36-MIN(N(Crédits!$E$5),H35+I36),2)</f>
        <v>491.18</v>
      </c>
      <c r="I36" s="89">
        <f>H35*N(Crédits!$D$5)/12</f>
        <v>2.9950433333333333</v>
      </c>
      <c r="J36" s="90">
        <f t="shared" si="17"/>
        <v>0</v>
      </c>
      <c r="K36" s="90">
        <f>J36*N(Crédits!$D$6)/12</f>
        <v>0</v>
      </c>
      <c r="L36" s="90">
        <f>MIN(N(Crédits!$E$6),J36+K36)</f>
        <v>0</v>
      </c>
      <c r="M36" s="90">
        <f t="shared" si="2"/>
        <v>0</v>
      </c>
      <c r="N36" s="91">
        <f>IF(Crédits!$K$6="",0,MAX(0,MIN(M36,Plan!$L$38-(IF(Crédits!$K$5="",0,IF(Crédits!$K$5&lt;Crédits!$K$6,E36,0))+IF(Crédits!$K$7="",0,IF(Crédits!$K$7&lt;Crédits!$K$6,U36,0))+IF(Crédits!$K$8="",0,IF(Crédits!$K$8&lt;Crédits!$K$6,AC36,0))+IF(Crédits!$K$9="",0,IF(Crédits!$K$9&lt;Crédits!$K$6,AK36,0))+IF(Crédits!$K$10="",0,IF(Crédits!$K$10&lt;Crédits!$K$6,AS36,0))))))</f>
        <v>0</v>
      </c>
      <c r="O36" s="92">
        <f t="shared" si="3"/>
        <v>0</v>
      </c>
      <c r="P36" s="88">
        <f>ROUND(P35+Q36-MIN(N(Crédits!$E$6),P35+Q36),2)</f>
        <v>0</v>
      </c>
      <c r="Q36" s="89">
        <f>P35*N(Crédits!$D$6)/12</f>
        <v>0</v>
      </c>
      <c r="R36" s="93">
        <f t="shared" si="18"/>
        <v>0</v>
      </c>
      <c r="S36" s="93">
        <f>R36*N(Crédits!$D$7)/12</f>
        <v>0</v>
      </c>
      <c r="T36" s="93">
        <f>MIN(N(Crédits!$E$7),R36+S36)</f>
        <v>0</v>
      </c>
      <c r="U36" s="93">
        <f t="shared" si="4"/>
        <v>0</v>
      </c>
      <c r="V36" s="94">
        <f>IF(Crédits!$K$7="",0,MAX(0,MIN(U36,Plan!$L$38-(IF(Crédits!$K$5="",0,IF(Crédits!$K$5&lt;Crédits!$K$7,E36,0))+IF(Crédits!$K$6="",0,IF(Crédits!$K$6&lt;Crédits!$K$7,M36,0))+IF(Crédits!$K$8="",0,IF(Crédits!$K$8&lt;Crédits!$K$7,AC36,0))+IF(Crédits!$K$9="",0,IF(Crédits!$K$9&lt;Crédits!$K$7,AK36,0))+IF(Crédits!$K$10="",0,IF(Crédits!$K$10&lt;Crédits!$K$7,AS36,0))))))</f>
        <v>0</v>
      </c>
      <c r="W36" s="95">
        <f t="shared" si="5"/>
        <v>0</v>
      </c>
      <c r="X36" s="88">
        <f>ROUND(X35+Y36-MIN(N(Crédits!$E$7),X35+Y36),2)</f>
        <v>0</v>
      </c>
      <c r="Y36" s="89">
        <f>X35*N(Crédits!$D$7)/12</f>
        <v>0</v>
      </c>
      <c r="Z36" s="96">
        <f t="shared" si="19"/>
        <v>0</v>
      </c>
      <c r="AA36" s="96">
        <f>Z36*N(Crédits!$D$8)/12</f>
        <v>0</v>
      </c>
      <c r="AB36" s="96">
        <f>MIN(N(Crédits!$E$8),Z36+AA36)</f>
        <v>0</v>
      </c>
      <c r="AC36" s="96">
        <f t="shared" si="6"/>
        <v>0</v>
      </c>
      <c r="AD36" s="97">
        <f>IF(Crédits!$K$8="",0,MAX(0,MIN(AC36,Plan!$L$38-(IF(Crédits!$K$5="",0,IF(Crédits!$K$5&lt;Crédits!$K$8,E36,0))+IF(Crédits!$K$6="",0,IF(Crédits!$K$6&lt;Crédits!$K$8,M36,0))+IF(Crédits!$K$7="",0,IF(Crédits!$K$7&lt;Crédits!$K$8,U36,0))+IF(Crédits!$K$9="",0,IF(Crédits!$K$9&lt;Crédits!$K$8,AK36,0))+IF(Crédits!$K$10="",0,IF(Crédits!$K$10&lt;Crédits!$K$8,AS36,0))))))</f>
        <v>0</v>
      </c>
      <c r="AE36" s="98">
        <f t="shared" si="7"/>
        <v>0</v>
      </c>
      <c r="AF36" s="88">
        <f>ROUND(AF35+AG36-MIN(N(Crédits!$E$8),AF35+AG36),2)</f>
        <v>0</v>
      </c>
      <c r="AG36" s="89">
        <f>AF35*N(Crédits!$D$8)/12</f>
        <v>0</v>
      </c>
      <c r="AH36" s="99">
        <f t="shared" si="20"/>
        <v>0</v>
      </c>
      <c r="AI36" s="99">
        <f>AH36*N(Crédits!$D$9)/12</f>
        <v>0</v>
      </c>
      <c r="AJ36" s="99">
        <f>MIN(N(Crédits!$E$9),AH36+AI36)</f>
        <v>0</v>
      </c>
      <c r="AK36" s="99">
        <f t="shared" si="8"/>
        <v>0</v>
      </c>
      <c r="AL36" s="100">
        <f>IF(Crédits!$K$9="",0,MAX(0,MIN(AK36,Plan!$L$38-(IF(Crédits!$K$5="",0,IF(Crédits!$K$5&lt;Crédits!$K$9,E36,0))+IF(Crédits!$K$6="",0,IF(Crédits!$K$6&lt;Crédits!$K$9,M36,0))+IF(Crédits!$K$7="",0,IF(Crédits!$K$7&lt;Crédits!$K$9,U36,0))+IF(Crédits!$K$8="",0,IF(Crédits!$K$8&lt;Crédits!$K$9,AC36,0))+IF(Crédits!$K$10="",0,IF(Crédits!$K$10&lt;Crédits!$K$9,AS36,0))))))</f>
        <v>0</v>
      </c>
      <c r="AM36" s="101">
        <f t="shared" si="9"/>
        <v>0</v>
      </c>
      <c r="AN36" s="88">
        <f>ROUND(AN35+AO36-MIN(N(Crédits!$E$9),AN35+AO36),2)</f>
        <v>0</v>
      </c>
      <c r="AO36" s="89">
        <f>AN35*N(Crédits!$D$9)/12</f>
        <v>0</v>
      </c>
      <c r="AP36" s="102">
        <f t="shared" si="21"/>
        <v>0</v>
      </c>
      <c r="AQ36" s="102">
        <f>AP36*N(Crédits!$D$10)/12</f>
        <v>0</v>
      </c>
      <c r="AR36" s="102">
        <f>MIN(N(Crédits!$E$10),AP36+AQ36)</f>
        <v>0</v>
      </c>
      <c r="AS36" s="102">
        <f t="shared" si="10"/>
        <v>0</v>
      </c>
      <c r="AT36" s="103">
        <f>IF(Crédits!$K$10="",0,MAX(0,MIN(AS36,Plan!$L$38-(IF(Crédits!$K$5="",0,IF(Crédits!$K$5&lt;Crédits!$K$10,E36,0))+IF(Crédits!$K$6="",0,IF(Crédits!$K$6&lt;Crédits!$K$10,M36,0))+IF(Crédits!$K$7="",0,IF(Crédits!$K$7&lt;Crédits!$K$10,U36,0))+IF(Crédits!$K$8="",0,IF(Crédits!$K$8&lt;Crédits!$K$10,AC36,0))+IF(Crédits!$K$9="",0,IF(Crédits!$K$9&lt;Crédits!$K$10,AK36,0))))))</f>
        <v>0</v>
      </c>
      <c r="AU36" s="104">
        <f t="shared" si="11"/>
        <v>0</v>
      </c>
      <c r="AV36" s="88">
        <f>ROUND(AV35+AW36-MIN(N(Crédits!$E$10),AV35+AW36),2)</f>
        <v>0</v>
      </c>
      <c r="AW36" s="89">
        <f>AV35*N(Crédits!$D$10)/12</f>
        <v>0</v>
      </c>
      <c r="AX36" s="105">
        <f t="shared" si="12"/>
        <v>0</v>
      </c>
      <c r="AY36" s="105">
        <f t="shared" ref="AY36:AZ36" si="54">F36+N36+V36+AD36+AL36+AT36</f>
        <v>0</v>
      </c>
      <c r="AZ36" s="105">
        <f t="shared" si="54"/>
        <v>0</v>
      </c>
      <c r="BA36" s="105">
        <f t="shared" si="14"/>
        <v>0</v>
      </c>
      <c r="BB36" s="105">
        <f t="shared" si="15"/>
        <v>2.9950433333333333</v>
      </c>
    </row>
    <row r="37" spans="1:54" ht="15" customHeight="1" x14ac:dyDescent="0.25">
      <c r="A37" s="2">
        <v>35</v>
      </c>
      <c r="B37" s="83">
        <f t="shared" si="16"/>
        <v>0</v>
      </c>
      <c r="C37" s="83">
        <f>B37*N(Crédits!$D$5)/12</f>
        <v>0</v>
      </c>
      <c r="D37" s="83">
        <f>MIN(N(Crédits!$E$5),B37+C37)</f>
        <v>0</v>
      </c>
      <c r="E37" s="83">
        <f t="shared" si="0"/>
        <v>0</v>
      </c>
      <c r="F37" s="86">
        <f>IF(Crédits!$K$5="",0,MAX(0,MIN(E37,Plan!$L$39-(IF(Crédits!$K$6="",0,IF(Crédits!$K$6&lt;Crédits!$K$5,M37,0))+IF(Crédits!$K$7="",0,IF(Crédits!$K$7&lt;Crédits!$K$5,U37,0))+IF(Crédits!$K$8="",0,IF(Crédits!$K$8&lt;Crédits!$K$5,AC37,0))+IF(Crédits!$K$9="",0,IF(Crédits!$K$9&lt;Crédits!$K$5,AK37,0))+IF(Crédits!$K$10="",0,IF(Crédits!$K$10&lt;Crédits!$K$5,AS37,0))))))</f>
        <v>0</v>
      </c>
      <c r="G37" s="87">
        <f t="shared" si="1"/>
        <v>0</v>
      </c>
      <c r="H37" s="88">
        <f>ROUND(H36+I37-MIN(N(Crédits!$E$5),H36+I37),2)</f>
        <v>247.89</v>
      </c>
      <c r="I37" s="89">
        <f>H36*N(Crédits!$D$5)/12</f>
        <v>2.0056516666666666</v>
      </c>
      <c r="J37" s="90">
        <f t="shared" si="17"/>
        <v>0</v>
      </c>
      <c r="K37" s="90">
        <f>J37*N(Crédits!$D$6)/12</f>
        <v>0</v>
      </c>
      <c r="L37" s="90">
        <f>MIN(N(Crédits!$E$6),J37+K37)</f>
        <v>0</v>
      </c>
      <c r="M37" s="90">
        <f t="shared" si="2"/>
        <v>0</v>
      </c>
      <c r="N37" s="91">
        <f>IF(Crédits!$K$6="",0,MAX(0,MIN(M37,Plan!$L$39-(IF(Crédits!$K$5="",0,IF(Crédits!$K$5&lt;Crédits!$K$6,E37,0))+IF(Crédits!$K$7="",0,IF(Crédits!$K$7&lt;Crédits!$K$6,U37,0))+IF(Crédits!$K$8="",0,IF(Crédits!$K$8&lt;Crédits!$K$6,AC37,0))+IF(Crédits!$K$9="",0,IF(Crédits!$K$9&lt;Crédits!$K$6,AK37,0))+IF(Crédits!$K$10="",0,IF(Crédits!$K$10&lt;Crédits!$K$6,AS37,0))))))</f>
        <v>0</v>
      </c>
      <c r="O37" s="92">
        <f t="shared" si="3"/>
        <v>0</v>
      </c>
      <c r="P37" s="88">
        <f>ROUND(P36+Q37-MIN(N(Crédits!$E$6),P36+Q37),2)</f>
        <v>0</v>
      </c>
      <c r="Q37" s="89">
        <f>P36*N(Crédits!$D$6)/12</f>
        <v>0</v>
      </c>
      <c r="R37" s="93">
        <f t="shared" si="18"/>
        <v>0</v>
      </c>
      <c r="S37" s="93">
        <f>R37*N(Crédits!$D$7)/12</f>
        <v>0</v>
      </c>
      <c r="T37" s="93">
        <f>MIN(N(Crédits!$E$7),R37+S37)</f>
        <v>0</v>
      </c>
      <c r="U37" s="93">
        <f t="shared" si="4"/>
        <v>0</v>
      </c>
      <c r="V37" s="94">
        <f>IF(Crédits!$K$7="",0,MAX(0,MIN(U37,Plan!$L$39-(IF(Crédits!$K$5="",0,IF(Crédits!$K$5&lt;Crédits!$K$7,E37,0))+IF(Crédits!$K$6="",0,IF(Crédits!$K$6&lt;Crédits!$K$7,M37,0))+IF(Crédits!$K$8="",0,IF(Crédits!$K$8&lt;Crédits!$K$7,AC37,0))+IF(Crédits!$K$9="",0,IF(Crédits!$K$9&lt;Crédits!$K$7,AK37,0))+IF(Crédits!$K$10="",0,IF(Crédits!$K$10&lt;Crédits!$K$7,AS37,0))))))</f>
        <v>0</v>
      </c>
      <c r="W37" s="95">
        <f t="shared" si="5"/>
        <v>0</v>
      </c>
      <c r="X37" s="88">
        <f>ROUND(X36+Y37-MIN(N(Crédits!$E$7),X36+Y37),2)</f>
        <v>0</v>
      </c>
      <c r="Y37" s="89">
        <f>X36*N(Crédits!$D$7)/12</f>
        <v>0</v>
      </c>
      <c r="Z37" s="96">
        <f t="shared" si="19"/>
        <v>0</v>
      </c>
      <c r="AA37" s="96">
        <f>Z37*N(Crédits!$D$8)/12</f>
        <v>0</v>
      </c>
      <c r="AB37" s="96">
        <f>MIN(N(Crédits!$E$8),Z37+AA37)</f>
        <v>0</v>
      </c>
      <c r="AC37" s="96">
        <f t="shared" si="6"/>
        <v>0</v>
      </c>
      <c r="AD37" s="97">
        <f>IF(Crédits!$K$8="",0,MAX(0,MIN(AC37,Plan!$L$39-(IF(Crédits!$K$5="",0,IF(Crédits!$K$5&lt;Crédits!$K$8,E37,0))+IF(Crédits!$K$6="",0,IF(Crédits!$K$6&lt;Crédits!$K$8,M37,0))+IF(Crédits!$K$7="",0,IF(Crédits!$K$7&lt;Crédits!$K$8,U37,0))+IF(Crédits!$K$9="",0,IF(Crédits!$K$9&lt;Crédits!$K$8,AK37,0))+IF(Crédits!$K$10="",0,IF(Crédits!$K$10&lt;Crédits!$K$8,AS37,0))))))</f>
        <v>0</v>
      </c>
      <c r="AE37" s="98">
        <f t="shared" si="7"/>
        <v>0</v>
      </c>
      <c r="AF37" s="88">
        <f>ROUND(AF36+AG37-MIN(N(Crédits!$E$8),AF36+AG37),2)</f>
        <v>0</v>
      </c>
      <c r="AG37" s="89">
        <f>AF36*N(Crédits!$D$8)/12</f>
        <v>0</v>
      </c>
      <c r="AH37" s="99">
        <f t="shared" si="20"/>
        <v>0</v>
      </c>
      <c r="AI37" s="99">
        <f>AH37*N(Crédits!$D$9)/12</f>
        <v>0</v>
      </c>
      <c r="AJ37" s="99">
        <f>MIN(N(Crédits!$E$9),AH37+AI37)</f>
        <v>0</v>
      </c>
      <c r="AK37" s="99">
        <f t="shared" si="8"/>
        <v>0</v>
      </c>
      <c r="AL37" s="100">
        <f>IF(Crédits!$K$9="",0,MAX(0,MIN(AK37,Plan!$L$39-(IF(Crédits!$K$5="",0,IF(Crédits!$K$5&lt;Crédits!$K$9,E37,0))+IF(Crédits!$K$6="",0,IF(Crédits!$K$6&lt;Crédits!$K$9,M37,0))+IF(Crédits!$K$7="",0,IF(Crédits!$K$7&lt;Crédits!$K$9,U37,0))+IF(Crédits!$K$8="",0,IF(Crédits!$K$8&lt;Crédits!$K$9,AC37,0))+IF(Crédits!$K$10="",0,IF(Crédits!$K$10&lt;Crédits!$K$9,AS37,0))))))</f>
        <v>0</v>
      </c>
      <c r="AM37" s="101">
        <f t="shared" si="9"/>
        <v>0</v>
      </c>
      <c r="AN37" s="88">
        <f>ROUND(AN36+AO37-MIN(N(Crédits!$E$9),AN36+AO37),2)</f>
        <v>0</v>
      </c>
      <c r="AO37" s="89">
        <f>AN36*N(Crédits!$D$9)/12</f>
        <v>0</v>
      </c>
      <c r="AP37" s="102">
        <f t="shared" si="21"/>
        <v>0</v>
      </c>
      <c r="AQ37" s="102">
        <f>AP37*N(Crédits!$D$10)/12</f>
        <v>0</v>
      </c>
      <c r="AR37" s="102">
        <f>MIN(N(Crédits!$E$10),AP37+AQ37)</f>
        <v>0</v>
      </c>
      <c r="AS37" s="102">
        <f t="shared" si="10"/>
        <v>0</v>
      </c>
      <c r="AT37" s="103">
        <f>IF(Crédits!$K$10="",0,MAX(0,MIN(AS37,Plan!$L$39-(IF(Crédits!$K$5="",0,IF(Crédits!$K$5&lt;Crédits!$K$10,E37,0))+IF(Crédits!$K$6="",0,IF(Crédits!$K$6&lt;Crédits!$K$10,M37,0))+IF(Crédits!$K$7="",0,IF(Crédits!$K$7&lt;Crédits!$K$10,U37,0))+IF(Crédits!$K$8="",0,IF(Crédits!$K$8&lt;Crédits!$K$10,AC37,0))+IF(Crédits!$K$9="",0,IF(Crédits!$K$9&lt;Crédits!$K$10,AK37,0))))))</f>
        <v>0</v>
      </c>
      <c r="AU37" s="104">
        <f t="shared" si="11"/>
        <v>0</v>
      </c>
      <c r="AV37" s="88">
        <f>ROUND(AV36+AW37-MIN(N(Crédits!$E$10),AV36+AW37),2)</f>
        <v>0</v>
      </c>
      <c r="AW37" s="89">
        <f>AV36*N(Crédits!$D$10)/12</f>
        <v>0</v>
      </c>
      <c r="AX37" s="105">
        <f t="shared" si="12"/>
        <v>0</v>
      </c>
      <c r="AY37" s="105">
        <f t="shared" ref="AY37:AZ37" si="55">F37+N37+V37+AD37+AL37+AT37</f>
        <v>0</v>
      </c>
      <c r="AZ37" s="105">
        <f t="shared" si="55"/>
        <v>0</v>
      </c>
      <c r="BA37" s="105">
        <f t="shared" si="14"/>
        <v>0</v>
      </c>
      <c r="BB37" s="105">
        <f t="shared" si="15"/>
        <v>2.0056516666666666</v>
      </c>
    </row>
    <row r="38" spans="1:54" ht="15" customHeight="1" x14ac:dyDescent="0.25">
      <c r="A38" s="2">
        <v>36</v>
      </c>
      <c r="B38" s="83">
        <f t="shared" si="16"/>
        <v>0</v>
      </c>
      <c r="C38" s="83">
        <f>B38*N(Crédits!$D$5)/12</f>
        <v>0</v>
      </c>
      <c r="D38" s="83">
        <f>MIN(N(Crédits!$E$5),B38+C38)</f>
        <v>0</v>
      </c>
      <c r="E38" s="83">
        <f t="shared" si="0"/>
        <v>0</v>
      </c>
      <c r="F38" s="86">
        <f>IF(Crédits!$K$5="",0,MAX(0,MIN(E38,Plan!$L$40-(IF(Crédits!$K$6="",0,IF(Crédits!$K$6&lt;Crédits!$K$5,M38,0))+IF(Crédits!$K$7="",0,IF(Crédits!$K$7&lt;Crédits!$K$5,U38,0))+IF(Crédits!$K$8="",0,IF(Crédits!$K$8&lt;Crédits!$K$5,AC38,0))+IF(Crédits!$K$9="",0,IF(Crédits!$K$9&lt;Crédits!$K$5,AK38,0))+IF(Crédits!$K$10="",0,IF(Crédits!$K$10&lt;Crédits!$K$5,AS38,0))))))</f>
        <v>0</v>
      </c>
      <c r="G38" s="87">
        <f t="shared" si="1"/>
        <v>0</v>
      </c>
      <c r="H38" s="88">
        <f>ROUND(H37+I38-MIN(N(Crédits!$E$5),H37+I38),2)</f>
        <v>3.6</v>
      </c>
      <c r="I38" s="89">
        <f>H37*N(Crédits!$D$5)/12</f>
        <v>1.0122175</v>
      </c>
      <c r="J38" s="90">
        <f t="shared" si="17"/>
        <v>0</v>
      </c>
      <c r="K38" s="90">
        <f>J38*N(Crédits!$D$6)/12</f>
        <v>0</v>
      </c>
      <c r="L38" s="90">
        <f>MIN(N(Crédits!$E$6),J38+K38)</f>
        <v>0</v>
      </c>
      <c r="M38" s="90">
        <f t="shared" si="2"/>
        <v>0</v>
      </c>
      <c r="N38" s="91">
        <f>IF(Crédits!$K$6="",0,MAX(0,MIN(M38,Plan!$L$40-(IF(Crédits!$K$5="",0,IF(Crédits!$K$5&lt;Crédits!$K$6,E38,0))+IF(Crédits!$K$7="",0,IF(Crédits!$K$7&lt;Crédits!$K$6,U38,0))+IF(Crédits!$K$8="",0,IF(Crédits!$K$8&lt;Crédits!$K$6,AC38,0))+IF(Crédits!$K$9="",0,IF(Crédits!$K$9&lt;Crédits!$K$6,AK38,0))+IF(Crédits!$K$10="",0,IF(Crédits!$K$10&lt;Crédits!$K$6,AS38,0))))))</f>
        <v>0</v>
      </c>
      <c r="O38" s="92">
        <f t="shared" si="3"/>
        <v>0</v>
      </c>
      <c r="P38" s="88">
        <f>ROUND(P37+Q38-MIN(N(Crédits!$E$6),P37+Q38),2)</f>
        <v>0</v>
      </c>
      <c r="Q38" s="89">
        <f>P37*N(Crédits!$D$6)/12</f>
        <v>0</v>
      </c>
      <c r="R38" s="93">
        <f t="shared" si="18"/>
        <v>0</v>
      </c>
      <c r="S38" s="93">
        <f>R38*N(Crédits!$D$7)/12</f>
        <v>0</v>
      </c>
      <c r="T38" s="93">
        <f>MIN(N(Crédits!$E$7),R38+S38)</f>
        <v>0</v>
      </c>
      <c r="U38" s="93">
        <f t="shared" si="4"/>
        <v>0</v>
      </c>
      <c r="V38" s="94">
        <f>IF(Crédits!$K$7="",0,MAX(0,MIN(U38,Plan!$L$40-(IF(Crédits!$K$5="",0,IF(Crédits!$K$5&lt;Crédits!$K$7,E38,0))+IF(Crédits!$K$6="",0,IF(Crédits!$K$6&lt;Crédits!$K$7,M38,0))+IF(Crédits!$K$8="",0,IF(Crédits!$K$8&lt;Crédits!$K$7,AC38,0))+IF(Crédits!$K$9="",0,IF(Crédits!$K$9&lt;Crédits!$K$7,AK38,0))+IF(Crédits!$K$10="",0,IF(Crédits!$K$10&lt;Crédits!$K$7,AS38,0))))))</f>
        <v>0</v>
      </c>
      <c r="W38" s="95">
        <f t="shared" si="5"/>
        <v>0</v>
      </c>
      <c r="X38" s="88">
        <f>ROUND(X37+Y38-MIN(N(Crédits!$E$7),X37+Y38),2)</f>
        <v>0</v>
      </c>
      <c r="Y38" s="89">
        <f>X37*N(Crédits!$D$7)/12</f>
        <v>0</v>
      </c>
      <c r="Z38" s="96">
        <f t="shared" si="19"/>
        <v>0</v>
      </c>
      <c r="AA38" s="96">
        <f>Z38*N(Crédits!$D$8)/12</f>
        <v>0</v>
      </c>
      <c r="AB38" s="96">
        <f>MIN(N(Crédits!$E$8),Z38+AA38)</f>
        <v>0</v>
      </c>
      <c r="AC38" s="96">
        <f t="shared" si="6"/>
        <v>0</v>
      </c>
      <c r="AD38" s="97">
        <f>IF(Crédits!$K$8="",0,MAX(0,MIN(AC38,Plan!$L$40-(IF(Crédits!$K$5="",0,IF(Crédits!$K$5&lt;Crédits!$K$8,E38,0))+IF(Crédits!$K$6="",0,IF(Crédits!$K$6&lt;Crédits!$K$8,M38,0))+IF(Crédits!$K$7="",0,IF(Crédits!$K$7&lt;Crédits!$K$8,U38,0))+IF(Crédits!$K$9="",0,IF(Crédits!$K$9&lt;Crédits!$K$8,AK38,0))+IF(Crédits!$K$10="",0,IF(Crédits!$K$10&lt;Crédits!$K$8,AS38,0))))))</f>
        <v>0</v>
      </c>
      <c r="AE38" s="98">
        <f t="shared" si="7"/>
        <v>0</v>
      </c>
      <c r="AF38" s="88">
        <f>ROUND(AF37+AG38-MIN(N(Crédits!$E$8),AF37+AG38),2)</f>
        <v>0</v>
      </c>
      <c r="AG38" s="89">
        <f>AF37*N(Crédits!$D$8)/12</f>
        <v>0</v>
      </c>
      <c r="AH38" s="99">
        <f t="shared" si="20"/>
        <v>0</v>
      </c>
      <c r="AI38" s="99">
        <f>AH38*N(Crédits!$D$9)/12</f>
        <v>0</v>
      </c>
      <c r="AJ38" s="99">
        <f>MIN(N(Crédits!$E$9),AH38+AI38)</f>
        <v>0</v>
      </c>
      <c r="AK38" s="99">
        <f t="shared" si="8"/>
        <v>0</v>
      </c>
      <c r="AL38" s="100">
        <f>IF(Crédits!$K$9="",0,MAX(0,MIN(AK38,Plan!$L$40-(IF(Crédits!$K$5="",0,IF(Crédits!$K$5&lt;Crédits!$K$9,E38,0))+IF(Crédits!$K$6="",0,IF(Crédits!$K$6&lt;Crédits!$K$9,M38,0))+IF(Crédits!$K$7="",0,IF(Crédits!$K$7&lt;Crédits!$K$9,U38,0))+IF(Crédits!$K$8="",0,IF(Crédits!$K$8&lt;Crédits!$K$9,AC38,0))+IF(Crédits!$K$10="",0,IF(Crédits!$K$10&lt;Crédits!$K$9,AS38,0))))))</f>
        <v>0</v>
      </c>
      <c r="AM38" s="101">
        <f t="shared" si="9"/>
        <v>0</v>
      </c>
      <c r="AN38" s="88">
        <f>ROUND(AN37+AO38-MIN(N(Crédits!$E$9),AN37+AO38),2)</f>
        <v>0</v>
      </c>
      <c r="AO38" s="89">
        <f>AN37*N(Crédits!$D$9)/12</f>
        <v>0</v>
      </c>
      <c r="AP38" s="102">
        <f t="shared" si="21"/>
        <v>0</v>
      </c>
      <c r="AQ38" s="102">
        <f>AP38*N(Crédits!$D$10)/12</f>
        <v>0</v>
      </c>
      <c r="AR38" s="102">
        <f>MIN(N(Crédits!$E$10),AP38+AQ38)</f>
        <v>0</v>
      </c>
      <c r="AS38" s="102">
        <f t="shared" si="10"/>
        <v>0</v>
      </c>
      <c r="AT38" s="103">
        <f>IF(Crédits!$K$10="",0,MAX(0,MIN(AS38,Plan!$L$40-(IF(Crédits!$K$5="",0,IF(Crédits!$K$5&lt;Crédits!$K$10,E38,0))+IF(Crédits!$K$6="",0,IF(Crédits!$K$6&lt;Crédits!$K$10,M38,0))+IF(Crédits!$K$7="",0,IF(Crédits!$K$7&lt;Crédits!$K$10,U38,0))+IF(Crédits!$K$8="",0,IF(Crédits!$K$8&lt;Crédits!$K$10,AC38,0))+IF(Crédits!$K$9="",0,IF(Crédits!$K$9&lt;Crédits!$K$10,AK38,0))))))</f>
        <v>0</v>
      </c>
      <c r="AU38" s="104">
        <f t="shared" si="11"/>
        <v>0</v>
      </c>
      <c r="AV38" s="88">
        <f>ROUND(AV37+AW38-MIN(N(Crédits!$E$10),AV37+AW38),2)</f>
        <v>0</v>
      </c>
      <c r="AW38" s="89">
        <f>AV37*N(Crédits!$D$10)/12</f>
        <v>0</v>
      </c>
      <c r="AX38" s="105">
        <f t="shared" si="12"/>
        <v>0</v>
      </c>
      <c r="AY38" s="105">
        <f t="shared" ref="AY38:AZ38" si="56">F38+N38+V38+AD38+AL38+AT38</f>
        <v>0</v>
      </c>
      <c r="AZ38" s="105">
        <f t="shared" si="56"/>
        <v>0</v>
      </c>
      <c r="BA38" s="105">
        <f t="shared" si="14"/>
        <v>0</v>
      </c>
      <c r="BB38" s="105">
        <f t="shared" si="15"/>
        <v>1.0122175</v>
      </c>
    </row>
    <row r="39" spans="1:54" ht="15" customHeight="1" x14ac:dyDescent="0.25">
      <c r="A39" s="2">
        <v>37</v>
      </c>
      <c r="B39" s="83">
        <f t="shared" si="16"/>
        <v>0</v>
      </c>
      <c r="C39" s="83">
        <f>B39*N(Crédits!$D$5)/12</f>
        <v>0</v>
      </c>
      <c r="D39" s="83">
        <f>MIN(N(Crédits!$E$5),B39+C39)</f>
        <v>0</v>
      </c>
      <c r="E39" s="83">
        <f t="shared" si="0"/>
        <v>0</v>
      </c>
      <c r="F39" s="86">
        <f>IF(Crédits!$K$5="",0,MAX(0,MIN(E39,Plan!$L$41-(IF(Crédits!$K$6="",0,IF(Crédits!$K$6&lt;Crédits!$K$5,M39,0))+IF(Crédits!$K$7="",0,IF(Crédits!$K$7&lt;Crédits!$K$5,U39,0))+IF(Crédits!$K$8="",0,IF(Crédits!$K$8&lt;Crédits!$K$5,AC39,0))+IF(Crédits!$K$9="",0,IF(Crédits!$K$9&lt;Crédits!$K$5,AK39,0))+IF(Crédits!$K$10="",0,IF(Crédits!$K$10&lt;Crédits!$K$5,AS39,0))))))</f>
        <v>0</v>
      </c>
      <c r="G39" s="87">
        <f t="shared" si="1"/>
        <v>0</v>
      </c>
      <c r="H39" s="88">
        <f>ROUND(H38+I39-MIN(N(Crédits!$E$5),H38+I39),2)</f>
        <v>0</v>
      </c>
      <c r="I39" s="89">
        <f>H38*N(Crédits!$D$5)/12</f>
        <v>1.47E-2</v>
      </c>
      <c r="J39" s="90">
        <f t="shared" si="17"/>
        <v>0</v>
      </c>
      <c r="K39" s="90">
        <f>J39*N(Crédits!$D$6)/12</f>
        <v>0</v>
      </c>
      <c r="L39" s="90">
        <f>MIN(N(Crédits!$E$6),J39+K39)</f>
        <v>0</v>
      </c>
      <c r="M39" s="90">
        <f t="shared" si="2"/>
        <v>0</v>
      </c>
      <c r="N39" s="91">
        <f>IF(Crédits!$K$6="",0,MAX(0,MIN(M39,Plan!$L$41-(IF(Crédits!$K$5="",0,IF(Crédits!$K$5&lt;Crédits!$K$6,E39,0))+IF(Crédits!$K$7="",0,IF(Crédits!$K$7&lt;Crédits!$K$6,U39,0))+IF(Crédits!$K$8="",0,IF(Crédits!$K$8&lt;Crédits!$K$6,AC39,0))+IF(Crédits!$K$9="",0,IF(Crédits!$K$9&lt;Crédits!$K$6,AK39,0))+IF(Crédits!$K$10="",0,IF(Crédits!$K$10&lt;Crédits!$K$6,AS39,0))))))</f>
        <v>0</v>
      </c>
      <c r="O39" s="92">
        <f t="shared" si="3"/>
        <v>0</v>
      </c>
      <c r="P39" s="88">
        <f>ROUND(P38+Q39-MIN(N(Crédits!$E$6),P38+Q39),2)</f>
        <v>0</v>
      </c>
      <c r="Q39" s="89">
        <f>P38*N(Crédits!$D$6)/12</f>
        <v>0</v>
      </c>
      <c r="R39" s="93">
        <f t="shared" si="18"/>
        <v>0</v>
      </c>
      <c r="S39" s="93">
        <f>R39*N(Crédits!$D$7)/12</f>
        <v>0</v>
      </c>
      <c r="T39" s="93">
        <f>MIN(N(Crédits!$E$7),R39+S39)</f>
        <v>0</v>
      </c>
      <c r="U39" s="93">
        <f t="shared" si="4"/>
        <v>0</v>
      </c>
      <c r="V39" s="94">
        <f>IF(Crédits!$K$7="",0,MAX(0,MIN(U39,Plan!$L$41-(IF(Crédits!$K$5="",0,IF(Crédits!$K$5&lt;Crédits!$K$7,E39,0))+IF(Crédits!$K$6="",0,IF(Crédits!$K$6&lt;Crédits!$K$7,M39,0))+IF(Crédits!$K$8="",0,IF(Crédits!$K$8&lt;Crédits!$K$7,AC39,0))+IF(Crédits!$K$9="",0,IF(Crédits!$K$9&lt;Crédits!$K$7,AK39,0))+IF(Crédits!$K$10="",0,IF(Crédits!$K$10&lt;Crédits!$K$7,AS39,0))))))</f>
        <v>0</v>
      </c>
      <c r="W39" s="95">
        <f t="shared" si="5"/>
        <v>0</v>
      </c>
      <c r="X39" s="88">
        <f>ROUND(X38+Y39-MIN(N(Crédits!$E$7),X38+Y39),2)</f>
        <v>0</v>
      </c>
      <c r="Y39" s="89">
        <f>X38*N(Crédits!$D$7)/12</f>
        <v>0</v>
      </c>
      <c r="Z39" s="96">
        <f t="shared" si="19"/>
        <v>0</v>
      </c>
      <c r="AA39" s="96">
        <f>Z39*N(Crédits!$D$8)/12</f>
        <v>0</v>
      </c>
      <c r="AB39" s="96">
        <f>MIN(N(Crédits!$E$8),Z39+AA39)</f>
        <v>0</v>
      </c>
      <c r="AC39" s="96">
        <f t="shared" si="6"/>
        <v>0</v>
      </c>
      <c r="AD39" s="97">
        <f>IF(Crédits!$K$8="",0,MAX(0,MIN(AC39,Plan!$L$41-(IF(Crédits!$K$5="",0,IF(Crédits!$K$5&lt;Crédits!$K$8,E39,0))+IF(Crédits!$K$6="",0,IF(Crédits!$K$6&lt;Crédits!$K$8,M39,0))+IF(Crédits!$K$7="",0,IF(Crédits!$K$7&lt;Crédits!$K$8,U39,0))+IF(Crédits!$K$9="",0,IF(Crédits!$K$9&lt;Crédits!$K$8,AK39,0))+IF(Crédits!$K$10="",0,IF(Crédits!$K$10&lt;Crédits!$K$8,AS39,0))))))</f>
        <v>0</v>
      </c>
      <c r="AE39" s="98">
        <f t="shared" si="7"/>
        <v>0</v>
      </c>
      <c r="AF39" s="88">
        <f>ROUND(AF38+AG39-MIN(N(Crédits!$E$8),AF38+AG39),2)</f>
        <v>0</v>
      </c>
      <c r="AG39" s="89">
        <f>AF38*N(Crédits!$D$8)/12</f>
        <v>0</v>
      </c>
      <c r="AH39" s="99">
        <f t="shared" si="20"/>
        <v>0</v>
      </c>
      <c r="AI39" s="99">
        <f>AH39*N(Crédits!$D$9)/12</f>
        <v>0</v>
      </c>
      <c r="AJ39" s="99">
        <f>MIN(N(Crédits!$E$9),AH39+AI39)</f>
        <v>0</v>
      </c>
      <c r="AK39" s="99">
        <f t="shared" si="8"/>
        <v>0</v>
      </c>
      <c r="AL39" s="100">
        <f>IF(Crédits!$K$9="",0,MAX(0,MIN(AK39,Plan!$L$41-(IF(Crédits!$K$5="",0,IF(Crédits!$K$5&lt;Crédits!$K$9,E39,0))+IF(Crédits!$K$6="",0,IF(Crédits!$K$6&lt;Crédits!$K$9,M39,0))+IF(Crédits!$K$7="",0,IF(Crédits!$K$7&lt;Crédits!$K$9,U39,0))+IF(Crédits!$K$8="",0,IF(Crédits!$K$8&lt;Crédits!$K$9,AC39,0))+IF(Crédits!$K$10="",0,IF(Crédits!$K$10&lt;Crédits!$K$9,AS39,0))))))</f>
        <v>0</v>
      </c>
      <c r="AM39" s="101">
        <f t="shared" si="9"/>
        <v>0</v>
      </c>
      <c r="AN39" s="88">
        <f>ROUND(AN38+AO39-MIN(N(Crédits!$E$9),AN38+AO39),2)</f>
        <v>0</v>
      </c>
      <c r="AO39" s="89">
        <f>AN38*N(Crédits!$D$9)/12</f>
        <v>0</v>
      </c>
      <c r="AP39" s="102">
        <f t="shared" si="21"/>
        <v>0</v>
      </c>
      <c r="AQ39" s="102">
        <f>AP39*N(Crédits!$D$10)/12</f>
        <v>0</v>
      </c>
      <c r="AR39" s="102">
        <f>MIN(N(Crédits!$E$10),AP39+AQ39)</f>
        <v>0</v>
      </c>
      <c r="AS39" s="102">
        <f t="shared" si="10"/>
        <v>0</v>
      </c>
      <c r="AT39" s="103">
        <f>IF(Crédits!$K$10="",0,MAX(0,MIN(AS39,Plan!$L$41-(IF(Crédits!$K$5="",0,IF(Crédits!$K$5&lt;Crédits!$K$10,E39,0))+IF(Crédits!$K$6="",0,IF(Crédits!$K$6&lt;Crédits!$K$10,M39,0))+IF(Crédits!$K$7="",0,IF(Crédits!$K$7&lt;Crédits!$K$10,U39,0))+IF(Crédits!$K$8="",0,IF(Crédits!$K$8&lt;Crédits!$K$10,AC39,0))+IF(Crédits!$K$9="",0,IF(Crédits!$K$9&lt;Crédits!$K$10,AK39,0))))))</f>
        <v>0</v>
      </c>
      <c r="AU39" s="104">
        <f t="shared" si="11"/>
        <v>0</v>
      </c>
      <c r="AV39" s="88">
        <f>ROUND(AV38+AW39-MIN(N(Crédits!$E$10),AV38+AW39),2)</f>
        <v>0</v>
      </c>
      <c r="AW39" s="89">
        <f>AV38*N(Crédits!$D$10)/12</f>
        <v>0</v>
      </c>
      <c r="AX39" s="105">
        <f t="shared" si="12"/>
        <v>0</v>
      </c>
      <c r="AY39" s="105">
        <f t="shared" ref="AY39:AZ39" si="57">F39+N39+V39+AD39+AL39+AT39</f>
        <v>0</v>
      </c>
      <c r="AZ39" s="105">
        <f t="shared" si="57"/>
        <v>0</v>
      </c>
      <c r="BA39" s="105">
        <f t="shared" si="14"/>
        <v>0</v>
      </c>
      <c r="BB39" s="105">
        <f t="shared" si="15"/>
        <v>1.47E-2</v>
      </c>
    </row>
    <row r="40" spans="1:54" ht="15" customHeight="1" x14ac:dyDescent="0.25">
      <c r="A40" s="2">
        <v>38</v>
      </c>
      <c r="B40" s="83">
        <f t="shared" si="16"/>
        <v>0</v>
      </c>
      <c r="C40" s="83">
        <f>B40*N(Crédits!$D$5)/12</f>
        <v>0</v>
      </c>
      <c r="D40" s="83">
        <f>MIN(N(Crédits!$E$5),B40+C40)</f>
        <v>0</v>
      </c>
      <c r="E40" s="83">
        <f t="shared" si="0"/>
        <v>0</v>
      </c>
      <c r="F40" s="86">
        <f>IF(Crédits!$K$5="",0,MAX(0,MIN(E40,Plan!$L$42-(IF(Crédits!$K$6="",0,IF(Crédits!$K$6&lt;Crédits!$K$5,M40,0))+IF(Crédits!$K$7="",0,IF(Crédits!$K$7&lt;Crédits!$K$5,U40,0))+IF(Crédits!$K$8="",0,IF(Crédits!$K$8&lt;Crédits!$K$5,AC40,0))+IF(Crédits!$K$9="",0,IF(Crédits!$K$9&lt;Crédits!$K$5,AK40,0))+IF(Crédits!$K$10="",0,IF(Crédits!$K$10&lt;Crédits!$K$5,AS40,0))))))</f>
        <v>0</v>
      </c>
      <c r="G40" s="87">
        <f t="shared" si="1"/>
        <v>0</v>
      </c>
      <c r="H40" s="88">
        <f>ROUND(H39+I40-MIN(N(Crédits!$E$5),H39+I40),2)</f>
        <v>0</v>
      </c>
      <c r="I40" s="89">
        <f>H39*N(Crédits!$D$5)/12</f>
        <v>0</v>
      </c>
      <c r="J40" s="90">
        <f t="shared" si="17"/>
        <v>0</v>
      </c>
      <c r="K40" s="90">
        <f>J40*N(Crédits!$D$6)/12</f>
        <v>0</v>
      </c>
      <c r="L40" s="90">
        <f>MIN(N(Crédits!$E$6),J40+K40)</f>
        <v>0</v>
      </c>
      <c r="M40" s="90">
        <f t="shared" si="2"/>
        <v>0</v>
      </c>
      <c r="N40" s="91">
        <f>IF(Crédits!$K$6="",0,MAX(0,MIN(M40,Plan!$L$42-(IF(Crédits!$K$5="",0,IF(Crédits!$K$5&lt;Crédits!$K$6,E40,0))+IF(Crédits!$K$7="",0,IF(Crédits!$K$7&lt;Crédits!$K$6,U40,0))+IF(Crédits!$K$8="",0,IF(Crédits!$K$8&lt;Crédits!$K$6,AC40,0))+IF(Crédits!$K$9="",0,IF(Crédits!$K$9&lt;Crédits!$K$6,AK40,0))+IF(Crédits!$K$10="",0,IF(Crédits!$K$10&lt;Crédits!$K$6,AS40,0))))))</f>
        <v>0</v>
      </c>
      <c r="O40" s="92">
        <f t="shared" si="3"/>
        <v>0</v>
      </c>
      <c r="P40" s="88">
        <f>ROUND(P39+Q40-MIN(N(Crédits!$E$6),P39+Q40),2)</f>
        <v>0</v>
      </c>
      <c r="Q40" s="89">
        <f>P39*N(Crédits!$D$6)/12</f>
        <v>0</v>
      </c>
      <c r="R40" s="93">
        <f t="shared" si="18"/>
        <v>0</v>
      </c>
      <c r="S40" s="93">
        <f>R40*N(Crédits!$D$7)/12</f>
        <v>0</v>
      </c>
      <c r="T40" s="93">
        <f>MIN(N(Crédits!$E$7),R40+S40)</f>
        <v>0</v>
      </c>
      <c r="U40" s="93">
        <f t="shared" si="4"/>
        <v>0</v>
      </c>
      <c r="V40" s="94">
        <f>IF(Crédits!$K$7="",0,MAX(0,MIN(U40,Plan!$L$42-(IF(Crédits!$K$5="",0,IF(Crédits!$K$5&lt;Crédits!$K$7,E40,0))+IF(Crédits!$K$6="",0,IF(Crédits!$K$6&lt;Crédits!$K$7,M40,0))+IF(Crédits!$K$8="",0,IF(Crédits!$K$8&lt;Crédits!$K$7,AC40,0))+IF(Crédits!$K$9="",0,IF(Crédits!$K$9&lt;Crédits!$K$7,AK40,0))+IF(Crédits!$K$10="",0,IF(Crédits!$K$10&lt;Crédits!$K$7,AS40,0))))))</f>
        <v>0</v>
      </c>
      <c r="W40" s="95">
        <f t="shared" si="5"/>
        <v>0</v>
      </c>
      <c r="X40" s="88">
        <f>ROUND(X39+Y40-MIN(N(Crédits!$E$7),X39+Y40),2)</f>
        <v>0</v>
      </c>
      <c r="Y40" s="89">
        <f>X39*N(Crédits!$D$7)/12</f>
        <v>0</v>
      </c>
      <c r="Z40" s="96">
        <f t="shared" si="19"/>
        <v>0</v>
      </c>
      <c r="AA40" s="96">
        <f>Z40*N(Crédits!$D$8)/12</f>
        <v>0</v>
      </c>
      <c r="AB40" s="96">
        <f>MIN(N(Crédits!$E$8),Z40+AA40)</f>
        <v>0</v>
      </c>
      <c r="AC40" s="96">
        <f t="shared" si="6"/>
        <v>0</v>
      </c>
      <c r="AD40" s="97">
        <f>IF(Crédits!$K$8="",0,MAX(0,MIN(AC40,Plan!$L$42-(IF(Crédits!$K$5="",0,IF(Crédits!$K$5&lt;Crédits!$K$8,E40,0))+IF(Crédits!$K$6="",0,IF(Crédits!$K$6&lt;Crédits!$K$8,M40,0))+IF(Crédits!$K$7="",0,IF(Crédits!$K$7&lt;Crédits!$K$8,U40,0))+IF(Crédits!$K$9="",0,IF(Crédits!$K$9&lt;Crédits!$K$8,AK40,0))+IF(Crédits!$K$10="",0,IF(Crédits!$K$10&lt;Crédits!$K$8,AS40,0))))))</f>
        <v>0</v>
      </c>
      <c r="AE40" s="98">
        <f t="shared" si="7"/>
        <v>0</v>
      </c>
      <c r="AF40" s="88">
        <f>ROUND(AF39+AG40-MIN(N(Crédits!$E$8),AF39+AG40),2)</f>
        <v>0</v>
      </c>
      <c r="AG40" s="89">
        <f>AF39*N(Crédits!$D$8)/12</f>
        <v>0</v>
      </c>
      <c r="AH40" s="99">
        <f t="shared" si="20"/>
        <v>0</v>
      </c>
      <c r="AI40" s="99">
        <f>AH40*N(Crédits!$D$9)/12</f>
        <v>0</v>
      </c>
      <c r="AJ40" s="99">
        <f>MIN(N(Crédits!$E$9),AH40+AI40)</f>
        <v>0</v>
      </c>
      <c r="AK40" s="99">
        <f t="shared" si="8"/>
        <v>0</v>
      </c>
      <c r="AL40" s="100">
        <f>IF(Crédits!$K$9="",0,MAX(0,MIN(AK40,Plan!$L$42-(IF(Crédits!$K$5="",0,IF(Crédits!$K$5&lt;Crédits!$K$9,E40,0))+IF(Crédits!$K$6="",0,IF(Crédits!$K$6&lt;Crédits!$K$9,M40,0))+IF(Crédits!$K$7="",0,IF(Crédits!$K$7&lt;Crédits!$K$9,U40,0))+IF(Crédits!$K$8="",0,IF(Crédits!$K$8&lt;Crédits!$K$9,AC40,0))+IF(Crédits!$K$10="",0,IF(Crédits!$K$10&lt;Crédits!$K$9,AS40,0))))))</f>
        <v>0</v>
      </c>
      <c r="AM40" s="101">
        <f t="shared" si="9"/>
        <v>0</v>
      </c>
      <c r="AN40" s="88">
        <f>ROUND(AN39+AO40-MIN(N(Crédits!$E$9),AN39+AO40),2)</f>
        <v>0</v>
      </c>
      <c r="AO40" s="89">
        <f>AN39*N(Crédits!$D$9)/12</f>
        <v>0</v>
      </c>
      <c r="AP40" s="102">
        <f t="shared" si="21"/>
        <v>0</v>
      </c>
      <c r="AQ40" s="102">
        <f>AP40*N(Crédits!$D$10)/12</f>
        <v>0</v>
      </c>
      <c r="AR40" s="102">
        <f>MIN(N(Crédits!$E$10),AP40+AQ40)</f>
        <v>0</v>
      </c>
      <c r="AS40" s="102">
        <f t="shared" si="10"/>
        <v>0</v>
      </c>
      <c r="AT40" s="103">
        <f>IF(Crédits!$K$10="",0,MAX(0,MIN(AS40,Plan!$L$42-(IF(Crédits!$K$5="",0,IF(Crédits!$K$5&lt;Crédits!$K$10,E40,0))+IF(Crédits!$K$6="",0,IF(Crédits!$K$6&lt;Crédits!$K$10,M40,0))+IF(Crédits!$K$7="",0,IF(Crédits!$K$7&lt;Crédits!$K$10,U40,0))+IF(Crédits!$K$8="",0,IF(Crédits!$K$8&lt;Crédits!$K$10,AC40,0))+IF(Crédits!$K$9="",0,IF(Crédits!$K$9&lt;Crédits!$K$10,AK40,0))))))</f>
        <v>0</v>
      </c>
      <c r="AU40" s="104">
        <f t="shared" si="11"/>
        <v>0</v>
      </c>
      <c r="AV40" s="88">
        <f>ROUND(AV39+AW40-MIN(N(Crédits!$E$10),AV39+AW40),2)</f>
        <v>0</v>
      </c>
      <c r="AW40" s="89">
        <f>AV39*N(Crédits!$D$10)/12</f>
        <v>0</v>
      </c>
      <c r="AX40" s="105">
        <f t="shared" si="12"/>
        <v>0</v>
      </c>
      <c r="AY40" s="105">
        <f t="shared" ref="AY40:AZ40" si="58">F40+N40+V40+AD40+AL40+AT40</f>
        <v>0</v>
      </c>
      <c r="AZ40" s="105">
        <f t="shared" si="58"/>
        <v>0</v>
      </c>
      <c r="BA40" s="105">
        <f t="shared" si="14"/>
        <v>0</v>
      </c>
      <c r="BB40" s="105">
        <f t="shared" si="15"/>
        <v>0</v>
      </c>
    </row>
    <row r="41" spans="1:54" ht="15" customHeight="1" x14ac:dyDescent="0.25">
      <c r="A41" s="2">
        <v>39</v>
      </c>
      <c r="B41" s="83">
        <f t="shared" si="16"/>
        <v>0</v>
      </c>
      <c r="C41" s="83">
        <f>B41*N(Crédits!$D$5)/12</f>
        <v>0</v>
      </c>
      <c r="D41" s="83">
        <f>MIN(N(Crédits!$E$5),B41+C41)</f>
        <v>0</v>
      </c>
      <c r="E41" s="83">
        <f t="shared" si="0"/>
        <v>0</v>
      </c>
      <c r="F41" s="86">
        <f>IF(Crédits!$K$5="",0,MAX(0,MIN(E41,Plan!$L$43-(IF(Crédits!$K$6="",0,IF(Crédits!$K$6&lt;Crédits!$K$5,M41,0))+IF(Crédits!$K$7="",0,IF(Crédits!$K$7&lt;Crédits!$K$5,U41,0))+IF(Crédits!$K$8="",0,IF(Crédits!$K$8&lt;Crédits!$K$5,AC41,0))+IF(Crédits!$K$9="",0,IF(Crédits!$K$9&lt;Crédits!$K$5,AK41,0))+IF(Crédits!$K$10="",0,IF(Crédits!$K$10&lt;Crédits!$K$5,AS41,0))))))</f>
        <v>0</v>
      </c>
      <c r="G41" s="87">
        <f t="shared" si="1"/>
        <v>0</v>
      </c>
      <c r="H41" s="88">
        <f>ROUND(H40+I41-MIN(N(Crédits!$E$5),H40+I41),2)</f>
        <v>0</v>
      </c>
      <c r="I41" s="89">
        <f>H40*N(Crédits!$D$5)/12</f>
        <v>0</v>
      </c>
      <c r="J41" s="90">
        <f t="shared" si="17"/>
        <v>0</v>
      </c>
      <c r="K41" s="90">
        <f>J41*N(Crédits!$D$6)/12</f>
        <v>0</v>
      </c>
      <c r="L41" s="90">
        <f>MIN(N(Crédits!$E$6),J41+K41)</f>
        <v>0</v>
      </c>
      <c r="M41" s="90">
        <f t="shared" si="2"/>
        <v>0</v>
      </c>
      <c r="N41" s="91">
        <f>IF(Crédits!$K$6="",0,MAX(0,MIN(M41,Plan!$L$43-(IF(Crédits!$K$5="",0,IF(Crédits!$K$5&lt;Crédits!$K$6,E41,0))+IF(Crédits!$K$7="",0,IF(Crédits!$K$7&lt;Crédits!$K$6,U41,0))+IF(Crédits!$K$8="",0,IF(Crédits!$K$8&lt;Crédits!$K$6,AC41,0))+IF(Crédits!$K$9="",0,IF(Crédits!$K$9&lt;Crédits!$K$6,AK41,0))+IF(Crédits!$K$10="",0,IF(Crédits!$K$10&lt;Crédits!$K$6,AS41,0))))))</f>
        <v>0</v>
      </c>
      <c r="O41" s="92">
        <f t="shared" si="3"/>
        <v>0</v>
      </c>
      <c r="P41" s="88">
        <f>ROUND(P40+Q41-MIN(N(Crédits!$E$6),P40+Q41),2)</f>
        <v>0</v>
      </c>
      <c r="Q41" s="89">
        <f>P40*N(Crédits!$D$6)/12</f>
        <v>0</v>
      </c>
      <c r="R41" s="93">
        <f t="shared" si="18"/>
        <v>0</v>
      </c>
      <c r="S41" s="93">
        <f>R41*N(Crédits!$D$7)/12</f>
        <v>0</v>
      </c>
      <c r="T41" s="93">
        <f>MIN(N(Crédits!$E$7),R41+S41)</f>
        <v>0</v>
      </c>
      <c r="U41" s="93">
        <f t="shared" si="4"/>
        <v>0</v>
      </c>
      <c r="V41" s="94">
        <f>IF(Crédits!$K$7="",0,MAX(0,MIN(U41,Plan!$L$43-(IF(Crédits!$K$5="",0,IF(Crédits!$K$5&lt;Crédits!$K$7,E41,0))+IF(Crédits!$K$6="",0,IF(Crédits!$K$6&lt;Crédits!$K$7,M41,0))+IF(Crédits!$K$8="",0,IF(Crédits!$K$8&lt;Crédits!$K$7,AC41,0))+IF(Crédits!$K$9="",0,IF(Crédits!$K$9&lt;Crédits!$K$7,AK41,0))+IF(Crédits!$K$10="",0,IF(Crédits!$K$10&lt;Crédits!$K$7,AS41,0))))))</f>
        <v>0</v>
      </c>
      <c r="W41" s="95">
        <f t="shared" si="5"/>
        <v>0</v>
      </c>
      <c r="X41" s="88">
        <f>ROUND(X40+Y41-MIN(N(Crédits!$E$7),X40+Y41),2)</f>
        <v>0</v>
      </c>
      <c r="Y41" s="89">
        <f>X40*N(Crédits!$D$7)/12</f>
        <v>0</v>
      </c>
      <c r="Z41" s="96">
        <f t="shared" si="19"/>
        <v>0</v>
      </c>
      <c r="AA41" s="96">
        <f>Z41*N(Crédits!$D$8)/12</f>
        <v>0</v>
      </c>
      <c r="AB41" s="96">
        <f>MIN(N(Crédits!$E$8),Z41+AA41)</f>
        <v>0</v>
      </c>
      <c r="AC41" s="96">
        <f t="shared" si="6"/>
        <v>0</v>
      </c>
      <c r="AD41" s="97">
        <f>IF(Crédits!$K$8="",0,MAX(0,MIN(AC41,Plan!$L$43-(IF(Crédits!$K$5="",0,IF(Crédits!$K$5&lt;Crédits!$K$8,E41,0))+IF(Crédits!$K$6="",0,IF(Crédits!$K$6&lt;Crédits!$K$8,M41,0))+IF(Crédits!$K$7="",0,IF(Crédits!$K$7&lt;Crédits!$K$8,U41,0))+IF(Crédits!$K$9="",0,IF(Crédits!$K$9&lt;Crédits!$K$8,AK41,0))+IF(Crédits!$K$10="",0,IF(Crédits!$K$10&lt;Crédits!$K$8,AS41,0))))))</f>
        <v>0</v>
      </c>
      <c r="AE41" s="98">
        <f t="shared" si="7"/>
        <v>0</v>
      </c>
      <c r="AF41" s="88">
        <f>ROUND(AF40+AG41-MIN(N(Crédits!$E$8),AF40+AG41),2)</f>
        <v>0</v>
      </c>
      <c r="AG41" s="89">
        <f>AF40*N(Crédits!$D$8)/12</f>
        <v>0</v>
      </c>
      <c r="AH41" s="99">
        <f t="shared" si="20"/>
        <v>0</v>
      </c>
      <c r="AI41" s="99">
        <f>AH41*N(Crédits!$D$9)/12</f>
        <v>0</v>
      </c>
      <c r="AJ41" s="99">
        <f>MIN(N(Crédits!$E$9),AH41+AI41)</f>
        <v>0</v>
      </c>
      <c r="AK41" s="99">
        <f t="shared" si="8"/>
        <v>0</v>
      </c>
      <c r="AL41" s="100">
        <f>IF(Crédits!$K$9="",0,MAX(0,MIN(AK41,Plan!$L$43-(IF(Crédits!$K$5="",0,IF(Crédits!$K$5&lt;Crédits!$K$9,E41,0))+IF(Crédits!$K$6="",0,IF(Crédits!$K$6&lt;Crédits!$K$9,M41,0))+IF(Crédits!$K$7="",0,IF(Crédits!$K$7&lt;Crédits!$K$9,U41,0))+IF(Crédits!$K$8="",0,IF(Crédits!$K$8&lt;Crédits!$K$9,AC41,0))+IF(Crédits!$K$10="",0,IF(Crédits!$K$10&lt;Crédits!$K$9,AS41,0))))))</f>
        <v>0</v>
      </c>
      <c r="AM41" s="101">
        <f t="shared" si="9"/>
        <v>0</v>
      </c>
      <c r="AN41" s="88">
        <f>ROUND(AN40+AO41-MIN(N(Crédits!$E$9),AN40+AO41),2)</f>
        <v>0</v>
      </c>
      <c r="AO41" s="89">
        <f>AN40*N(Crédits!$D$9)/12</f>
        <v>0</v>
      </c>
      <c r="AP41" s="102">
        <f t="shared" si="21"/>
        <v>0</v>
      </c>
      <c r="AQ41" s="102">
        <f>AP41*N(Crédits!$D$10)/12</f>
        <v>0</v>
      </c>
      <c r="AR41" s="102">
        <f>MIN(N(Crédits!$E$10),AP41+AQ41)</f>
        <v>0</v>
      </c>
      <c r="AS41" s="102">
        <f t="shared" si="10"/>
        <v>0</v>
      </c>
      <c r="AT41" s="103">
        <f>IF(Crédits!$K$10="",0,MAX(0,MIN(AS41,Plan!$L$43-(IF(Crédits!$K$5="",0,IF(Crédits!$K$5&lt;Crédits!$K$10,E41,0))+IF(Crédits!$K$6="",0,IF(Crédits!$K$6&lt;Crédits!$K$10,M41,0))+IF(Crédits!$K$7="",0,IF(Crédits!$K$7&lt;Crédits!$K$10,U41,0))+IF(Crédits!$K$8="",0,IF(Crédits!$K$8&lt;Crédits!$K$10,AC41,0))+IF(Crédits!$K$9="",0,IF(Crédits!$K$9&lt;Crédits!$K$10,AK41,0))))))</f>
        <v>0</v>
      </c>
      <c r="AU41" s="104">
        <f t="shared" si="11"/>
        <v>0</v>
      </c>
      <c r="AV41" s="88">
        <f>ROUND(AV40+AW41-MIN(N(Crédits!$E$10),AV40+AW41),2)</f>
        <v>0</v>
      </c>
      <c r="AW41" s="89">
        <f>AV40*N(Crédits!$D$10)/12</f>
        <v>0</v>
      </c>
      <c r="AX41" s="105">
        <f t="shared" si="12"/>
        <v>0</v>
      </c>
      <c r="AY41" s="105">
        <f t="shared" ref="AY41:AZ41" si="59">F41+N41+V41+AD41+AL41+AT41</f>
        <v>0</v>
      </c>
      <c r="AZ41" s="105">
        <f t="shared" si="59"/>
        <v>0</v>
      </c>
      <c r="BA41" s="105">
        <f t="shared" si="14"/>
        <v>0</v>
      </c>
      <c r="BB41" s="105">
        <f t="shared" si="15"/>
        <v>0</v>
      </c>
    </row>
    <row r="42" spans="1:54" ht="15" customHeight="1" x14ac:dyDescent="0.25">
      <c r="A42" s="2">
        <v>40</v>
      </c>
      <c r="B42" s="83">
        <f t="shared" si="16"/>
        <v>0</v>
      </c>
      <c r="C42" s="83">
        <f>B42*N(Crédits!$D$5)/12</f>
        <v>0</v>
      </c>
      <c r="D42" s="83">
        <f>MIN(N(Crédits!$E$5),B42+C42)</f>
        <v>0</v>
      </c>
      <c r="E42" s="83">
        <f t="shared" si="0"/>
        <v>0</v>
      </c>
      <c r="F42" s="86">
        <f>IF(Crédits!$K$5="",0,MAX(0,MIN(E42,Plan!$L$44-(IF(Crédits!$K$6="",0,IF(Crédits!$K$6&lt;Crédits!$K$5,M42,0))+IF(Crédits!$K$7="",0,IF(Crédits!$K$7&lt;Crédits!$K$5,U42,0))+IF(Crédits!$K$8="",0,IF(Crédits!$K$8&lt;Crédits!$K$5,AC42,0))+IF(Crédits!$K$9="",0,IF(Crédits!$K$9&lt;Crédits!$K$5,AK42,0))+IF(Crédits!$K$10="",0,IF(Crédits!$K$10&lt;Crédits!$K$5,AS42,0))))))</f>
        <v>0</v>
      </c>
      <c r="G42" s="87">
        <f t="shared" si="1"/>
        <v>0</v>
      </c>
      <c r="H42" s="88">
        <f>ROUND(H41+I42-MIN(N(Crédits!$E$5),H41+I42),2)</f>
        <v>0</v>
      </c>
      <c r="I42" s="89">
        <f>H41*N(Crédits!$D$5)/12</f>
        <v>0</v>
      </c>
      <c r="J42" s="90">
        <f t="shared" si="17"/>
        <v>0</v>
      </c>
      <c r="K42" s="90">
        <f>J42*N(Crédits!$D$6)/12</f>
        <v>0</v>
      </c>
      <c r="L42" s="90">
        <f>MIN(N(Crédits!$E$6),J42+K42)</f>
        <v>0</v>
      </c>
      <c r="M42" s="90">
        <f t="shared" si="2"/>
        <v>0</v>
      </c>
      <c r="N42" s="91">
        <f>IF(Crédits!$K$6="",0,MAX(0,MIN(M42,Plan!$L$44-(IF(Crédits!$K$5="",0,IF(Crédits!$K$5&lt;Crédits!$K$6,E42,0))+IF(Crédits!$K$7="",0,IF(Crédits!$K$7&lt;Crédits!$K$6,U42,0))+IF(Crédits!$K$8="",0,IF(Crédits!$K$8&lt;Crédits!$K$6,AC42,0))+IF(Crédits!$K$9="",0,IF(Crédits!$K$9&lt;Crédits!$K$6,AK42,0))+IF(Crédits!$K$10="",0,IF(Crédits!$K$10&lt;Crédits!$K$6,AS42,0))))))</f>
        <v>0</v>
      </c>
      <c r="O42" s="92">
        <f t="shared" si="3"/>
        <v>0</v>
      </c>
      <c r="P42" s="88">
        <f>ROUND(P41+Q42-MIN(N(Crédits!$E$6),P41+Q42),2)</f>
        <v>0</v>
      </c>
      <c r="Q42" s="89">
        <f>P41*N(Crédits!$D$6)/12</f>
        <v>0</v>
      </c>
      <c r="R42" s="93">
        <f t="shared" si="18"/>
        <v>0</v>
      </c>
      <c r="S42" s="93">
        <f>R42*N(Crédits!$D$7)/12</f>
        <v>0</v>
      </c>
      <c r="T42" s="93">
        <f>MIN(N(Crédits!$E$7),R42+S42)</f>
        <v>0</v>
      </c>
      <c r="U42" s="93">
        <f t="shared" si="4"/>
        <v>0</v>
      </c>
      <c r="V42" s="94">
        <f>IF(Crédits!$K$7="",0,MAX(0,MIN(U42,Plan!$L$44-(IF(Crédits!$K$5="",0,IF(Crédits!$K$5&lt;Crédits!$K$7,E42,0))+IF(Crédits!$K$6="",0,IF(Crédits!$K$6&lt;Crédits!$K$7,M42,0))+IF(Crédits!$K$8="",0,IF(Crédits!$K$8&lt;Crédits!$K$7,AC42,0))+IF(Crédits!$K$9="",0,IF(Crédits!$K$9&lt;Crédits!$K$7,AK42,0))+IF(Crédits!$K$10="",0,IF(Crédits!$K$10&lt;Crédits!$K$7,AS42,0))))))</f>
        <v>0</v>
      </c>
      <c r="W42" s="95">
        <f t="shared" si="5"/>
        <v>0</v>
      </c>
      <c r="X42" s="88">
        <f>ROUND(X41+Y42-MIN(N(Crédits!$E$7),X41+Y42),2)</f>
        <v>0</v>
      </c>
      <c r="Y42" s="89">
        <f>X41*N(Crédits!$D$7)/12</f>
        <v>0</v>
      </c>
      <c r="Z42" s="96">
        <f t="shared" si="19"/>
        <v>0</v>
      </c>
      <c r="AA42" s="96">
        <f>Z42*N(Crédits!$D$8)/12</f>
        <v>0</v>
      </c>
      <c r="AB42" s="96">
        <f>MIN(N(Crédits!$E$8),Z42+AA42)</f>
        <v>0</v>
      </c>
      <c r="AC42" s="96">
        <f t="shared" si="6"/>
        <v>0</v>
      </c>
      <c r="AD42" s="97">
        <f>IF(Crédits!$K$8="",0,MAX(0,MIN(AC42,Plan!$L$44-(IF(Crédits!$K$5="",0,IF(Crédits!$K$5&lt;Crédits!$K$8,E42,0))+IF(Crédits!$K$6="",0,IF(Crédits!$K$6&lt;Crédits!$K$8,M42,0))+IF(Crédits!$K$7="",0,IF(Crédits!$K$7&lt;Crédits!$K$8,U42,0))+IF(Crédits!$K$9="",0,IF(Crédits!$K$9&lt;Crédits!$K$8,AK42,0))+IF(Crédits!$K$10="",0,IF(Crédits!$K$10&lt;Crédits!$K$8,AS42,0))))))</f>
        <v>0</v>
      </c>
      <c r="AE42" s="98">
        <f t="shared" si="7"/>
        <v>0</v>
      </c>
      <c r="AF42" s="88">
        <f>ROUND(AF41+AG42-MIN(N(Crédits!$E$8),AF41+AG42),2)</f>
        <v>0</v>
      </c>
      <c r="AG42" s="89">
        <f>AF41*N(Crédits!$D$8)/12</f>
        <v>0</v>
      </c>
      <c r="AH42" s="99">
        <f t="shared" si="20"/>
        <v>0</v>
      </c>
      <c r="AI42" s="99">
        <f>AH42*N(Crédits!$D$9)/12</f>
        <v>0</v>
      </c>
      <c r="AJ42" s="99">
        <f>MIN(N(Crédits!$E$9),AH42+AI42)</f>
        <v>0</v>
      </c>
      <c r="AK42" s="99">
        <f t="shared" si="8"/>
        <v>0</v>
      </c>
      <c r="AL42" s="100">
        <f>IF(Crédits!$K$9="",0,MAX(0,MIN(AK42,Plan!$L$44-(IF(Crédits!$K$5="",0,IF(Crédits!$K$5&lt;Crédits!$K$9,E42,0))+IF(Crédits!$K$6="",0,IF(Crédits!$K$6&lt;Crédits!$K$9,M42,0))+IF(Crédits!$K$7="",0,IF(Crédits!$K$7&lt;Crédits!$K$9,U42,0))+IF(Crédits!$K$8="",0,IF(Crédits!$K$8&lt;Crédits!$K$9,AC42,0))+IF(Crédits!$K$10="",0,IF(Crédits!$K$10&lt;Crédits!$K$9,AS42,0))))))</f>
        <v>0</v>
      </c>
      <c r="AM42" s="101">
        <f t="shared" si="9"/>
        <v>0</v>
      </c>
      <c r="AN42" s="88">
        <f>ROUND(AN41+AO42-MIN(N(Crédits!$E$9),AN41+AO42),2)</f>
        <v>0</v>
      </c>
      <c r="AO42" s="89">
        <f>AN41*N(Crédits!$D$9)/12</f>
        <v>0</v>
      </c>
      <c r="AP42" s="102">
        <f t="shared" si="21"/>
        <v>0</v>
      </c>
      <c r="AQ42" s="102">
        <f>AP42*N(Crédits!$D$10)/12</f>
        <v>0</v>
      </c>
      <c r="AR42" s="102">
        <f>MIN(N(Crédits!$E$10),AP42+AQ42)</f>
        <v>0</v>
      </c>
      <c r="AS42" s="102">
        <f t="shared" si="10"/>
        <v>0</v>
      </c>
      <c r="AT42" s="103">
        <f>IF(Crédits!$K$10="",0,MAX(0,MIN(AS42,Plan!$L$44-(IF(Crédits!$K$5="",0,IF(Crédits!$K$5&lt;Crédits!$K$10,E42,0))+IF(Crédits!$K$6="",0,IF(Crédits!$K$6&lt;Crédits!$K$10,M42,0))+IF(Crédits!$K$7="",0,IF(Crédits!$K$7&lt;Crédits!$K$10,U42,0))+IF(Crédits!$K$8="",0,IF(Crédits!$K$8&lt;Crédits!$K$10,AC42,0))+IF(Crédits!$K$9="",0,IF(Crédits!$K$9&lt;Crédits!$K$10,AK42,0))))))</f>
        <v>0</v>
      </c>
      <c r="AU42" s="104">
        <f t="shared" si="11"/>
        <v>0</v>
      </c>
      <c r="AV42" s="88">
        <f>ROUND(AV41+AW42-MIN(N(Crédits!$E$10),AV41+AW42),2)</f>
        <v>0</v>
      </c>
      <c r="AW42" s="89">
        <f>AV41*N(Crédits!$D$10)/12</f>
        <v>0</v>
      </c>
      <c r="AX42" s="105">
        <f t="shared" si="12"/>
        <v>0</v>
      </c>
      <c r="AY42" s="105">
        <f t="shared" ref="AY42:AZ42" si="60">F42+N42+V42+AD42+AL42+AT42</f>
        <v>0</v>
      </c>
      <c r="AZ42" s="105">
        <f t="shared" si="60"/>
        <v>0</v>
      </c>
      <c r="BA42" s="105">
        <f t="shared" si="14"/>
        <v>0</v>
      </c>
      <c r="BB42" s="105">
        <f t="shared" si="15"/>
        <v>0</v>
      </c>
    </row>
    <row r="43" spans="1:54" ht="15" customHeight="1" x14ac:dyDescent="0.25">
      <c r="A43" s="2">
        <v>41</v>
      </c>
      <c r="B43" s="83">
        <f t="shared" si="16"/>
        <v>0</v>
      </c>
      <c r="C43" s="83">
        <f>B43*N(Crédits!$D$5)/12</f>
        <v>0</v>
      </c>
      <c r="D43" s="83">
        <f>MIN(N(Crédits!$E$5),B43+C43)</f>
        <v>0</v>
      </c>
      <c r="E43" s="83">
        <f t="shared" si="0"/>
        <v>0</v>
      </c>
      <c r="F43" s="86">
        <f>IF(Crédits!$K$5="",0,MAX(0,MIN(E43,Plan!$L$45-(IF(Crédits!$K$6="",0,IF(Crédits!$K$6&lt;Crédits!$K$5,M43,0))+IF(Crédits!$K$7="",0,IF(Crédits!$K$7&lt;Crédits!$K$5,U43,0))+IF(Crédits!$K$8="",0,IF(Crédits!$K$8&lt;Crédits!$K$5,AC43,0))+IF(Crédits!$K$9="",0,IF(Crédits!$K$9&lt;Crédits!$K$5,AK43,0))+IF(Crédits!$K$10="",0,IF(Crédits!$K$10&lt;Crédits!$K$5,AS43,0))))))</f>
        <v>0</v>
      </c>
      <c r="G43" s="87">
        <f t="shared" si="1"/>
        <v>0</v>
      </c>
      <c r="H43" s="88">
        <f>ROUND(H42+I43-MIN(N(Crédits!$E$5),H42+I43),2)</f>
        <v>0</v>
      </c>
      <c r="I43" s="89">
        <f>H42*N(Crédits!$D$5)/12</f>
        <v>0</v>
      </c>
      <c r="J43" s="90">
        <f t="shared" si="17"/>
        <v>0</v>
      </c>
      <c r="K43" s="90">
        <f>J43*N(Crédits!$D$6)/12</f>
        <v>0</v>
      </c>
      <c r="L43" s="90">
        <f>MIN(N(Crédits!$E$6),J43+K43)</f>
        <v>0</v>
      </c>
      <c r="M43" s="90">
        <f t="shared" si="2"/>
        <v>0</v>
      </c>
      <c r="N43" s="91">
        <f>IF(Crédits!$K$6="",0,MAX(0,MIN(M43,Plan!$L$45-(IF(Crédits!$K$5="",0,IF(Crédits!$K$5&lt;Crédits!$K$6,E43,0))+IF(Crédits!$K$7="",0,IF(Crédits!$K$7&lt;Crédits!$K$6,U43,0))+IF(Crédits!$K$8="",0,IF(Crédits!$K$8&lt;Crédits!$K$6,AC43,0))+IF(Crédits!$K$9="",0,IF(Crédits!$K$9&lt;Crédits!$K$6,AK43,0))+IF(Crédits!$K$10="",0,IF(Crédits!$K$10&lt;Crédits!$K$6,AS43,0))))))</f>
        <v>0</v>
      </c>
      <c r="O43" s="92">
        <f t="shared" si="3"/>
        <v>0</v>
      </c>
      <c r="P43" s="88">
        <f>ROUND(P42+Q43-MIN(N(Crédits!$E$6),P42+Q43),2)</f>
        <v>0</v>
      </c>
      <c r="Q43" s="89">
        <f>P42*N(Crédits!$D$6)/12</f>
        <v>0</v>
      </c>
      <c r="R43" s="93">
        <f t="shared" si="18"/>
        <v>0</v>
      </c>
      <c r="S43" s="93">
        <f>R43*N(Crédits!$D$7)/12</f>
        <v>0</v>
      </c>
      <c r="T43" s="93">
        <f>MIN(N(Crédits!$E$7),R43+S43)</f>
        <v>0</v>
      </c>
      <c r="U43" s="93">
        <f t="shared" si="4"/>
        <v>0</v>
      </c>
      <c r="V43" s="94">
        <f>IF(Crédits!$K$7="",0,MAX(0,MIN(U43,Plan!$L$45-(IF(Crédits!$K$5="",0,IF(Crédits!$K$5&lt;Crédits!$K$7,E43,0))+IF(Crédits!$K$6="",0,IF(Crédits!$K$6&lt;Crédits!$K$7,M43,0))+IF(Crédits!$K$8="",0,IF(Crédits!$K$8&lt;Crédits!$K$7,AC43,0))+IF(Crédits!$K$9="",0,IF(Crédits!$K$9&lt;Crédits!$K$7,AK43,0))+IF(Crédits!$K$10="",0,IF(Crédits!$K$10&lt;Crédits!$K$7,AS43,0))))))</f>
        <v>0</v>
      </c>
      <c r="W43" s="95">
        <f t="shared" si="5"/>
        <v>0</v>
      </c>
      <c r="X43" s="88">
        <f>ROUND(X42+Y43-MIN(N(Crédits!$E$7),X42+Y43),2)</f>
        <v>0</v>
      </c>
      <c r="Y43" s="89">
        <f>X42*N(Crédits!$D$7)/12</f>
        <v>0</v>
      </c>
      <c r="Z43" s="96">
        <f t="shared" si="19"/>
        <v>0</v>
      </c>
      <c r="AA43" s="96">
        <f>Z43*N(Crédits!$D$8)/12</f>
        <v>0</v>
      </c>
      <c r="AB43" s="96">
        <f>MIN(N(Crédits!$E$8),Z43+AA43)</f>
        <v>0</v>
      </c>
      <c r="AC43" s="96">
        <f t="shared" si="6"/>
        <v>0</v>
      </c>
      <c r="AD43" s="97">
        <f>IF(Crédits!$K$8="",0,MAX(0,MIN(AC43,Plan!$L$45-(IF(Crédits!$K$5="",0,IF(Crédits!$K$5&lt;Crédits!$K$8,E43,0))+IF(Crédits!$K$6="",0,IF(Crédits!$K$6&lt;Crédits!$K$8,M43,0))+IF(Crédits!$K$7="",0,IF(Crédits!$K$7&lt;Crédits!$K$8,U43,0))+IF(Crédits!$K$9="",0,IF(Crédits!$K$9&lt;Crédits!$K$8,AK43,0))+IF(Crédits!$K$10="",0,IF(Crédits!$K$10&lt;Crédits!$K$8,AS43,0))))))</f>
        <v>0</v>
      </c>
      <c r="AE43" s="98">
        <f t="shared" si="7"/>
        <v>0</v>
      </c>
      <c r="AF43" s="88">
        <f>ROUND(AF42+AG43-MIN(N(Crédits!$E$8),AF42+AG43),2)</f>
        <v>0</v>
      </c>
      <c r="AG43" s="89">
        <f>AF42*N(Crédits!$D$8)/12</f>
        <v>0</v>
      </c>
      <c r="AH43" s="99">
        <f t="shared" si="20"/>
        <v>0</v>
      </c>
      <c r="AI43" s="99">
        <f>AH43*N(Crédits!$D$9)/12</f>
        <v>0</v>
      </c>
      <c r="AJ43" s="99">
        <f>MIN(N(Crédits!$E$9),AH43+AI43)</f>
        <v>0</v>
      </c>
      <c r="AK43" s="99">
        <f t="shared" si="8"/>
        <v>0</v>
      </c>
      <c r="AL43" s="100">
        <f>IF(Crédits!$K$9="",0,MAX(0,MIN(AK43,Plan!$L$45-(IF(Crédits!$K$5="",0,IF(Crédits!$K$5&lt;Crédits!$K$9,E43,0))+IF(Crédits!$K$6="",0,IF(Crédits!$K$6&lt;Crédits!$K$9,M43,0))+IF(Crédits!$K$7="",0,IF(Crédits!$K$7&lt;Crédits!$K$9,U43,0))+IF(Crédits!$K$8="",0,IF(Crédits!$K$8&lt;Crédits!$K$9,AC43,0))+IF(Crédits!$K$10="",0,IF(Crédits!$K$10&lt;Crédits!$K$9,AS43,0))))))</f>
        <v>0</v>
      </c>
      <c r="AM43" s="101">
        <f t="shared" si="9"/>
        <v>0</v>
      </c>
      <c r="AN43" s="88">
        <f>ROUND(AN42+AO43-MIN(N(Crédits!$E$9),AN42+AO43),2)</f>
        <v>0</v>
      </c>
      <c r="AO43" s="89">
        <f>AN42*N(Crédits!$D$9)/12</f>
        <v>0</v>
      </c>
      <c r="AP43" s="102">
        <f t="shared" si="21"/>
        <v>0</v>
      </c>
      <c r="AQ43" s="102">
        <f>AP43*N(Crédits!$D$10)/12</f>
        <v>0</v>
      </c>
      <c r="AR43" s="102">
        <f>MIN(N(Crédits!$E$10),AP43+AQ43)</f>
        <v>0</v>
      </c>
      <c r="AS43" s="102">
        <f t="shared" si="10"/>
        <v>0</v>
      </c>
      <c r="AT43" s="103">
        <f>IF(Crédits!$K$10="",0,MAX(0,MIN(AS43,Plan!$L$45-(IF(Crédits!$K$5="",0,IF(Crédits!$K$5&lt;Crédits!$K$10,E43,0))+IF(Crédits!$K$6="",0,IF(Crédits!$K$6&lt;Crédits!$K$10,M43,0))+IF(Crédits!$K$7="",0,IF(Crédits!$K$7&lt;Crédits!$K$10,U43,0))+IF(Crédits!$K$8="",0,IF(Crédits!$K$8&lt;Crédits!$K$10,AC43,0))+IF(Crédits!$K$9="",0,IF(Crédits!$K$9&lt;Crédits!$K$10,AK43,0))))))</f>
        <v>0</v>
      </c>
      <c r="AU43" s="104">
        <f t="shared" si="11"/>
        <v>0</v>
      </c>
      <c r="AV43" s="88">
        <f>ROUND(AV42+AW43-MIN(N(Crédits!$E$10),AV42+AW43),2)</f>
        <v>0</v>
      </c>
      <c r="AW43" s="89">
        <f>AV42*N(Crédits!$D$10)/12</f>
        <v>0</v>
      </c>
      <c r="AX43" s="105">
        <f t="shared" si="12"/>
        <v>0</v>
      </c>
      <c r="AY43" s="105">
        <f t="shared" ref="AY43:AZ43" si="61">F43+N43+V43+AD43+AL43+AT43</f>
        <v>0</v>
      </c>
      <c r="AZ43" s="105">
        <f t="shared" si="61"/>
        <v>0</v>
      </c>
      <c r="BA43" s="105">
        <f t="shared" si="14"/>
        <v>0</v>
      </c>
      <c r="BB43" s="105">
        <f t="shared" si="15"/>
        <v>0</v>
      </c>
    </row>
    <row r="44" spans="1:54" ht="15" customHeight="1" x14ac:dyDescent="0.25">
      <c r="A44" s="2">
        <v>42</v>
      </c>
      <c r="B44" s="83">
        <f t="shared" si="16"/>
        <v>0</v>
      </c>
      <c r="C44" s="83">
        <f>B44*N(Crédits!$D$5)/12</f>
        <v>0</v>
      </c>
      <c r="D44" s="83">
        <f>MIN(N(Crédits!$E$5),B44+C44)</f>
        <v>0</v>
      </c>
      <c r="E44" s="83">
        <f t="shared" si="0"/>
        <v>0</v>
      </c>
      <c r="F44" s="86">
        <f>IF(Crédits!$K$5="",0,MAX(0,MIN(E44,Plan!$L$46-(IF(Crédits!$K$6="",0,IF(Crédits!$K$6&lt;Crédits!$K$5,M44,0))+IF(Crédits!$K$7="",0,IF(Crédits!$K$7&lt;Crédits!$K$5,U44,0))+IF(Crédits!$K$8="",0,IF(Crédits!$K$8&lt;Crédits!$K$5,AC44,0))+IF(Crédits!$K$9="",0,IF(Crédits!$K$9&lt;Crédits!$K$5,AK44,0))+IF(Crédits!$K$10="",0,IF(Crédits!$K$10&lt;Crédits!$K$5,AS44,0))))))</f>
        <v>0</v>
      </c>
      <c r="G44" s="87">
        <f t="shared" si="1"/>
        <v>0</v>
      </c>
      <c r="H44" s="88">
        <f>ROUND(H43+I44-MIN(N(Crédits!$E$5),H43+I44),2)</f>
        <v>0</v>
      </c>
      <c r="I44" s="89">
        <f>H43*N(Crédits!$D$5)/12</f>
        <v>0</v>
      </c>
      <c r="J44" s="90">
        <f t="shared" si="17"/>
        <v>0</v>
      </c>
      <c r="K44" s="90">
        <f>J44*N(Crédits!$D$6)/12</f>
        <v>0</v>
      </c>
      <c r="L44" s="90">
        <f>MIN(N(Crédits!$E$6),J44+K44)</f>
        <v>0</v>
      </c>
      <c r="M44" s="90">
        <f t="shared" si="2"/>
        <v>0</v>
      </c>
      <c r="N44" s="91">
        <f>IF(Crédits!$K$6="",0,MAX(0,MIN(M44,Plan!$L$46-(IF(Crédits!$K$5="",0,IF(Crédits!$K$5&lt;Crédits!$K$6,E44,0))+IF(Crédits!$K$7="",0,IF(Crédits!$K$7&lt;Crédits!$K$6,U44,0))+IF(Crédits!$K$8="",0,IF(Crédits!$K$8&lt;Crédits!$K$6,AC44,0))+IF(Crédits!$K$9="",0,IF(Crédits!$K$9&lt;Crédits!$K$6,AK44,0))+IF(Crédits!$K$10="",0,IF(Crédits!$K$10&lt;Crédits!$K$6,AS44,0))))))</f>
        <v>0</v>
      </c>
      <c r="O44" s="92">
        <f t="shared" si="3"/>
        <v>0</v>
      </c>
      <c r="P44" s="88">
        <f>ROUND(P43+Q44-MIN(N(Crédits!$E$6),P43+Q44),2)</f>
        <v>0</v>
      </c>
      <c r="Q44" s="89">
        <f>P43*N(Crédits!$D$6)/12</f>
        <v>0</v>
      </c>
      <c r="R44" s="93">
        <f t="shared" si="18"/>
        <v>0</v>
      </c>
      <c r="S44" s="93">
        <f>R44*N(Crédits!$D$7)/12</f>
        <v>0</v>
      </c>
      <c r="T44" s="93">
        <f>MIN(N(Crédits!$E$7),R44+S44)</f>
        <v>0</v>
      </c>
      <c r="U44" s="93">
        <f t="shared" si="4"/>
        <v>0</v>
      </c>
      <c r="V44" s="94">
        <f>IF(Crédits!$K$7="",0,MAX(0,MIN(U44,Plan!$L$46-(IF(Crédits!$K$5="",0,IF(Crédits!$K$5&lt;Crédits!$K$7,E44,0))+IF(Crédits!$K$6="",0,IF(Crédits!$K$6&lt;Crédits!$K$7,M44,0))+IF(Crédits!$K$8="",0,IF(Crédits!$K$8&lt;Crédits!$K$7,AC44,0))+IF(Crédits!$K$9="",0,IF(Crédits!$K$9&lt;Crédits!$K$7,AK44,0))+IF(Crédits!$K$10="",0,IF(Crédits!$K$10&lt;Crédits!$K$7,AS44,0))))))</f>
        <v>0</v>
      </c>
      <c r="W44" s="95">
        <f t="shared" si="5"/>
        <v>0</v>
      </c>
      <c r="X44" s="88">
        <f>ROUND(X43+Y44-MIN(N(Crédits!$E$7),X43+Y44),2)</f>
        <v>0</v>
      </c>
      <c r="Y44" s="89">
        <f>X43*N(Crédits!$D$7)/12</f>
        <v>0</v>
      </c>
      <c r="Z44" s="96">
        <f t="shared" si="19"/>
        <v>0</v>
      </c>
      <c r="AA44" s="96">
        <f>Z44*N(Crédits!$D$8)/12</f>
        <v>0</v>
      </c>
      <c r="AB44" s="96">
        <f>MIN(N(Crédits!$E$8),Z44+AA44)</f>
        <v>0</v>
      </c>
      <c r="AC44" s="96">
        <f t="shared" si="6"/>
        <v>0</v>
      </c>
      <c r="AD44" s="97">
        <f>IF(Crédits!$K$8="",0,MAX(0,MIN(AC44,Plan!$L$46-(IF(Crédits!$K$5="",0,IF(Crédits!$K$5&lt;Crédits!$K$8,E44,0))+IF(Crédits!$K$6="",0,IF(Crédits!$K$6&lt;Crédits!$K$8,M44,0))+IF(Crédits!$K$7="",0,IF(Crédits!$K$7&lt;Crédits!$K$8,U44,0))+IF(Crédits!$K$9="",0,IF(Crédits!$K$9&lt;Crédits!$K$8,AK44,0))+IF(Crédits!$K$10="",0,IF(Crédits!$K$10&lt;Crédits!$K$8,AS44,0))))))</f>
        <v>0</v>
      </c>
      <c r="AE44" s="98">
        <f t="shared" si="7"/>
        <v>0</v>
      </c>
      <c r="AF44" s="88">
        <f>ROUND(AF43+AG44-MIN(N(Crédits!$E$8),AF43+AG44),2)</f>
        <v>0</v>
      </c>
      <c r="AG44" s="89">
        <f>AF43*N(Crédits!$D$8)/12</f>
        <v>0</v>
      </c>
      <c r="AH44" s="99">
        <f t="shared" si="20"/>
        <v>0</v>
      </c>
      <c r="AI44" s="99">
        <f>AH44*N(Crédits!$D$9)/12</f>
        <v>0</v>
      </c>
      <c r="AJ44" s="99">
        <f>MIN(N(Crédits!$E$9),AH44+AI44)</f>
        <v>0</v>
      </c>
      <c r="AK44" s="99">
        <f t="shared" si="8"/>
        <v>0</v>
      </c>
      <c r="AL44" s="100">
        <f>IF(Crédits!$K$9="",0,MAX(0,MIN(AK44,Plan!$L$46-(IF(Crédits!$K$5="",0,IF(Crédits!$K$5&lt;Crédits!$K$9,E44,0))+IF(Crédits!$K$6="",0,IF(Crédits!$K$6&lt;Crédits!$K$9,M44,0))+IF(Crédits!$K$7="",0,IF(Crédits!$K$7&lt;Crédits!$K$9,U44,0))+IF(Crédits!$K$8="",0,IF(Crédits!$K$8&lt;Crédits!$K$9,AC44,0))+IF(Crédits!$K$10="",0,IF(Crédits!$K$10&lt;Crédits!$K$9,AS44,0))))))</f>
        <v>0</v>
      </c>
      <c r="AM44" s="101">
        <f t="shared" si="9"/>
        <v>0</v>
      </c>
      <c r="AN44" s="88">
        <f>ROUND(AN43+AO44-MIN(N(Crédits!$E$9),AN43+AO44),2)</f>
        <v>0</v>
      </c>
      <c r="AO44" s="89">
        <f>AN43*N(Crédits!$D$9)/12</f>
        <v>0</v>
      </c>
      <c r="AP44" s="102">
        <f t="shared" si="21"/>
        <v>0</v>
      </c>
      <c r="AQ44" s="102">
        <f>AP44*N(Crédits!$D$10)/12</f>
        <v>0</v>
      </c>
      <c r="AR44" s="102">
        <f>MIN(N(Crédits!$E$10),AP44+AQ44)</f>
        <v>0</v>
      </c>
      <c r="AS44" s="102">
        <f t="shared" si="10"/>
        <v>0</v>
      </c>
      <c r="AT44" s="103">
        <f>IF(Crédits!$K$10="",0,MAX(0,MIN(AS44,Plan!$L$46-(IF(Crédits!$K$5="",0,IF(Crédits!$K$5&lt;Crédits!$K$10,E44,0))+IF(Crédits!$K$6="",0,IF(Crédits!$K$6&lt;Crédits!$K$10,M44,0))+IF(Crédits!$K$7="",0,IF(Crédits!$K$7&lt;Crédits!$K$10,U44,0))+IF(Crédits!$K$8="",0,IF(Crédits!$K$8&lt;Crédits!$K$10,AC44,0))+IF(Crédits!$K$9="",0,IF(Crédits!$K$9&lt;Crédits!$K$10,AK44,0))))))</f>
        <v>0</v>
      </c>
      <c r="AU44" s="104">
        <f t="shared" si="11"/>
        <v>0</v>
      </c>
      <c r="AV44" s="88">
        <f>ROUND(AV43+AW44-MIN(N(Crédits!$E$10),AV43+AW44),2)</f>
        <v>0</v>
      </c>
      <c r="AW44" s="89">
        <f>AV43*N(Crédits!$D$10)/12</f>
        <v>0</v>
      </c>
      <c r="AX44" s="105">
        <f t="shared" si="12"/>
        <v>0</v>
      </c>
      <c r="AY44" s="105">
        <f t="shared" ref="AY44:AZ44" si="62">F44+N44+V44+AD44+AL44+AT44</f>
        <v>0</v>
      </c>
      <c r="AZ44" s="105">
        <f t="shared" si="62"/>
        <v>0</v>
      </c>
      <c r="BA44" s="105">
        <f t="shared" si="14"/>
        <v>0</v>
      </c>
      <c r="BB44" s="105">
        <f t="shared" si="15"/>
        <v>0</v>
      </c>
    </row>
    <row r="45" spans="1:54" ht="15" customHeight="1" x14ac:dyDescent="0.25">
      <c r="A45" s="2">
        <v>43</v>
      </c>
      <c r="B45" s="83">
        <f t="shared" si="16"/>
        <v>0</v>
      </c>
      <c r="C45" s="83">
        <f>B45*N(Crédits!$D$5)/12</f>
        <v>0</v>
      </c>
      <c r="D45" s="83">
        <f>MIN(N(Crédits!$E$5),B45+C45)</f>
        <v>0</v>
      </c>
      <c r="E45" s="83">
        <f t="shared" si="0"/>
        <v>0</v>
      </c>
      <c r="F45" s="86">
        <f>IF(Crédits!$K$5="",0,MAX(0,MIN(E45,Plan!$L$47-(IF(Crédits!$K$6="",0,IF(Crédits!$K$6&lt;Crédits!$K$5,M45,0))+IF(Crédits!$K$7="",0,IF(Crédits!$K$7&lt;Crédits!$K$5,U45,0))+IF(Crédits!$K$8="",0,IF(Crédits!$K$8&lt;Crédits!$K$5,AC45,0))+IF(Crédits!$K$9="",0,IF(Crédits!$K$9&lt;Crédits!$K$5,AK45,0))+IF(Crédits!$K$10="",0,IF(Crédits!$K$10&lt;Crédits!$K$5,AS45,0))))))</f>
        <v>0</v>
      </c>
      <c r="G45" s="87">
        <f t="shared" si="1"/>
        <v>0</v>
      </c>
      <c r="H45" s="88">
        <f>ROUND(H44+I45-MIN(N(Crédits!$E$5),H44+I45),2)</f>
        <v>0</v>
      </c>
      <c r="I45" s="89">
        <f>H44*N(Crédits!$D$5)/12</f>
        <v>0</v>
      </c>
      <c r="J45" s="90">
        <f t="shared" si="17"/>
        <v>0</v>
      </c>
      <c r="K45" s="90">
        <f>J45*N(Crédits!$D$6)/12</f>
        <v>0</v>
      </c>
      <c r="L45" s="90">
        <f>MIN(N(Crédits!$E$6),J45+K45)</f>
        <v>0</v>
      </c>
      <c r="M45" s="90">
        <f t="shared" si="2"/>
        <v>0</v>
      </c>
      <c r="N45" s="91">
        <f>IF(Crédits!$K$6="",0,MAX(0,MIN(M45,Plan!$L$47-(IF(Crédits!$K$5="",0,IF(Crédits!$K$5&lt;Crédits!$K$6,E45,0))+IF(Crédits!$K$7="",0,IF(Crédits!$K$7&lt;Crédits!$K$6,U45,0))+IF(Crédits!$K$8="",0,IF(Crédits!$K$8&lt;Crédits!$K$6,AC45,0))+IF(Crédits!$K$9="",0,IF(Crédits!$K$9&lt;Crédits!$K$6,AK45,0))+IF(Crédits!$K$10="",0,IF(Crédits!$K$10&lt;Crédits!$K$6,AS45,0))))))</f>
        <v>0</v>
      </c>
      <c r="O45" s="92">
        <f t="shared" si="3"/>
        <v>0</v>
      </c>
      <c r="P45" s="88">
        <f>ROUND(P44+Q45-MIN(N(Crédits!$E$6),P44+Q45),2)</f>
        <v>0</v>
      </c>
      <c r="Q45" s="89">
        <f>P44*N(Crédits!$D$6)/12</f>
        <v>0</v>
      </c>
      <c r="R45" s="93">
        <f t="shared" si="18"/>
        <v>0</v>
      </c>
      <c r="S45" s="93">
        <f>R45*N(Crédits!$D$7)/12</f>
        <v>0</v>
      </c>
      <c r="T45" s="93">
        <f>MIN(N(Crédits!$E$7),R45+S45)</f>
        <v>0</v>
      </c>
      <c r="U45" s="93">
        <f t="shared" si="4"/>
        <v>0</v>
      </c>
      <c r="V45" s="94">
        <f>IF(Crédits!$K$7="",0,MAX(0,MIN(U45,Plan!$L$47-(IF(Crédits!$K$5="",0,IF(Crédits!$K$5&lt;Crédits!$K$7,E45,0))+IF(Crédits!$K$6="",0,IF(Crédits!$K$6&lt;Crédits!$K$7,M45,0))+IF(Crédits!$K$8="",0,IF(Crédits!$K$8&lt;Crédits!$K$7,AC45,0))+IF(Crédits!$K$9="",0,IF(Crédits!$K$9&lt;Crédits!$K$7,AK45,0))+IF(Crédits!$K$10="",0,IF(Crédits!$K$10&lt;Crédits!$K$7,AS45,0))))))</f>
        <v>0</v>
      </c>
      <c r="W45" s="95">
        <f t="shared" si="5"/>
        <v>0</v>
      </c>
      <c r="X45" s="88">
        <f>ROUND(X44+Y45-MIN(N(Crédits!$E$7),X44+Y45),2)</f>
        <v>0</v>
      </c>
      <c r="Y45" s="89">
        <f>X44*N(Crédits!$D$7)/12</f>
        <v>0</v>
      </c>
      <c r="Z45" s="96">
        <f t="shared" si="19"/>
        <v>0</v>
      </c>
      <c r="AA45" s="96">
        <f>Z45*N(Crédits!$D$8)/12</f>
        <v>0</v>
      </c>
      <c r="AB45" s="96">
        <f>MIN(N(Crédits!$E$8),Z45+AA45)</f>
        <v>0</v>
      </c>
      <c r="AC45" s="96">
        <f t="shared" si="6"/>
        <v>0</v>
      </c>
      <c r="AD45" s="97">
        <f>IF(Crédits!$K$8="",0,MAX(0,MIN(AC45,Plan!$L$47-(IF(Crédits!$K$5="",0,IF(Crédits!$K$5&lt;Crédits!$K$8,E45,0))+IF(Crédits!$K$6="",0,IF(Crédits!$K$6&lt;Crédits!$K$8,M45,0))+IF(Crédits!$K$7="",0,IF(Crédits!$K$7&lt;Crédits!$K$8,U45,0))+IF(Crédits!$K$9="",0,IF(Crédits!$K$9&lt;Crédits!$K$8,AK45,0))+IF(Crédits!$K$10="",0,IF(Crédits!$K$10&lt;Crédits!$K$8,AS45,0))))))</f>
        <v>0</v>
      </c>
      <c r="AE45" s="98">
        <f t="shared" si="7"/>
        <v>0</v>
      </c>
      <c r="AF45" s="88">
        <f>ROUND(AF44+AG45-MIN(N(Crédits!$E$8),AF44+AG45),2)</f>
        <v>0</v>
      </c>
      <c r="AG45" s="89">
        <f>AF44*N(Crédits!$D$8)/12</f>
        <v>0</v>
      </c>
      <c r="AH45" s="99">
        <f t="shared" si="20"/>
        <v>0</v>
      </c>
      <c r="AI45" s="99">
        <f>AH45*N(Crédits!$D$9)/12</f>
        <v>0</v>
      </c>
      <c r="AJ45" s="99">
        <f>MIN(N(Crédits!$E$9),AH45+AI45)</f>
        <v>0</v>
      </c>
      <c r="AK45" s="99">
        <f t="shared" si="8"/>
        <v>0</v>
      </c>
      <c r="AL45" s="100">
        <f>IF(Crédits!$K$9="",0,MAX(0,MIN(AK45,Plan!$L$47-(IF(Crédits!$K$5="",0,IF(Crédits!$K$5&lt;Crédits!$K$9,E45,0))+IF(Crédits!$K$6="",0,IF(Crédits!$K$6&lt;Crédits!$K$9,M45,0))+IF(Crédits!$K$7="",0,IF(Crédits!$K$7&lt;Crédits!$K$9,U45,0))+IF(Crédits!$K$8="",0,IF(Crédits!$K$8&lt;Crédits!$K$9,AC45,0))+IF(Crédits!$K$10="",0,IF(Crédits!$K$10&lt;Crédits!$K$9,AS45,0))))))</f>
        <v>0</v>
      </c>
      <c r="AM45" s="101">
        <f t="shared" si="9"/>
        <v>0</v>
      </c>
      <c r="AN45" s="88">
        <f>ROUND(AN44+AO45-MIN(N(Crédits!$E$9),AN44+AO45),2)</f>
        <v>0</v>
      </c>
      <c r="AO45" s="89">
        <f>AN44*N(Crédits!$D$9)/12</f>
        <v>0</v>
      </c>
      <c r="AP45" s="102">
        <f t="shared" si="21"/>
        <v>0</v>
      </c>
      <c r="AQ45" s="102">
        <f>AP45*N(Crédits!$D$10)/12</f>
        <v>0</v>
      </c>
      <c r="AR45" s="102">
        <f>MIN(N(Crédits!$E$10),AP45+AQ45)</f>
        <v>0</v>
      </c>
      <c r="AS45" s="102">
        <f t="shared" si="10"/>
        <v>0</v>
      </c>
      <c r="AT45" s="103">
        <f>IF(Crédits!$K$10="",0,MAX(0,MIN(AS45,Plan!$L$47-(IF(Crédits!$K$5="",0,IF(Crédits!$K$5&lt;Crédits!$K$10,E45,0))+IF(Crédits!$K$6="",0,IF(Crédits!$K$6&lt;Crédits!$K$10,M45,0))+IF(Crédits!$K$7="",0,IF(Crédits!$K$7&lt;Crédits!$K$10,U45,0))+IF(Crédits!$K$8="",0,IF(Crédits!$K$8&lt;Crédits!$K$10,AC45,0))+IF(Crédits!$K$9="",0,IF(Crédits!$K$9&lt;Crédits!$K$10,AK45,0))))))</f>
        <v>0</v>
      </c>
      <c r="AU45" s="104">
        <f t="shared" si="11"/>
        <v>0</v>
      </c>
      <c r="AV45" s="88">
        <f>ROUND(AV44+AW45-MIN(N(Crédits!$E$10),AV44+AW45),2)</f>
        <v>0</v>
      </c>
      <c r="AW45" s="89">
        <f>AV44*N(Crédits!$D$10)/12</f>
        <v>0</v>
      </c>
      <c r="AX45" s="105">
        <f t="shared" si="12"/>
        <v>0</v>
      </c>
      <c r="AY45" s="105">
        <f t="shared" ref="AY45:AZ45" si="63">F45+N45+V45+AD45+AL45+AT45</f>
        <v>0</v>
      </c>
      <c r="AZ45" s="105">
        <f t="shared" si="63"/>
        <v>0</v>
      </c>
      <c r="BA45" s="105">
        <f t="shared" si="14"/>
        <v>0</v>
      </c>
      <c r="BB45" s="105">
        <f t="shared" si="15"/>
        <v>0</v>
      </c>
    </row>
    <row r="46" spans="1:54" ht="15" customHeight="1" x14ac:dyDescent="0.25">
      <c r="A46" s="2">
        <v>44</v>
      </c>
      <c r="B46" s="83">
        <f t="shared" si="16"/>
        <v>0</v>
      </c>
      <c r="C46" s="83">
        <f>B46*N(Crédits!$D$5)/12</f>
        <v>0</v>
      </c>
      <c r="D46" s="83">
        <f>MIN(N(Crédits!$E$5),B46+C46)</f>
        <v>0</v>
      </c>
      <c r="E46" s="83">
        <f t="shared" si="0"/>
        <v>0</v>
      </c>
      <c r="F46" s="86">
        <f>IF(Crédits!$K$5="",0,MAX(0,MIN(E46,Plan!$L$48-(IF(Crédits!$K$6="",0,IF(Crédits!$K$6&lt;Crédits!$K$5,M46,0))+IF(Crédits!$K$7="",0,IF(Crédits!$K$7&lt;Crédits!$K$5,U46,0))+IF(Crédits!$K$8="",0,IF(Crédits!$K$8&lt;Crédits!$K$5,AC46,0))+IF(Crédits!$K$9="",0,IF(Crédits!$K$9&lt;Crédits!$K$5,AK46,0))+IF(Crédits!$K$10="",0,IF(Crédits!$K$10&lt;Crédits!$K$5,AS46,0))))))</f>
        <v>0</v>
      </c>
      <c r="G46" s="87">
        <f t="shared" si="1"/>
        <v>0</v>
      </c>
      <c r="H46" s="88">
        <f>ROUND(H45+I46-MIN(N(Crédits!$E$5),H45+I46),2)</f>
        <v>0</v>
      </c>
      <c r="I46" s="89">
        <f>H45*N(Crédits!$D$5)/12</f>
        <v>0</v>
      </c>
      <c r="J46" s="90">
        <f t="shared" si="17"/>
        <v>0</v>
      </c>
      <c r="K46" s="90">
        <f>J46*N(Crédits!$D$6)/12</f>
        <v>0</v>
      </c>
      <c r="L46" s="90">
        <f>MIN(N(Crédits!$E$6),J46+K46)</f>
        <v>0</v>
      </c>
      <c r="M46" s="90">
        <f t="shared" si="2"/>
        <v>0</v>
      </c>
      <c r="N46" s="91">
        <f>IF(Crédits!$K$6="",0,MAX(0,MIN(M46,Plan!$L$48-(IF(Crédits!$K$5="",0,IF(Crédits!$K$5&lt;Crédits!$K$6,E46,0))+IF(Crédits!$K$7="",0,IF(Crédits!$K$7&lt;Crédits!$K$6,U46,0))+IF(Crédits!$K$8="",0,IF(Crédits!$K$8&lt;Crédits!$K$6,AC46,0))+IF(Crédits!$K$9="",0,IF(Crédits!$K$9&lt;Crédits!$K$6,AK46,0))+IF(Crédits!$K$10="",0,IF(Crédits!$K$10&lt;Crédits!$K$6,AS46,0))))))</f>
        <v>0</v>
      </c>
      <c r="O46" s="92">
        <f t="shared" si="3"/>
        <v>0</v>
      </c>
      <c r="P46" s="88">
        <f>ROUND(P45+Q46-MIN(N(Crédits!$E$6),P45+Q46),2)</f>
        <v>0</v>
      </c>
      <c r="Q46" s="89">
        <f>P45*N(Crédits!$D$6)/12</f>
        <v>0</v>
      </c>
      <c r="R46" s="93">
        <f t="shared" si="18"/>
        <v>0</v>
      </c>
      <c r="S46" s="93">
        <f>R46*N(Crédits!$D$7)/12</f>
        <v>0</v>
      </c>
      <c r="T46" s="93">
        <f>MIN(N(Crédits!$E$7),R46+S46)</f>
        <v>0</v>
      </c>
      <c r="U46" s="93">
        <f t="shared" si="4"/>
        <v>0</v>
      </c>
      <c r="V46" s="94">
        <f>IF(Crédits!$K$7="",0,MAX(0,MIN(U46,Plan!$L$48-(IF(Crédits!$K$5="",0,IF(Crédits!$K$5&lt;Crédits!$K$7,E46,0))+IF(Crédits!$K$6="",0,IF(Crédits!$K$6&lt;Crédits!$K$7,M46,0))+IF(Crédits!$K$8="",0,IF(Crédits!$K$8&lt;Crédits!$K$7,AC46,0))+IF(Crédits!$K$9="",0,IF(Crédits!$K$9&lt;Crédits!$K$7,AK46,0))+IF(Crédits!$K$10="",0,IF(Crédits!$K$10&lt;Crédits!$K$7,AS46,0))))))</f>
        <v>0</v>
      </c>
      <c r="W46" s="95">
        <f t="shared" si="5"/>
        <v>0</v>
      </c>
      <c r="X46" s="88">
        <f>ROUND(X45+Y46-MIN(N(Crédits!$E$7),X45+Y46),2)</f>
        <v>0</v>
      </c>
      <c r="Y46" s="89">
        <f>X45*N(Crédits!$D$7)/12</f>
        <v>0</v>
      </c>
      <c r="Z46" s="96">
        <f t="shared" si="19"/>
        <v>0</v>
      </c>
      <c r="AA46" s="96">
        <f>Z46*N(Crédits!$D$8)/12</f>
        <v>0</v>
      </c>
      <c r="AB46" s="96">
        <f>MIN(N(Crédits!$E$8),Z46+AA46)</f>
        <v>0</v>
      </c>
      <c r="AC46" s="96">
        <f t="shared" si="6"/>
        <v>0</v>
      </c>
      <c r="AD46" s="97">
        <f>IF(Crédits!$K$8="",0,MAX(0,MIN(AC46,Plan!$L$48-(IF(Crédits!$K$5="",0,IF(Crédits!$K$5&lt;Crédits!$K$8,E46,0))+IF(Crédits!$K$6="",0,IF(Crédits!$K$6&lt;Crédits!$K$8,M46,0))+IF(Crédits!$K$7="",0,IF(Crédits!$K$7&lt;Crédits!$K$8,U46,0))+IF(Crédits!$K$9="",0,IF(Crédits!$K$9&lt;Crédits!$K$8,AK46,0))+IF(Crédits!$K$10="",0,IF(Crédits!$K$10&lt;Crédits!$K$8,AS46,0))))))</f>
        <v>0</v>
      </c>
      <c r="AE46" s="98">
        <f t="shared" si="7"/>
        <v>0</v>
      </c>
      <c r="AF46" s="88">
        <f>ROUND(AF45+AG46-MIN(N(Crédits!$E$8),AF45+AG46),2)</f>
        <v>0</v>
      </c>
      <c r="AG46" s="89">
        <f>AF45*N(Crédits!$D$8)/12</f>
        <v>0</v>
      </c>
      <c r="AH46" s="99">
        <f t="shared" si="20"/>
        <v>0</v>
      </c>
      <c r="AI46" s="99">
        <f>AH46*N(Crédits!$D$9)/12</f>
        <v>0</v>
      </c>
      <c r="AJ46" s="99">
        <f>MIN(N(Crédits!$E$9),AH46+AI46)</f>
        <v>0</v>
      </c>
      <c r="AK46" s="99">
        <f t="shared" si="8"/>
        <v>0</v>
      </c>
      <c r="AL46" s="100">
        <f>IF(Crédits!$K$9="",0,MAX(0,MIN(AK46,Plan!$L$48-(IF(Crédits!$K$5="",0,IF(Crédits!$K$5&lt;Crédits!$K$9,E46,0))+IF(Crédits!$K$6="",0,IF(Crédits!$K$6&lt;Crédits!$K$9,M46,0))+IF(Crédits!$K$7="",0,IF(Crédits!$K$7&lt;Crédits!$K$9,U46,0))+IF(Crédits!$K$8="",0,IF(Crédits!$K$8&lt;Crédits!$K$9,AC46,0))+IF(Crédits!$K$10="",0,IF(Crédits!$K$10&lt;Crédits!$K$9,AS46,0))))))</f>
        <v>0</v>
      </c>
      <c r="AM46" s="101">
        <f t="shared" si="9"/>
        <v>0</v>
      </c>
      <c r="AN46" s="88">
        <f>ROUND(AN45+AO46-MIN(N(Crédits!$E$9),AN45+AO46),2)</f>
        <v>0</v>
      </c>
      <c r="AO46" s="89">
        <f>AN45*N(Crédits!$D$9)/12</f>
        <v>0</v>
      </c>
      <c r="AP46" s="102">
        <f t="shared" si="21"/>
        <v>0</v>
      </c>
      <c r="AQ46" s="102">
        <f>AP46*N(Crédits!$D$10)/12</f>
        <v>0</v>
      </c>
      <c r="AR46" s="102">
        <f>MIN(N(Crédits!$E$10),AP46+AQ46)</f>
        <v>0</v>
      </c>
      <c r="AS46" s="102">
        <f t="shared" si="10"/>
        <v>0</v>
      </c>
      <c r="AT46" s="103">
        <f>IF(Crédits!$K$10="",0,MAX(0,MIN(AS46,Plan!$L$48-(IF(Crédits!$K$5="",0,IF(Crédits!$K$5&lt;Crédits!$K$10,E46,0))+IF(Crédits!$K$6="",0,IF(Crédits!$K$6&lt;Crédits!$K$10,M46,0))+IF(Crédits!$K$7="",0,IF(Crédits!$K$7&lt;Crédits!$K$10,U46,0))+IF(Crédits!$K$8="",0,IF(Crédits!$K$8&lt;Crédits!$K$10,AC46,0))+IF(Crédits!$K$9="",0,IF(Crédits!$K$9&lt;Crédits!$K$10,AK46,0))))))</f>
        <v>0</v>
      </c>
      <c r="AU46" s="104">
        <f t="shared" si="11"/>
        <v>0</v>
      </c>
      <c r="AV46" s="88">
        <f>ROUND(AV45+AW46-MIN(N(Crédits!$E$10),AV45+AW46),2)</f>
        <v>0</v>
      </c>
      <c r="AW46" s="89">
        <f>AV45*N(Crédits!$D$10)/12</f>
        <v>0</v>
      </c>
      <c r="AX46" s="105">
        <f t="shared" si="12"/>
        <v>0</v>
      </c>
      <c r="AY46" s="105">
        <f t="shared" ref="AY46:AZ46" si="64">F46+N46+V46+AD46+AL46+AT46</f>
        <v>0</v>
      </c>
      <c r="AZ46" s="105">
        <f t="shared" si="64"/>
        <v>0</v>
      </c>
      <c r="BA46" s="105">
        <f t="shared" si="14"/>
        <v>0</v>
      </c>
      <c r="BB46" s="105">
        <f t="shared" si="15"/>
        <v>0</v>
      </c>
    </row>
    <row r="47" spans="1:54" ht="15" customHeight="1" x14ac:dyDescent="0.25">
      <c r="A47" s="2">
        <v>45</v>
      </c>
      <c r="B47" s="83">
        <f t="shared" si="16"/>
        <v>0</v>
      </c>
      <c r="C47" s="83">
        <f>B47*N(Crédits!$D$5)/12</f>
        <v>0</v>
      </c>
      <c r="D47" s="83">
        <f>MIN(N(Crédits!$E$5),B47+C47)</f>
        <v>0</v>
      </c>
      <c r="E47" s="83">
        <f t="shared" si="0"/>
        <v>0</v>
      </c>
      <c r="F47" s="86">
        <f>IF(Crédits!$K$5="",0,MAX(0,MIN(E47,Plan!$L$49-(IF(Crédits!$K$6="",0,IF(Crédits!$K$6&lt;Crédits!$K$5,M47,0))+IF(Crédits!$K$7="",0,IF(Crédits!$K$7&lt;Crédits!$K$5,U47,0))+IF(Crédits!$K$8="",0,IF(Crédits!$K$8&lt;Crédits!$K$5,AC47,0))+IF(Crédits!$K$9="",0,IF(Crédits!$K$9&lt;Crédits!$K$5,AK47,0))+IF(Crédits!$K$10="",0,IF(Crédits!$K$10&lt;Crédits!$K$5,AS47,0))))))</f>
        <v>0</v>
      </c>
      <c r="G47" s="87">
        <f t="shared" si="1"/>
        <v>0</v>
      </c>
      <c r="H47" s="88">
        <f>ROUND(H46+I47-MIN(N(Crédits!$E$5),H46+I47),2)</f>
        <v>0</v>
      </c>
      <c r="I47" s="89">
        <f>H46*N(Crédits!$D$5)/12</f>
        <v>0</v>
      </c>
      <c r="J47" s="90">
        <f t="shared" si="17"/>
        <v>0</v>
      </c>
      <c r="K47" s="90">
        <f>J47*N(Crédits!$D$6)/12</f>
        <v>0</v>
      </c>
      <c r="L47" s="90">
        <f>MIN(N(Crédits!$E$6),J47+K47)</f>
        <v>0</v>
      </c>
      <c r="M47" s="90">
        <f t="shared" si="2"/>
        <v>0</v>
      </c>
      <c r="N47" s="91">
        <f>IF(Crédits!$K$6="",0,MAX(0,MIN(M47,Plan!$L$49-(IF(Crédits!$K$5="",0,IF(Crédits!$K$5&lt;Crédits!$K$6,E47,0))+IF(Crédits!$K$7="",0,IF(Crédits!$K$7&lt;Crédits!$K$6,U47,0))+IF(Crédits!$K$8="",0,IF(Crédits!$K$8&lt;Crédits!$K$6,AC47,0))+IF(Crédits!$K$9="",0,IF(Crédits!$K$9&lt;Crédits!$K$6,AK47,0))+IF(Crédits!$K$10="",0,IF(Crédits!$K$10&lt;Crédits!$K$6,AS47,0))))))</f>
        <v>0</v>
      </c>
      <c r="O47" s="92">
        <f t="shared" si="3"/>
        <v>0</v>
      </c>
      <c r="P47" s="88">
        <f>ROUND(P46+Q47-MIN(N(Crédits!$E$6),P46+Q47),2)</f>
        <v>0</v>
      </c>
      <c r="Q47" s="89">
        <f>P46*N(Crédits!$D$6)/12</f>
        <v>0</v>
      </c>
      <c r="R47" s="93">
        <f t="shared" si="18"/>
        <v>0</v>
      </c>
      <c r="S47" s="93">
        <f>R47*N(Crédits!$D$7)/12</f>
        <v>0</v>
      </c>
      <c r="T47" s="93">
        <f>MIN(N(Crédits!$E$7),R47+S47)</f>
        <v>0</v>
      </c>
      <c r="U47" s="93">
        <f t="shared" si="4"/>
        <v>0</v>
      </c>
      <c r="V47" s="94">
        <f>IF(Crédits!$K$7="",0,MAX(0,MIN(U47,Plan!$L$49-(IF(Crédits!$K$5="",0,IF(Crédits!$K$5&lt;Crédits!$K$7,E47,0))+IF(Crédits!$K$6="",0,IF(Crédits!$K$6&lt;Crédits!$K$7,M47,0))+IF(Crédits!$K$8="",0,IF(Crédits!$K$8&lt;Crédits!$K$7,AC47,0))+IF(Crédits!$K$9="",0,IF(Crédits!$K$9&lt;Crédits!$K$7,AK47,0))+IF(Crédits!$K$10="",0,IF(Crédits!$K$10&lt;Crédits!$K$7,AS47,0))))))</f>
        <v>0</v>
      </c>
      <c r="W47" s="95">
        <f t="shared" si="5"/>
        <v>0</v>
      </c>
      <c r="X47" s="88">
        <f>ROUND(X46+Y47-MIN(N(Crédits!$E$7),X46+Y47),2)</f>
        <v>0</v>
      </c>
      <c r="Y47" s="89">
        <f>X46*N(Crédits!$D$7)/12</f>
        <v>0</v>
      </c>
      <c r="Z47" s="96">
        <f t="shared" si="19"/>
        <v>0</v>
      </c>
      <c r="AA47" s="96">
        <f>Z47*N(Crédits!$D$8)/12</f>
        <v>0</v>
      </c>
      <c r="AB47" s="96">
        <f>MIN(N(Crédits!$E$8),Z47+AA47)</f>
        <v>0</v>
      </c>
      <c r="AC47" s="96">
        <f t="shared" si="6"/>
        <v>0</v>
      </c>
      <c r="AD47" s="97">
        <f>IF(Crédits!$K$8="",0,MAX(0,MIN(AC47,Plan!$L$49-(IF(Crédits!$K$5="",0,IF(Crédits!$K$5&lt;Crédits!$K$8,E47,0))+IF(Crédits!$K$6="",0,IF(Crédits!$K$6&lt;Crédits!$K$8,M47,0))+IF(Crédits!$K$7="",0,IF(Crédits!$K$7&lt;Crédits!$K$8,U47,0))+IF(Crédits!$K$9="",0,IF(Crédits!$K$9&lt;Crédits!$K$8,AK47,0))+IF(Crédits!$K$10="",0,IF(Crédits!$K$10&lt;Crédits!$K$8,AS47,0))))))</f>
        <v>0</v>
      </c>
      <c r="AE47" s="98">
        <f t="shared" si="7"/>
        <v>0</v>
      </c>
      <c r="AF47" s="88">
        <f>ROUND(AF46+AG47-MIN(N(Crédits!$E$8),AF46+AG47),2)</f>
        <v>0</v>
      </c>
      <c r="AG47" s="89">
        <f>AF46*N(Crédits!$D$8)/12</f>
        <v>0</v>
      </c>
      <c r="AH47" s="99">
        <f t="shared" si="20"/>
        <v>0</v>
      </c>
      <c r="AI47" s="99">
        <f>AH47*N(Crédits!$D$9)/12</f>
        <v>0</v>
      </c>
      <c r="AJ47" s="99">
        <f>MIN(N(Crédits!$E$9),AH47+AI47)</f>
        <v>0</v>
      </c>
      <c r="AK47" s="99">
        <f t="shared" si="8"/>
        <v>0</v>
      </c>
      <c r="AL47" s="100">
        <f>IF(Crédits!$K$9="",0,MAX(0,MIN(AK47,Plan!$L$49-(IF(Crédits!$K$5="",0,IF(Crédits!$K$5&lt;Crédits!$K$9,E47,0))+IF(Crédits!$K$6="",0,IF(Crédits!$K$6&lt;Crédits!$K$9,M47,0))+IF(Crédits!$K$7="",0,IF(Crédits!$K$7&lt;Crédits!$K$9,U47,0))+IF(Crédits!$K$8="",0,IF(Crédits!$K$8&lt;Crédits!$K$9,AC47,0))+IF(Crédits!$K$10="",0,IF(Crédits!$K$10&lt;Crédits!$K$9,AS47,0))))))</f>
        <v>0</v>
      </c>
      <c r="AM47" s="101">
        <f t="shared" si="9"/>
        <v>0</v>
      </c>
      <c r="AN47" s="88">
        <f>ROUND(AN46+AO47-MIN(N(Crédits!$E$9),AN46+AO47),2)</f>
        <v>0</v>
      </c>
      <c r="AO47" s="89">
        <f>AN46*N(Crédits!$D$9)/12</f>
        <v>0</v>
      </c>
      <c r="AP47" s="102">
        <f t="shared" si="21"/>
        <v>0</v>
      </c>
      <c r="AQ47" s="102">
        <f>AP47*N(Crédits!$D$10)/12</f>
        <v>0</v>
      </c>
      <c r="AR47" s="102">
        <f>MIN(N(Crédits!$E$10),AP47+AQ47)</f>
        <v>0</v>
      </c>
      <c r="AS47" s="102">
        <f t="shared" si="10"/>
        <v>0</v>
      </c>
      <c r="AT47" s="103">
        <f>IF(Crédits!$K$10="",0,MAX(0,MIN(AS47,Plan!$L$49-(IF(Crédits!$K$5="",0,IF(Crédits!$K$5&lt;Crédits!$K$10,E47,0))+IF(Crédits!$K$6="",0,IF(Crédits!$K$6&lt;Crédits!$K$10,M47,0))+IF(Crédits!$K$7="",0,IF(Crédits!$K$7&lt;Crédits!$K$10,U47,0))+IF(Crédits!$K$8="",0,IF(Crédits!$K$8&lt;Crédits!$K$10,AC47,0))+IF(Crédits!$K$9="",0,IF(Crédits!$K$9&lt;Crédits!$K$10,AK47,0))))))</f>
        <v>0</v>
      </c>
      <c r="AU47" s="104">
        <f t="shared" si="11"/>
        <v>0</v>
      </c>
      <c r="AV47" s="88">
        <f>ROUND(AV46+AW47-MIN(N(Crédits!$E$10),AV46+AW47),2)</f>
        <v>0</v>
      </c>
      <c r="AW47" s="89">
        <f>AV46*N(Crédits!$D$10)/12</f>
        <v>0</v>
      </c>
      <c r="AX47" s="105">
        <f t="shared" si="12"/>
        <v>0</v>
      </c>
      <c r="AY47" s="105">
        <f t="shared" ref="AY47:AZ47" si="65">F47+N47+V47+AD47+AL47+AT47</f>
        <v>0</v>
      </c>
      <c r="AZ47" s="105">
        <f t="shared" si="65"/>
        <v>0</v>
      </c>
      <c r="BA47" s="105">
        <f t="shared" si="14"/>
        <v>0</v>
      </c>
      <c r="BB47" s="105">
        <f t="shared" si="15"/>
        <v>0</v>
      </c>
    </row>
    <row r="48" spans="1:54" ht="15" customHeight="1" x14ac:dyDescent="0.25">
      <c r="A48" s="2">
        <v>46</v>
      </c>
      <c r="B48" s="83">
        <f t="shared" si="16"/>
        <v>0</v>
      </c>
      <c r="C48" s="83">
        <f>B48*N(Crédits!$D$5)/12</f>
        <v>0</v>
      </c>
      <c r="D48" s="83">
        <f>MIN(N(Crédits!$E$5),B48+C48)</f>
        <v>0</v>
      </c>
      <c r="E48" s="83">
        <f t="shared" si="0"/>
        <v>0</v>
      </c>
      <c r="F48" s="86">
        <f>IF(Crédits!$K$5="",0,MAX(0,MIN(E48,Plan!$L$50-(IF(Crédits!$K$6="",0,IF(Crédits!$K$6&lt;Crédits!$K$5,M48,0))+IF(Crédits!$K$7="",0,IF(Crédits!$K$7&lt;Crédits!$K$5,U48,0))+IF(Crédits!$K$8="",0,IF(Crédits!$K$8&lt;Crédits!$K$5,AC48,0))+IF(Crédits!$K$9="",0,IF(Crédits!$K$9&lt;Crédits!$K$5,AK48,0))+IF(Crédits!$K$10="",0,IF(Crédits!$K$10&lt;Crédits!$K$5,AS48,0))))))</f>
        <v>0</v>
      </c>
      <c r="G48" s="87">
        <f t="shared" si="1"/>
        <v>0</v>
      </c>
      <c r="H48" s="88">
        <f>ROUND(H47+I48-MIN(N(Crédits!$E$5),H47+I48),2)</f>
        <v>0</v>
      </c>
      <c r="I48" s="89">
        <f>H47*N(Crédits!$D$5)/12</f>
        <v>0</v>
      </c>
      <c r="J48" s="90">
        <f t="shared" si="17"/>
        <v>0</v>
      </c>
      <c r="K48" s="90">
        <f>J48*N(Crédits!$D$6)/12</f>
        <v>0</v>
      </c>
      <c r="L48" s="90">
        <f>MIN(N(Crédits!$E$6),J48+K48)</f>
        <v>0</v>
      </c>
      <c r="M48" s="90">
        <f t="shared" si="2"/>
        <v>0</v>
      </c>
      <c r="N48" s="91">
        <f>IF(Crédits!$K$6="",0,MAX(0,MIN(M48,Plan!$L$50-(IF(Crédits!$K$5="",0,IF(Crédits!$K$5&lt;Crédits!$K$6,E48,0))+IF(Crédits!$K$7="",0,IF(Crédits!$K$7&lt;Crédits!$K$6,U48,0))+IF(Crédits!$K$8="",0,IF(Crédits!$K$8&lt;Crédits!$K$6,AC48,0))+IF(Crédits!$K$9="",0,IF(Crédits!$K$9&lt;Crédits!$K$6,AK48,0))+IF(Crédits!$K$10="",0,IF(Crédits!$K$10&lt;Crédits!$K$6,AS48,0))))))</f>
        <v>0</v>
      </c>
      <c r="O48" s="92">
        <f t="shared" si="3"/>
        <v>0</v>
      </c>
      <c r="P48" s="88">
        <f>ROUND(P47+Q48-MIN(N(Crédits!$E$6),P47+Q48),2)</f>
        <v>0</v>
      </c>
      <c r="Q48" s="89">
        <f>P47*N(Crédits!$D$6)/12</f>
        <v>0</v>
      </c>
      <c r="R48" s="93">
        <f t="shared" si="18"/>
        <v>0</v>
      </c>
      <c r="S48" s="93">
        <f>R48*N(Crédits!$D$7)/12</f>
        <v>0</v>
      </c>
      <c r="T48" s="93">
        <f>MIN(N(Crédits!$E$7),R48+S48)</f>
        <v>0</v>
      </c>
      <c r="U48" s="93">
        <f t="shared" si="4"/>
        <v>0</v>
      </c>
      <c r="V48" s="94">
        <f>IF(Crédits!$K$7="",0,MAX(0,MIN(U48,Plan!$L$50-(IF(Crédits!$K$5="",0,IF(Crédits!$K$5&lt;Crédits!$K$7,E48,0))+IF(Crédits!$K$6="",0,IF(Crédits!$K$6&lt;Crédits!$K$7,M48,0))+IF(Crédits!$K$8="",0,IF(Crédits!$K$8&lt;Crédits!$K$7,AC48,0))+IF(Crédits!$K$9="",0,IF(Crédits!$K$9&lt;Crédits!$K$7,AK48,0))+IF(Crédits!$K$10="",0,IF(Crédits!$K$10&lt;Crédits!$K$7,AS48,0))))))</f>
        <v>0</v>
      </c>
      <c r="W48" s="95">
        <f t="shared" si="5"/>
        <v>0</v>
      </c>
      <c r="X48" s="88">
        <f>ROUND(X47+Y48-MIN(N(Crédits!$E$7),X47+Y48),2)</f>
        <v>0</v>
      </c>
      <c r="Y48" s="89">
        <f>X47*N(Crédits!$D$7)/12</f>
        <v>0</v>
      </c>
      <c r="Z48" s="96">
        <f t="shared" si="19"/>
        <v>0</v>
      </c>
      <c r="AA48" s="96">
        <f>Z48*N(Crédits!$D$8)/12</f>
        <v>0</v>
      </c>
      <c r="AB48" s="96">
        <f>MIN(N(Crédits!$E$8),Z48+AA48)</f>
        <v>0</v>
      </c>
      <c r="AC48" s="96">
        <f t="shared" si="6"/>
        <v>0</v>
      </c>
      <c r="AD48" s="97">
        <f>IF(Crédits!$K$8="",0,MAX(0,MIN(AC48,Plan!$L$50-(IF(Crédits!$K$5="",0,IF(Crédits!$K$5&lt;Crédits!$K$8,E48,0))+IF(Crédits!$K$6="",0,IF(Crédits!$K$6&lt;Crédits!$K$8,M48,0))+IF(Crédits!$K$7="",0,IF(Crédits!$K$7&lt;Crédits!$K$8,U48,0))+IF(Crédits!$K$9="",0,IF(Crédits!$K$9&lt;Crédits!$K$8,AK48,0))+IF(Crédits!$K$10="",0,IF(Crédits!$K$10&lt;Crédits!$K$8,AS48,0))))))</f>
        <v>0</v>
      </c>
      <c r="AE48" s="98">
        <f t="shared" si="7"/>
        <v>0</v>
      </c>
      <c r="AF48" s="88">
        <f>ROUND(AF47+AG48-MIN(N(Crédits!$E$8),AF47+AG48),2)</f>
        <v>0</v>
      </c>
      <c r="AG48" s="89">
        <f>AF47*N(Crédits!$D$8)/12</f>
        <v>0</v>
      </c>
      <c r="AH48" s="99">
        <f t="shared" si="20"/>
        <v>0</v>
      </c>
      <c r="AI48" s="99">
        <f>AH48*N(Crédits!$D$9)/12</f>
        <v>0</v>
      </c>
      <c r="AJ48" s="99">
        <f>MIN(N(Crédits!$E$9),AH48+AI48)</f>
        <v>0</v>
      </c>
      <c r="AK48" s="99">
        <f t="shared" si="8"/>
        <v>0</v>
      </c>
      <c r="AL48" s="100">
        <f>IF(Crédits!$K$9="",0,MAX(0,MIN(AK48,Plan!$L$50-(IF(Crédits!$K$5="",0,IF(Crédits!$K$5&lt;Crédits!$K$9,E48,0))+IF(Crédits!$K$6="",0,IF(Crédits!$K$6&lt;Crédits!$K$9,M48,0))+IF(Crédits!$K$7="",0,IF(Crédits!$K$7&lt;Crédits!$K$9,U48,0))+IF(Crédits!$K$8="",0,IF(Crédits!$K$8&lt;Crédits!$K$9,AC48,0))+IF(Crédits!$K$10="",0,IF(Crédits!$K$10&lt;Crédits!$K$9,AS48,0))))))</f>
        <v>0</v>
      </c>
      <c r="AM48" s="101">
        <f t="shared" si="9"/>
        <v>0</v>
      </c>
      <c r="AN48" s="88">
        <f>ROUND(AN47+AO48-MIN(N(Crédits!$E$9),AN47+AO48),2)</f>
        <v>0</v>
      </c>
      <c r="AO48" s="89">
        <f>AN47*N(Crédits!$D$9)/12</f>
        <v>0</v>
      </c>
      <c r="AP48" s="102">
        <f t="shared" si="21"/>
        <v>0</v>
      </c>
      <c r="AQ48" s="102">
        <f>AP48*N(Crédits!$D$10)/12</f>
        <v>0</v>
      </c>
      <c r="AR48" s="102">
        <f>MIN(N(Crédits!$E$10),AP48+AQ48)</f>
        <v>0</v>
      </c>
      <c r="AS48" s="102">
        <f t="shared" si="10"/>
        <v>0</v>
      </c>
      <c r="AT48" s="103">
        <f>IF(Crédits!$K$10="",0,MAX(0,MIN(AS48,Plan!$L$50-(IF(Crédits!$K$5="",0,IF(Crédits!$K$5&lt;Crédits!$K$10,E48,0))+IF(Crédits!$K$6="",0,IF(Crédits!$K$6&lt;Crédits!$K$10,M48,0))+IF(Crédits!$K$7="",0,IF(Crédits!$K$7&lt;Crédits!$K$10,U48,0))+IF(Crédits!$K$8="",0,IF(Crédits!$K$8&lt;Crédits!$K$10,AC48,0))+IF(Crédits!$K$9="",0,IF(Crédits!$K$9&lt;Crédits!$K$10,AK48,0))))))</f>
        <v>0</v>
      </c>
      <c r="AU48" s="104">
        <f t="shared" si="11"/>
        <v>0</v>
      </c>
      <c r="AV48" s="88">
        <f>ROUND(AV47+AW48-MIN(N(Crédits!$E$10),AV47+AW48),2)</f>
        <v>0</v>
      </c>
      <c r="AW48" s="89">
        <f>AV47*N(Crédits!$D$10)/12</f>
        <v>0</v>
      </c>
      <c r="AX48" s="105">
        <f t="shared" si="12"/>
        <v>0</v>
      </c>
      <c r="AY48" s="105">
        <f t="shared" ref="AY48:AZ48" si="66">F48+N48+V48+AD48+AL48+AT48</f>
        <v>0</v>
      </c>
      <c r="AZ48" s="105">
        <f t="shared" si="66"/>
        <v>0</v>
      </c>
      <c r="BA48" s="105">
        <f t="shared" si="14"/>
        <v>0</v>
      </c>
      <c r="BB48" s="105">
        <f t="shared" si="15"/>
        <v>0</v>
      </c>
    </row>
    <row r="49" spans="1:54" ht="15" customHeight="1" x14ac:dyDescent="0.25">
      <c r="A49" s="2">
        <v>47</v>
      </c>
      <c r="B49" s="83">
        <f t="shared" si="16"/>
        <v>0</v>
      </c>
      <c r="C49" s="83">
        <f>B49*N(Crédits!$D$5)/12</f>
        <v>0</v>
      </c>
      <c r="D49" s="83">
        <f>MIN(N(Crédits!$E$5),B49+C49)</f>
        <v>0</v>
      </c>
      <c r="E49" s="83">
        <f t="shared" si="0"/>
        <v>0</v>
      </c>
      <c r="F49" s="86">
        <f>IF(Crédits!$K$5="",0,MAX(0,MIN(E49,Plan!$L$51-(IF(Crédits!$K$6="",0,IF(Crédits!$K$6&lt;Crédits!$K$5,M49,0))+IF(Crédits!$K$7="",0,IF(Crédits!$K$7&lt;Crédits!$K$5,U49,0))+IF(Crédits!$K$8="",0,IF(Crédits!$K$8&lt;Crédits!$K$5,AC49,0))+IF(Crédits!$K$9="",0,IF(Crédits!$K$9&lt;Crédits!$K$5,AK49,0))+IF(Crédits!$K$10="",0,IF(Crédits!$K$10&lt;Crédits!$K$5,AS49,0))))))</f>
        <v>0</v>
      </c>
      <c r="G49" s="87">
        <f t="shared" si="1"/>
        <v>0</v>
      </c>
      <c r="H49" s="88">
        <f>ROUND(H48+I49-MIN(N(Crédits!$E$5),H48+I49),2)</f>
        <v>0</v>
      </c>
      <c r="I49" s="89">
        <f>H48*N(Crédits!$D$5)/12</f>
        <v>0</v>
      </c>
      <c r="J49" s="90">
        <f t="shared" si="17"/>
        <v>0</v>
      </c>
      <c r="K49" s="90">
        <f>J49*N(Crédits!$D$6)/12</f>
        <v>0</v>
      </c>
      <c r="L49" s="90">
        <f>MIN(N(Crédits!$E$6),J49+K49)</f>
        <v>0</v>
      </c>
      <c r="M49" s="90">
        <f t="shared" si="2"/>
        <v>0</v>
      </c>
      <c r="N49" s="91">
        <f>IF(Crédits!$K$6="",0,MAX(0,MIN(M49,Plan!$L$51-(IF(Crédits!$K$5="",0,IF(Crédits!$K$5&lt;Crédits!$K$6,E49,0))+IF(Crédits!$K$7="",0,IF(Crédits!$K$7&lt;Crédits!$K$6,U49,0))+IF(Crédits!$K$8="",0,IF(Crédits!$K$8&lt;Crédits!$K$6,AC49,0))+IF(Crédits!$K$9="",0,IF(Crédits!$K$9&lt;Crédits!$K$6,AK49,0))+IF(Crédits!$K$10="",0,IF(Crédits!$K$10&lt;Crédits!$K$6,AS49,0))))))</f>
        <v>0</v>
      </c>
      <c r="O49" s="92">
        <f t="shared" si="3"/>
        <v>0</v>
      </c>
      <c r="P49" s="88">
        <f>ROUND(P48+Q49-MIN(N(Crédits!$E$6),P48+Q49),2)</f>
        <v>0</v>
      </c>
      <c r="Q49" s="89">
        <f>P48*N(Crédits!$D$6)/12</f>
        <v>0</v>
      </c>
      <c r="R49" s="93">
        <f t="shared" si="18"/>
        <v>0</v>
      </c>
      <c r="S49" s="93">
        <f>R49*N(Crédits!$D$7)/12</f>
        <v>0</v>
      </c>
      <c r="T49" s="93">
        <f>MIN(N(Crédits!$E$7),R49+S49)</f>
        <v>0</v>
      </c>
      <c r="U49" s="93">
        <f t="shared" si="4"/>
        <v>0</v>
      </c>
      <c r="V49" s="94">
        <f>IF(Crédits!$K$7="",0,MAX(0,MIN(U49,Plan!$L$51-(IF(Crédits!$K$5="",0,IF(Crédits!$K$5&lt;Crédits!$K$7,E49,0))+IF(Crédits!$K$6="",0,IF(Crédits!$K$6&lt;Crédits!$K$7,M49,0))+IF(Crédits!$K$8="",0,IF(Crédits!$K$8&lt;Crédits!$K$7,AC49,0))+IF(Crédits!$K$9="",0,IF(Crédits!$K$9&lt;Crédits!$K$7,AK49,0))+IF(Crédits!$K$10="",0,IF(Crédits!$K$10&lt;Crédits!$K$7,AS49,0))))))</f>
        <v>0</v>
      </c>
      <c r="W49" s="95">
        <f t="shared" si="5"/>
        <v>0</v>
      </c>
      <c r="X49" s="88">
        <f>ROUND(X48+Y49-MIN(N(Crédits!$E$7),X48+Y49),2)</f>
        <v>0</v>
      </c>
      <c r="Y49" s="89">
        <f>X48*N(Crédits!$D$7)/12</f>
        <v>0</v>
      </c>
      <c r="Z49" s="96">
        <f t="shared" si="19"/>
        <v>0</v>
      </c>
      <c r="AA49" s="96">
        <f>Z49*N(Crédits!$D$8)/12</f>
        <v>0</v>
      </c>
      <c r="AB49" s="96">
        <f>MIN(N(Crédits!$E$8),Z49+AA49)</f>
        <v>0</v>
      </c>
      <c r="AC49" s="96">
        <f t="shared" si="6"/>
        <v>0</v>
      </c>
      <c r="AD49" s="97">
        <f>IF(Crédits!$K$8="",0,MAX(0,MIN(AC49,Plan!$L$51-(IF(Crédits!$K$5="",0,IF(Crédits!$K$5&lt;Crédits!$K$8,E49,0))+IF(Crédits!$K$6="",0,IF(Crédits!$K$6&lt;Crédits!$K$8,M49,0))+IF(Crédits!$K$7="",0,IF(Crédits!$K$7&lt;Crédits!$K$8,U49,0))+IF(Crédits!$K$9="",0,IF(Crédits!$K$9&lt;Crédits!$K$8,AK49,0))+IF(Crédits!$K$10="",0,IF(Crédits!$K$10&lt;Crédits!$K$8,AS49,0))))))</f>
        <v>0</v>
      </c>
      <c r="AE49" s="98">
        <f t="shared" si="7"/>
        <v>0</v>
      </c>
      <c r="AF49" s="88">
        <f>ROUND(AF48+AG49-MIN(N(Crédits!$E$8),AF48+AG49),2)</f>
        <v>0</v>
      </c>
      <c r="AG49" s="89">
        <f>AF48*N(Crédits!$D$8)/12</f>
        <v>0</v>
      </c>
      <c r="AH49" s="99">
        <f t="shared" si="20"/>
        <v>0</v>
      </c>
      <c r="AI49" s="99">
        <f>AH49*N(Crédits!$D$9)/12</f>
        <v>0</v>
      </c>
      <c r="AJ49" s="99">
        <f>MIN(N(Crédits!$E$9),AH49+AI49)</f>
        <v>0</v>
      </c>
      <c r="AK49" s="99">
        <f t="shared" si="8"/>
        <v>0</v>
      </c>
      <c r="AL49" s="100">
        <f>IF(Crédits!$K$9="",0,MAX(0,MIN(AK49,Plan!$L$51-(IF(Crédits!$K$5="",0,IF(Crédits!$K$5&lt;Crédits!$K$9,E49,0))+IF(Crédits!$K$6="",0,IF(Crédits!$K$6&lt;Crédits!$K$9,M49,0))+IF(Crédits!$K$7="",0,IF(Crédits!$K$7&lt;Crédits!$K$9,U49,0))+IF(Crédits!$K$8="",0,IF(Crédits!$K$8&lt;Crédits!$K$9,AC49,0))+IF(Crédits!$K$10="",0,IF(Crédits!$K$10&lt;Crédits!$K$9,AS49,0))))))</f>
        <v>0</v>
      </c>
      <c r="AM49" s="101">
        <f t="shared" si="9"/>
        <v>0</v>
      </c>
      <c r="AN49" s="88">
        <f>ROUND(AN48+AO49-MIN(N(Crédits!$E$9),AN48+AO49),2)</f>
        <v>0</v>
      </c>
      <c r="AO49" s="89">
        <f>AN48*N(Crédits!$D$9)/12</f>
        <v>0</v>
      </c>
      <c r="AP49" s="102">
        <f t="shared" si="21"/>
        <v>0</v>
      </c>
      <c r="AQ49" s="102">
        <f>AP49*N(Crédits!$D$10)/12</f>
        <v>0</v>
      </c>
      <c r="AR49" s="102">
        <f>MIN(N(Crédits!$E$10),AP49+AQ49)</f>
        <v>0</v>
      </c>
      <c r="AS49" s="102">
        <f t="shared" si="10"/>
        <v>0</v>
      </c>
      <c r="AT49" s="103">
        <f>IF(Crédits!$K$10="",0,MAX(0,MIN(AS49,Plan!$L$51-(IF(Crédits!$K$5="",0,IF(Crédits!$K$5&lt;Crédits!$K$10,E49,0))+IF(Crédits!$K$6="",0,IF(Crédits!$K$6&lt;Crédits!$K$10,M49,0))+IF(Crédits!$K$7="",0,IF(Crédits!$K$7&lt;Crédits!$K$10,U49,0))+IF(Crédits!$K$8="",0,IF(Crédits!$K$8&lt;Crédits!$K$10,AC49,0))+IF(Crédits!$K$9="",0,IF(Crédits!$K$9&lt;Crédits!$K$10,AK49,0))))))</f>
        <v>0</v>
      </c>
      <c r="AU49" s="104">
        <f t="shared" si="11"/>
        <v>0</v>
      </c>
      <c r="AV49" s="88">
        <f>ROUND(AV48+AW49-MIN(N(Crédits!$E$10),AV48+AW49),2)</f>
        <v>0</v>
      </c>
      <c r="AW49" s="89">
        <f>AV48*N(Crédits!$D$10)/12</f>
        <v>0</v>
      </c>
      <c r="AX49" s="105">
        <f t="shared" si="12"/>
        <v>0</v>
      </c>
      <c r="AY49" s="105">
        <f t="shared" ref="AY49:AZ49" si="67">F49+N49+V49+AD49+AL49+AT49</f>
        <v>0</v>
      </c>
      <c r="AZ49" s="105">
        <f t="shared" si="67"/>
        <v>0</v>
      </c>
      <c r="BA49" s="105">
        <f t="shared" si="14"/>
        <v>0</v>
      </c>
      <c r="BB49" s="105">
        <f t="shared" si="15"/>
        <v>0</v>
      </c>
    </row>
    <row r="50" spans="1:54" ht="15" customHeight="1" x14ac:dyDescent="0.25">
      <c r="A50" s="2">
        <v>48</v>
      </c>
      <c r="B50" s="83">
        <f t="shared" si="16"/>
        <v>0</v>
      </c>
      <c r="C50" s="83">
        <f>B50*N(Crédits!$D$5)/12</f>
        <v>0</v>
      </c>
      <c r="D50" s="83">
        <f>MIN(N(Crédits!$E$5),B50+C50)</f>
        <v>0</v>
      </c>
      <c r="E50" s="83">
        <f t="shared" si="0"/>
        <v>0</v>
      </c>
      <c r="F50" s="86">
        <f>IF(Crédits!$K$5="",0,MAX(0,MIN(E50,Plan!$L$52-(IF(Crédits!$K$6="",0,IF(Crédits!$K$6&lt;Crédits!$K$5,M50,0))+IF(Crédits!$K$7="",0,IF(Crédits!$K$7&lt;Crédits!$K$5,U50,0))+IF(Crédits!$K$8="",0,IF(Crédits!$K$8&lt;Crédits!$K$5,AC50,0))+IF(Crédits!$K$9="",0,IF(Crédits!$K$9&lt;Crédits!$K$5,AK50,0))+IF(Crédits!$K$10="",0,IF(Crédits!$K$10&lt;Crédits!$K$5,AS50,0))))))</f>
        <v>0</v>
      </c>
      <c r="G50" s="87">
        <f t="shared" si="1"/>
        <v>0</v>
      </c>
      <c r="H50" s="88">
        <f>ROUND(H49+I50-MIN(N(Crédits!$E$5),H49+I50),2)</f>
        <v>0</v>
      </c>
      <c r="I50" s="89">
        <f>H49*N(Crédits!$D$5)/12</f>
        <v>0</v>
      </c>
      <c r="J50" s="90">
        <f t="shared" si="17"/>
        <v>0</v>
      </c>
      <c r="K50" s="90">
        <f>J50*N(Crédits!$D$6)/12</f>
        <v>0</v>
      </c>
      <c r="L50" s="90">
        <f>MIN(N(Crédits!$E$6),J50+K50)</f>
        <v>0</v>
      </c>
      <c r="M50" s="90">
        <f t="shared" si="2"/>
        <v>0</v>
      </c>
      <c r="N50" s="91">
        <f>IF(Crédits!$K$6="",0,MAX(0,MIN(M50,Plan!$L$52-(IF(Crédits!$K$5="",0,IF(Crédits!$K$5&lt;Crédits!$K$6,E50,0))+IF(Crédits!$K$7="",0,IF(Crédits!$K$7&lt;Crédits!$K$6,U50,0))+IF(Crédits!$K$8="",0,IF(Crédits!$K$8&lt;Crédits!$K$6,AC50,0))+IF(Crédits!$K$9="",0,IF(Crédits!$K$9&lt;Crédits!$K$6,AK50,0))+IF(Crédits!$K$10="",0,IF(Crédits!$K$10&lt;Crédits!$K$6,AS50,0))))))</f>
        <v>0</v>
      </c>
      <c r="O50" s="92">
        <f t="shared" si="3"/>
        <v>0</v>
      </c>
      <c r="P50" s="88">
        <f>ROUND(P49+Q50-MIN(N(Crédits!$E$6),P49+Q50),2)</f>
        <v>0</v>
      </c>
      <c r="Q50" s="89">
        <f>P49*N(Crédits!$D$6)/12</f>
        <v>0</v>
      </c>
      <c r="R50" s="93">
        <f t="shared" si="18"/>
        <v>0</v>
      </c>
      <c r="S50" s="93">
        <f>R50*N(Crédits!$D$7)/12</f>
        <v>0</v>
      </c>
      <c r="T50" s="93">
        <f>MIN(N(Crédits!$E$7),R50+S50)</f>
        <v>0</v>
      </c>
      <c r="U50" s="93">
        <f t="shared" si="4"/>
        <v>0</v>
      </c>
      <c r="V50" s="94">
        <f>IF(Crédits!$K$7="",0,MAX(0,MIN(U50,Plan!$L$52-(IF(Crédits!$K$5="",0,IF(Crédits!$K$5&lt;Crédits!$K$7,E50,0))+IF(Crédits!$K$6="",0,IF(Crédits!$K$6&lt;Crédits!$K$7,M50,0))+IF(Crédits!$K$8="",0,IF(Crédits!$K$8&lt;Crédits!$K$7,AC50,0))+IF(Crédits!$K$9="",0,IF(Crédits!$K$9&lt;Crédits!$K$7,AK50,0))+IF(Crédits!$K$10="",0,IF(Crédits!$K$10&lt;Crédits!$K$7,AS50,0))))))</f>
        <v>0</v>
      </c>
      <c r="W50" s="95">
        <f t="shared" si="5"/>
        <v>0</v>
      </c>
      <c r="X50" s="88">
        <f>ROUND(X49+Y50-MIN(N(Crédits!$E$7),X49+Y50),2)</f>
        <v>0</v>
      </c>
      <c r="Y50" s="89">
        <f>X49*N(Crédits!$D$7)/12</f>
        <v>0</v>
      </c>
      <c r="Z50" s="96">
        <f t="shared" si="19"/>
        <v>0</v>
      </c>
      <c r="AA50" s="96">
        <f>Z50*N(Crédits!$D$8)/12</f>
        <v>0</v>
      </c>
      <c r="AB50" s="96">
        <f>MIN(N(Crédits!$E$8),Z50+AA50)</f>
        <v>0</v>
      </c>
      <c r="AC50" s="96">
        <f t="shared" si="6"/>
        <v>0</v>
      </c>
      <c r="AD50" s="97">
        <f>IF(Crédits!$K$8="",0,MAX(0,MIN(AC50,Plan!$L$52-(IF(Crédits!$K$5="",0,IF(Crédits!$K$5&lt;Crédits!$K$8,E50,0))+IF(Crédits!$K$6="",0,IF(Crédits!$K$6&lt;Crédits!$K$8,M50,0))+IF(Crédits!$K$7="",0,IF(Crédits!$K$7&lt;Crédits!$K$8,U50,0))+IF(Crédits!$K$9="",0,IF(Crédits!$K$9&lt;Crédits!$K$8,AK50,0))+IF(Crédits!$K$10="",0,IF(Crédits!$K$10&lt;Crédits!$K$8,AS50,0))))))</f>
        <v>0</v>
      </c>
      <c r="AE50" s="98">
        <f t="shared" si="7"/>
        <v>0</v>
      </c>
      <c r="AF50" s="88">
        <f>ROUND(AF49+AG50-MIN(N(Crédits!$E$8),AF49+AG50),2)</f>
        <v>0</v>
      </c>
      <c r="AG50" s="89">
        <f>AF49*N(Crédits!$D$8)/12</f>
        <v>0</v>
      </c>
      <c r="AH50" s="99">
        <f t="shared" si="20"/>
        <v>0</v>
      </c>
      <c r="AI50" s="99">
        <f>AH50*N(Crédits!$D$9)/12</f>
        <v>0</v>
      </c>
      <c r="AJ50" s="99">
        <f>MIN(N(Crédits!$E$9),AH50+AI50)</f>
        <v>0</v>
      </c>
      <c r="AK50" s="99">
        <f t="shared" si="8"/>
        <v>0</v>
      </c>
      <c r="AL50" s="100">
        <f>IF(Crédits!$K$9="",0,MAX(0,MIN(AK50,Plan!$L$52-(IF(Crédits!$K$5="",0,IF(Crédits!$K$5&lt;Crédits!$K$9,E50,0))+IF(Crédits!$K$6="",0,IF(Crédits!$K$6&lt;Crédits!$K$9,M50,0))+IF(Crédits!$K$7="",0,IF(Crédits!$K$7&lt;Crédits!$K$9,U50,0))+IF(Crédits!$K$8="",0,IF(Crédits!$K$8&lt;Crédits!$K$9,AC50,0))+IF(Crédits!$K$10="",0,IF(Crédits!$K$10&lt;Crédits!$K$9,AS50,0))))))</f>
        <v>0</v>
      </c>
      <c r="AM50" s="101">
        <f t="shared" si="9"/>
        <v>0</v>
      </c>
      <c r="AN50" s="88">
        <f>ROUND(AN49+AO50-MIN(N(Crédits!$E$9),AN49+AO50),2)</f>
        <v>0</v>
      </c>
      <c r="AO50" s="89">
        <f>AN49*N(Crédits!$D$9)/12</f>
        <v>0</v>
      </c>
      <c r="AP50" s="102">
        <f t="shared" si="21"/>
        <v>0</v>
      </c>
      <c r="AQ50" s="102">
        <f>AP50*N(Crédits!$D$10)/12</f>
        <v>0</v>
      </c>
      <c r="AR50" s="102">
        <f>MIN(N(Crédits!$E$10),AP50+AQ50)</f>
        <v>0</v>
      </c>
      <c r="AS50" s="102">
        <f t="shared" si="10"/>
        <v>0</v>
      </c>
      <c r="AT50" s="103">
        <f>IF(Crédits!$K$10="",0,MAX(0,MIN(AS50,Plan!$L$52-(IF(Crédits!$K$5="",0,IF(Crédits!$K$5&lt;Crédits!$K$10,E50,0))+IF(Crédits!$K$6="",0,IF(Crédits!$K$6&lt;Crédits!$K$10,M50,0))+IF(Crédits!$K$7="",0,IF(Crédits!$K$7&lt;Crédits!$K$10,U50,0))+IF(Crédits!$K$8="",0,IF(Crédits!$K$8&lt;Crédits!$K$10,AC50,0))+IF(Crédits!$K$9="",0,IF(Crédits!$K$9&lt;Crédits!$K$10,AK50,0))))))</f>
        <v>0</v>
      </c>
      <c r="AU50" s="104">
        <f t="shared" si="11"/>
        <v>0</v>
      </c>
      <c r="AV50" s="88">
        <f>ROUND(AV49+AW50-MIN(N(Crédits!$E$10),AV49+AW50),2)</f>
        <v>0</v>
      </c>
      <c r="AW50" s="89">
        <f>AV49*N(Crédits!$D$10)/12</f>
        <v>0</v>
      </c>
      <c r="AX50" s="105">
        <f t="shared" si="12"/>
        <v>0</v>
      </c>
      <c r="AY50" s="105">
        <f t="shared" ref="AY50:AZ50" si="68">F50+N50+V50+AD50+AL50+AT50</f>
        <v>0</v>
      </c>
      <c r="AZ50" s="105">
        <f t="shared" si="68"/>
        <v>0</v>
      </c>
      <c r="BA50" s="105">
        <f t="shared" si="14"/>
        <v>0</v>
      </c>
      <c r="BB50" s="105">
        <f t="shared" si="15"/>
        <v>0</v>
      </c>
    </row>
    <row r="51" spans="1:54" ht="15" customHeight="1" x14ac:dyDescent="0.25">
      <c r="A51" s="2">
        <v>49</v>
      </c>
      <c r="B51" s="83">
        <f t="shared" si="16"/>
        <v>0</v>
      </c>
      <c r="C51" s="83">
        <f>B51*N(Crédits!$D$5)/12</f>
        <v>0</v>
      </c>
      <c r="D51" s="83">
        <f>MIN(N(Crédits!$E$5),B51+C51)</f>
        <v>0</v>
      </c>
      <c r="E51" s="83">
        <f t="shared" si="0"/>
        <v>0</v>
      </c>
      <c r="F51" s="86">
        <f>IF(Crédits!$K$5="",0,MAX(0,MIN(E51,Plan!$L$53-(IF(Crédits!$K$6="",0,IF(Crédits!$K$6&lt;Crédits!$K$5,M51,0))+IF(Crédits!$K$7="",0,IF(Crédits!$K$7&lt;Crédits!$K$5,U51,0))+IF(Crédits!$K$8="",0,IF(Crédits!$K$8&lt;Crédits!$K$5,AC51,0))+IF(Crédits!$K$9="",0,IF(Crédits!$K$9&lt;Crédits!$K$5,AK51,0))+IF(Crédits!$K$10="",0,IF(Crédits!$K$10&lt;Crédits!$K$5,AS51,0))))))</f>
        <v>0</v>
      </c>
      <c r="G51" s="87">
        <f t="shared" si="1"/>
        <v>0</v>
      </c>
      <c r="H51" s="88">
        <f>ROUND(H50+I51-MIN(N(Crédits!$E$5),H50+I51),2)</f>
        <v>0</v>
      </c>
      <c r="I51" s="89">
        <f>H50*N(Crédits!$D$5)/12</f>
        <v>0</v>
      </c>
      <c r="J51" s="90">
        <f t="shared" si="17"/>
        <v>0</v>
      </c>
      <c r="K51" s="90">
        <f>J51*N(Crédits!$D$6)/12</f>
        <v>0</v>
      </c>
      <c r="L51" s="90">
        <f>MIN(N(Crédits!$E$6),J51+K51)</f>
        <v>0</v>
      </c>
      <c r="M51" s="90">
        <f t="shared" si="2"/>
        <v>0</v>
      </c>
      <c r="N51" s="91">
        <f>IF(Crédits!$K$6="",0,MAX(0,MIN(M51,Plan!$L$53-(IF(Crédits!$K$5="",0,IF(Crédits!$K$5&lt;Crédits!$K$6,E51,0))+IF(Crédits!$K$7="",0,IF(Crédits!$K$7&lt;Crédits!$K$6,U51,0))+IF(Crédits!$K$8="",0,IF(Crédits!$K$8&lt;Crédits!$K$6,AC51,0))+IF(Crédits!$K$9="",0,IF(Crédits!$K$9&lt;Crédits!$K$6,AK51,0))+IF(Crédits!$K$10="",0,IF(Crédits!$K$10&lt;Crédits!$K$6,AS51,0))))))</f>
        <v>0</v>
      </c>
      <c r="O51" s="92">
        <f t="shared" si="3"/>
        <v>0</v>
      </c>
      <c r="P51" s="88">
        <f>ROUND(P50+Q51-MIN(N(Crédits!$E$6),P50+Q51),2)</f>
        <v>0</v>
      </c>
      <c r="Q51" s="89">
        <f>P50*N(Crédits!$D$6)/12</f>
        <v>0</v>
      </c>
      <c r="R51" s="93">
        <f t="shared" si="18"/>
        <v>0</v>
      </c>
      <c r="S51" s="93">
        <f>R51*N(Crédits!$D$7)/12</f>
        <v>0</v>
      </c>
      <c r="T51" s="93">
        <f>MIN(N(Crédits!$E$7),R51+S51)</f>
        <v>0</v>
      </c>
      <c r="U51" s="93">
        <f t="shared" si="4"/>
        <v>0</v>
      </c>
      <c r="V51" s="94">
        <f>IF(Crédits!$K$7="",0,MAX(0,MIN(U51,Plan!$L$53-(IF(Crédits!$K$5="",0,IF(Crédits!$K$5&lt;Crédits!$K$7,E51,0))+IF(Crédits!$K$6="",0,IF(Crédits!$K$6&lt;Crédits!$K$7,M51,0))+IF(Crédits!$K$8="",0,IF(Crédits!$K$8&lt;Crédits!$K$7,AC51,0))+IF(Crédits!$K$9="",0,IF(Crédits!$K$9&lt;Crédits!$K$7,AK51,0))+IF(Crédits!$K$10="",0,IF(Crédits!$K$10&lt;Crédits!$K$7,AS51,0))))))</f>
        <v>0</v>
      </c>
      <c r="W51" s="95">
        <f t="shared" si="5"/>
        <v>0</v>
      </c>
      <c r="X51" s="88">
        <f>ROUND(X50+Y51-MIN(N(Crédits!$E$7),X50+Y51),2)</f>
        <v>0</v>
      </c>
      <c r="Y51" s="89">
        <f>X50*N(Crédits!$D$7)/12</f>
        <v>0</v>
      </c>
      <c r="Z51" s="96">
        <f t="shared" si="19"/>
        <v>0</v>
      </c>
      <c r="AA51" s="96">
        <f>Z51*N(Crédits!$D$8)/12</f>
        <v>0</v>
      </c>
      <c r="AB51" s="96">
        <f>MIN(N(Crédits!$E$8),Z51+AA51)</f>
        <v>0</v>
      </c>
      <c r="AC51" s="96">
        <f t="shared" si="6"/>
        <v>0</v>
      </c>
      <c r="AD51" s="97">
        <f>IF(Crédits!$K$8="",0,MAX(0,MIN(AC51,Plan!$L$53-(IF(Crédits!$K$5="",0,IF(Crédits!$K$5&lt;Crédits!$K$8,E51,0))+IF(Crédits!$K$6="",0,IF(Crédits!$K$6&lt;Crédits!$K$8,M51,0))+IF(Crédits!$K$7="",0,IF(Crédits!$K$7&lt;Crédits!$K$8,U51,0))+IF(Crédits!$K$9="",0,IF(Crédits!$K$9&lt;Crédits!$K$8,AK51,0))+IF(Crédits!$K$10="",0,IF(Crédits!$K$10&lt;Crédits!$K$8,AS51,0))))))</f>
        <v>0</v>
      </c>
      <c r="AE51" s="98">
        <f t="shared" si="7"/>
        <v>0</v>
      </c>
      <c r="AF51" s="88">
        <f>ROUND(AF50+AG51-MIN(N(Crédits!$E$8),AF50+AG51),2)</f>
        <v>0</v>
      </c>
      <c r="AG51" s="89">
        <f>AF50*N(Crédits!$D$8)/12</f>
        <v>0</v>
      </c>
      <c r="AH51" s="99">
        <f t="shared" si="20"/>
        <v>0</v>
      </c>
      <c r="AI51" s="99">
        <f>AH51*N(Crédits!$D$9)/12</f>
        <v>0</v>
      </c>
      <c r="AJ51" s="99">
        <f>MIN(N(Crédits!$E$9),AH51+AI51)</f>
        <v>0</v>
      </c>
      <c r="AK51" s="99">
        <f t="shared" si="8"/>
        <v>0</v>
      </c>
      <c r="AL51" s="100">
        <f>IF(Crédits!$K$9="",0,MAX(0,MIN(AK51,Plan!$L$53-(IF(Crédits!$K$5="",0,IF(Crédits!$K$5&lt;Crédits!$K$9,E51,0))+IF(Crédits!$K$6="",0,IF(Crédits!$K$6&lt;Crédits!$K$9,M51,0))+IF(Crédits!$K$7="",0,IF(Crédits!$K$7&lt;Crédits!$K$9,U51,0))+IF(Crédits!$K$8="",0,IF(Crédits!$K$8&lt;Crédits!$K$9,AC51,0))+IF(Crédits!$K$10="",0,IF(Crédits!$K$10&lt;Crédits!$K$9,AS51,0))))))</f>
        <v>0</v>
      </c>
      <c r="AM51" s="101">
        <f t="shared" si="9"/>
        <v>0</v>
      </c>
      <c r="AN51" s="88">
        <f>ROUND(AN50+AO51-MIN(N(Crédits!$E$9),AN50+AO51),2)</f>
        <v>0</v>
      </c>
      <c r="AO51" s="89">
        <f>AN50*N(Crédits!$D$9)/12</f>
        <v>0</v>
      </c>
      <c r="AP51" s="102">
        <f t="shared" si="21"/>
        <v>0</v>
      </c>
      <c r="AQ51" s="102">
        <f>AP51*N(Crédits!$D$10)/12</f>
        <v>0</v>
      </c>
      <c r="AR51" s="102">
        <f>MIN(N(Crédits!$E$10),AP51+AQ51)</f>
        <v>0</v>
      </c>
      <c r="AS51" s="102">
        <f t="shared" si="10"/>
        <v>0</v>
      </c>
      <c r="AT51" s="103">
        <f>IF(Crédits!$K$10="",0,MAX(0,MIN(AS51,Plan!$L$53-(IF(Crédits!$K$5="",0,IF(Crédits!$K$5&lt;Crédits!$K$10,E51,0))+IF(Crédits!$K$6="",0,IF(Crédits!$K$6&lt;Crédits!$K$10,M51,0))+IF(Crédits!$K$7="",0,IF(Crédits!$K$7&lt;Crédits!$K$10,U51,0))+IF(Crédits!$K$8="",0,IF(Crédits!$K$8&lt;Crédits!$K$10,AC51,0))+IF(Crédits!$K$9="",0,IF(Crédits!$K$9&lt;Crédits!$K$10,AK51,0))))))</f>
        <v>0</v>
      </c>
      <c r="AU51" s="104">
        <f t="shared" si="11"/>
        <v>0</v>
      </c>
      <c r="AV51" s="88">
        <f>ROUND(AV50+AW51-MIN(N(Crédits!$E$10),AV50+AW51),2)</f>
        <v>0</v>
      </c>
      <c r="AW51" s="89">
        <f>AV50*N(Crédits!$D$10)/12</f>
        <v>0</v>
      </c>
      <c r="AX51" s="105">
        <f t="shared" si="12"/>
        <v>0</v>
      </c>
      <c r="AY51" s="105">
        <f t="shared" ref="AY51:AZ51" si="69">F51+N51+V51+AD51+AL51+AT51</f>
        <v>0</v>
      </c>
      <c r="AZ51" s="105">
        <f t="shared" si="69"/>
        <v>0</v>
      </c>
      <c r="BA51" s="105">
        <f t="shared" si="14"/>
        <v>0</v>
      </c>
      <c r="BB51" s="105">
        <f t="shared" si="15"/>
        <v>0</v>
      </c>
    </row>
    <row r="52" spans="1:54" ht="15" customHeight="1" x14ac:dyDescent="0.25">
      <c r="A52" s="2">
        <v>50</v>
      </c>
      <c r="B52" s="83">
        <f t="shared" si="16"/>
        <v>0</v>
      </c>
      <c r="C52" s="83">
        <f>B52*N(Crédits!$D$5)/12</f>
        <v>0</v>
      </c>
      <c r="D52" s="83">
        <f>MIN(N(Crédits!$E$5),B52+C52)</f>
        <v>0</v>
      </c>
      <c r="E52" s="83">
        <f t="shared" si="0"/>
        <v>0</v>
      </c>
      <c r="F52" s="86">
        <f>IF(Crédits!$K$5="",0,MAX(0,MIN(E52,Plan!$L$54-(IF(Crédits!$K$6="",0,IF(Crédits!$K$6&lt;Crédits!$K$5,M52,0))+IF(Crédits!$K$7="",0,IF(Crédits!$K$7&lt;Crédits!$K$5,U52,0))+IF(Crédits!$K$8="",0,IF(Crédits!$K$8&lt;Crédits!$K$5,AC52,0))+IF(Crédits!$K$9="",0,IF(Crédits!$K$9&lt;Crédits!$K$5,AK52,0))+IF(Crédits!$K$10="",0,IF(Crédits!$K$10&lt;Crédits!$K$5,AS52,0))))))</f>
        <v>0</v>
      </c>
      <c r="G52" s="87">
        <f t="shared" si="1"/>
        <v>0</v>
      </c>
      <c r="H52" s="88">
        <f>ROUND(H51+I52-MIN(N(Crédits!$E$5),H51+I52),2)</f>
        <v>0</v>
      </c>
      <c r="I52" s="89">
        <f>H51*N(Crédits!$D$5)/12</f>
        <v>0</v>
      </c>
      <c r="J52" s="90">
        <f t="shared" si="17"/>
        <v>0</v>
      </c>
      <c r="K52" s="90">
        <f>J52*N(Crédits!$D$6)/12</f>
        <v>0</v>
      </c>
      <c r="L52" s="90">
        <f>MIN(N(Crédits!$E$6),J52+K52)</f>
        <v>0</v>
      </c>
      <c r="M52" s="90">
        <f t="shared" si="2"/>
        <v>0</v>
      </c>
      <c r="N52" s="91">
        <f>IF(Crédits!$K$6="",0,MAX(0,MIN(M52,Plan!$L$54-(IF(Crédits!$K$5="",0,IF(Crédits!$K$5&lt;Crédits!$K$6,E52,0))+IF(Crédits!$K$7="",0,IF(Crédits!$K$7&lt;Crédits!$K$6,U52,0))+IF(Crédits!$K$8="",0,IF(Crédits!$K$8&lt;Crédits!$K$6,AC52,0))+IF(Crédits!$K$9="",0,IF(Crédits!$K$9&lt;Crédits!$K$6,AK52,0))+IF(Crédits!$K$10="",0,IF(Crédits!$K$10&lt;Crédits!$K$6,AS52,0))))))</f>
        <v>0</v>
      </c>
      <c r="O52" s="92">
        <f t="shared" si="3"/>
        <v>0</v>
      </c>
      <c r="P52" s="88">
        <f>ROUND(P51+Q52-MIN(N(Crédits!$E$6),P51+Q52),2)</f>
        <v>0</v>
      </c>
      <c r="Q52" s="89">
        <f>P51*N(Crédits!$D$6)/12</f>
        <v>0</v>
      </c>
      <c r="R52" s="93">
        <f t="shared" si="18"/>
        <v>0</v>
      </c>
      <c r="S52" s="93">
        <f>R52*N(Crédits!$D$7)/12</f>
        <v>0</v>
      </c>
      <c r="T52" s="93">
        <f>MIN(N(Crédits!$E$7),R52+S52)</f>
        <v>0</v>
      </c>
      <c r="U52" s="93">
        <f t="shared" si="4"/>
        <v>0</v>
      </c>
      <c r="V52" s="94">
        <f>IF(Crédits!$K$7="",0,MAX(0,MIN(U52,Plan!$L$54-(IF(Crédits!$K$5="",0,IF(Crédits!$K$5&lt;Crédits!$K$7,E52,0))+IF(Crédits!$K$6="",0,IF(Crédits!$K$6&lt;Crédits!$K$7,M52,0))+IF(Crédits!$K$8="",0,IF(Crédits!$K$8&lt;Crédits!$K$7,AC52,0))+IF(Crédits!$K$9="",0,IF(Crédits!$K$9&lt;Crédits!$K$7,AK52,0))+IF(Crédits!$K$10="",0,IF(Crédits!$K$10&lt;Crédits!$K$7,AS52,0))))))</f>
        <v>0</v>
      </c>
      <c r="W52" s="95">
        <f t="shared" si="5"/>
        <v>0</v>
      </c>
      <c r="X52" s="88">
        <f>ROUND(X51+Y52-MIN(N(Crédits!$E$7),X51+Y52),2)</f>
        <v>0</v>
      </c>
      <c r="Y52" s="89">
        <f>X51*N(Crédits!$D$7)/12</f>
        <v>0</v>
      </c>
      <c r="Z52" s="96">
        <f t="shared" si="19"/>
        <v>0</v>
      </c>
      <c r="AA52" s="96">
        <f>Z52*N(Crédits!$D$8)/12</f>
        <v>0</v>
      </c>
      <c r="AB52" s="96">
        <f>MIN(N(Crédits!$E$8),Z52+AA52)</f>
        <v>0</v>
      </c>
      <c r="AC52" s="96">
        <f t="shared" si="6"/>
        <v>0</v>
      </c>
      <c r="AD52" s="97">
        <f>IF(Crédits!$K$8="",0,MAX(0,MIN(AC52,Plan!$L$54-(IF(Crédits!$K$5="",0,IF(Crédits!$K$5&lt;Crédits!$K$8,E52,0))+IF(Crédits!$K$6="",0,IF(Crédits!$K$6&lt;Crédits!$K$8,M52,0))+IF(Crédits!$K$7="",0,IF(Crédits!$K$7&lt;Crédits!$K$8,U52,0))+IF(Crédits!$K$9="",0,IF(Crédits!$K$9&lt;Crédits!$K$8,AK52,0))+IF(Crédits!$K$10="",0,IF(Crédits!$K$10&lt;Crédits!$K$8,AS52,0))))))</f>
        <v>0</v>
      </c>
      <c r="AE52" s="98">
        <f t="shared" si="7"/>
        <v>0</v>
      </c>
      <c r="AF52" s="88">
        <f>ROUND(AF51+AG52-MIN(N(Crédits!$E$8),AF51+AG52),2)</f>
        <v>0</v>
      </c>
      <c r="AG52" s="89">
        <f>AF51*N(Crédits!$D$8)/12</f>
        <v>0</v>
      </c>
      <c r="AH52" s="99">
        <f t="shared" si="20"/>
        <v>0</v>
      </c>
      <c r="AI52" s="99">
        <f>AH52*N(Crédits!$D$9)/12</f>
        <v>0</v>
      </c>
      <c r="AJ52" s="99">
        <f>MIN(N(Crédits!$E$9),AH52+AI52)</f>
        <v>0</v>
      </c>
      <c r="AK52" s="99">
        <f t="shared" si="8"/>
        <v>0</v>
      </c>
      <c r="AL52" s="100">
        <f>IF(Crédits!$K$9="",0,MAX(0,MIN(AK52,Plan!$L$54-(IF(Crédits!$K$5="",0,IF(Crédits!$K$5&lt;Crédits!$K$9,E52,0))+IF(Crédits!$K$6="",0,IF(Crédits!$K$6&lt;Crédits!$K$9,M52,0))+IF(Crédits!$K$7="",0,IF(Crédits!$K$7&lt;Crédits!$K$9,U52,0))+IF(Crédits!$K$8="",0,IF(Crédits!$K$8&lt;Crédits!$K$9,AC52,0))+IF(Crédits!$K$10="",0,IF(Crédits!$K$10&lt;Crédits!$K$9,AS52,0))))))</f>
        <v>0</v>
      </c>
      <c r="AM52" s="101">
        <f t="shared" si="9"/>
        <v>0</v>
      </c>
      <c r="AN52" s="88">
        <f>ROUND(AN51+AO52-MIN(N(Crédits!$E$9),AN51+AO52),2)</f>
        <v>0</v>
      </c>
      <c r="AO52" s="89">
        <f>AN51*N(Crédits!$D$9)/12</f>
        <v>0</v>
      </c>
      <c r="AP52" s="102">
        <f t="shared" si="21"/>
        <v>0</v>
      </c>
      <c r="AQ52" s="102">
        <f>AP52*N(Crédits!$D$10)/12</f>
        <v>0</v>
      </c>
      <c r="AR52" s="102">
        <f>MIN(N(Crédits!$E$10),AP52+AQ52)</f>
        <v>0</v>
      </c>
      <c r="AS52" s="102">
        <f t="shared" si="10"/>
        <v>0</v>
      </c>
      <c r="AT52" s="103">
        <f>IF(Crédits!$K$10="",0,MAX(0,MIN(AS52,Plan!$L$54-(IF(Crédits!$K$5="",0,IF(Crédits!$K$5&lt;Crédits!$K$10,E52,0))+IF(Crédits!$K$6="",0,IF(Crédits!$K$6&lt;Crédits!$K$10,M52,0))+IF(Crédits!$K$7="",0,IF(Crédits!$K$7&lt;Crédits!$K$10,U52,0))+IF(Crédits!$K$8="",0,IF(Crédits!$K$8&lt;Crédits!$K$10,AC52,0))+IF(Crédits!$K$9="",0,IF(Crédits!$K$9&lt;Crédits!$K$10,AK52,0))))))</f>
        <v>0</v>
      </c>
      <c r="AU52" s="104">
        <f t="shared" si="11"/>
        <v>0</v>
      </c>
      <c r="AV52" s="88">
        <f>ROUND(AV51+AW52-MIN(N(Crédits!$E$10),AV51+AW52),2)</f>
        <v>0</v>
      </c>
      <c r="AW52" s="89">
        <f>AV51*N(Crédits!$D$10)/12</f>
        <v>0</v>
      </c>
      <c r="AX52" s="105">
        <f t="shared" si="12"/>
        <v>0</v>
      </c>
      <c r="AY52" s="105">
        <f t="shared" ref="AY52:AZ52" si="70">F52+N52+V52+AD52+AL52+AT52</f>
        <v>0</v>
      </c>
      <c r="AZ52" s="105">
        <f t="shared" si="70"/>
        <v>0</v>
      </c>
      <c r="BA52" s="105">
        <f t="shared" si="14"/>
        <v>0</v>
      </c>
      <c r="BB52" s="105">
        <f t="shared" si="15"/>
        <v>0</v>
      </c>
    </row>
    <row r="53" spans="1:54" ht="15" customHeight="1" x14ac:dyDescent="0.25">
      <c r="A53" s="2">
        <v>51</v>
      </c>
      <c r="B53" s="83">
        <f t="shared" si="16"/>
        <v>0</v>
      </c>
      <c r="C53" s="83">
        <f>B53*N(Crédits!$D$5)/12</f>
        <v>0</v>
      </c>
      <c r="D53" s="83">
        <f>MIN(N(Crédits!$E$5),B53+C53)</f>
        <v>0</v>
      </c>
      <c r="E53" s="83">
        <f t="shared" si="0"/>
        <v>0</v>
      </c>
      <c r="F53" s="86">
        <f>IF(Crédits!$K$5="",0,MAX(0,MIN(E53,Plan!$L$55-(IF(Crédits!$K$6="",0,IF(Crédits!$K$6&lt;Crédits!$K$5,M53,0))+IF(Crédits!$K$7="",0,IF(Crédits!$K$7&lt;Crédits!$K$5,U53,0))+IF(Crédits!$K$8="",0,IF(Crédits!$K$8&lt;Crédits!$K$5,AC53,0))+IF(Crédits!$K$9="",0,IF(Crédits!$K$9&lt;Crédits!$K$5,AK53,0))+IF(Crédits!$K$10="",0,IF(Crédits!$K$10&lt;Crédits!$K$5,AS53,0))))))</f>
        <v>0</v>
      </c>
      <c r="G53" s="87">
        <f t="shared" si="1"/>
        <v>0</v>
      </c>
      <c r="H53" s="88">
        <f>ROUND(H52+I53-MIN(N(Crédits!$E$5),H52+I53),2)</f>
        <v>0</v>
      </c>
      <c r="I53" s="89">
        <f>H52*N(Crédits!$D$5)/12</f>
        <v>0</v>
      </c>
      <c r="J53" s="90">
        <f t="shared" si="17"/>
        <v>0</v>
      </c>
      <c r="K53" s="90">
        <f>J53*N(Crédits!$D$6)/12</f>
        <v>0</v>
      </c>
      <c r="L53" s="90">
        <f>MIN(N(Crédits!$E$6),J53+K53)</f>
        <v>0</v>
      </c>
      <c r="M53" s="90">
        <f t="shared" si="2"/>
        <v>0</v>
      </c>
      <c r="N53" s="91">
        <f>IF(Crédits!$K$6="",0,MAX(0,MIN(M53,Plan!$L$55-(IF(Crédits!$K$5="",0,IF(Crédits!$K$5&lt;Crédits!$K$6,E53,0))+IF(Crédits!$K$7="",0,IF(Crédits!$K$7&lt;Crédits!$K$6,U53,0))+IF(Crédits!$K$8="",0,IF(Crédits!$K$8&lt;Crédits!$K$6,AC53,0))+IF(Crédits!$K$9="",0,IF(Crédits!$K$9&lt;Crédits!$K$6,AK53,0))+IF(Crédits!$K$10="",0,IF(Crédits!$K$10&lt;Crédits!$K$6,AS53,0))))))</f>
        <v>0</v>
      </c>
      <c r="O53" s="92">
        <f t="shared" si="3"/>
        <v>0</v>
      </c>
      <c r="P53" s="88">
        <f>ROUND(P52+Q53-MIN(N(Crédits!$E$6),P52+Q53),2)</f>
        <v>0</v>
      </c>
      <c r="Q53" s="89">
        <f>P52*N(Crédits!$D$6)/12</f>
        <v>0</v>
      </c>
      <c r="R53" s="93">
        <f t="shared" si="18"/>
        <v>0</v>
      </c>
      <c r="S53" s="93">
        <f>R53*N(Crédits!$D$7)/12</f>
        <v>0</v>
      </c>
      <c r="T53" s="93">
        <f>MIN(N(Crédits!$E$7),R53+S53)</f>
        <v>0</v>
      </c>
      <c r="U53" s="93">
        <f t="shared" si="4"/>
        <v>0</v>
      </c>
      <c r="V53" s="94">
        <f>IF(Crédits!$K$7="",0,MAX(0,MIN(U53,Plan!$L$55-(IF(Crédits!$K$5="",0,IF(Crédits!$K$5&lt;Crédits!$K$7,E53,0))+IF(Crédits!$K$6="",0,IF(Crédits!$K$6&lt;Crédits!$K$7,M53,0))+IF(Crédits!$K$8="",0,IF(Crédits!$K$8&lt;Crédits!$K$7,AC53,0))+IF(Crédits!$K$9="",0,IF(Crédits!$K$9&lt;Crédits!$K$7,AK53,0))+IF(Crédits!$K$10="",0,IF(Crédits!$K$10&lt;Crédits!$K$7,AS53,0))))))</f>
        <v>0</v>
      </c>
      <c r="W53" s="95">
        <f t="shared" si="5"/>
        <v>0</v>
      </c>
      <c r="X53" s="88">
        <f>ROUND(X52+Y53-MIN(N(Crédits!$E$7),X52+Y53),2)</f>
        <v>0</v>
      </c>
      <c r="Y53" s="89">
        <f>X52*N(Crédits!$D$7)/12</f>
        <v>0</v>
      </c>
      <c r="Z53" s="96">
        <f t="shared" si="19"/>
        <v>0</v>
      </c>
      <c r="AA53" s="96">
        <f>Z53*N(Crédits!$D$8)/12</f>
        <v>0</v>
      </c>
      <c r="AB53" s="96">
        <f>MIN(N(Crédits!$E$8),Z53+AA53)</f>
        <v>0</v>
      </c>
      <c r="AC53" s="96">
        <f t="shared" si="6"/>
        <v>0</v>
      </c>
      <c r="AD53" s="97">
        <f>IF(Crédits!$K$8="",0,MAX(0,MIN(AC53,Plan!$L$55-(IF(Crédits!$K$5="",0,IF(Crédits!$K$5&lt;Crédits!$K$8,E53,0))+IF(Crédits!$K$6="",0,IF(Crédits!$K$6&lt;Crédits!$K$8,M53,0))+IF(Crédits!$K$7="",0,IF(Crédits!$K$7&lt;Crédits!$K$8,U53,0))+IF(Crédits!$K$9="",0,IF(Crédits!$K$9&lt;Crédits!$K$8,AK53,0))+IF(Crédits!$K$10="",0,IF(Crédits!$K$10&lt;Crédits!$K$8,AS53,0))))))</f>
        <v>0</v>
      </c>
      <c r="AE53" s="98">
        <f t="shared" si="7"/>
        <v>0</v>
      </c>
      <c r="AF53" s="88">
        <f>ROUND(AF52+AG53-MIN(N(Crédits!$E$8),AF52+AG53),2)</f>
        <v>0</v>
      </c>
      <c r="AG53" s="89">
        <f>AF52*N(Crédits!$D$8)/12</f>
        <v>0</v>
      </c>
      <c r="AH53" s="99">
        <f t="shared" si="20"/>
        <v>0</v>
      </c>
      <c r="AI53" s="99">
        <f>AH53*N(Crédits!$D$9)/12</f>
        <v>0</v>
      </c>
      <c r="AJ53" s="99">
        <f>MIN(N(Crédits!$E$9),AH53+AI53)</f>
        <v>0</v>
      </c>
      <c r="AK53" s="99">
        <f t="shared" si="8"/>
        <v>0</v>
      </c>
      <c r="AL53" s="100">
        <f>IF(Crédits!$K$9="",0,MAX(0,MIN(AK53,Plan!$L$55-(IF(Crédits!$K$5="",0,IF(Crédits!$K$5&lt;Crédits!$K$9,E53,0))+IF(Crédits!$K$6="",0,IF(Crédits!$K$6&lt;Crédits!$K$9,M53,0))+IF(Crédits!$K$7="",0,IF(Crédits!$K$7&lt;Crédits!$K$9,U53,0))+IF(Crédits!$K$8="",0,IF(Crédits!$K$8&lt;Crédits!$K$9,AC53,0))+IF(Crédits!$K$10="",0,IF(Crédits!$K$10&lt;Crédits!$K$9,AS53,0))))))</f>
        <v>0</v>
      </c>
      <c r="AM53" s="101">
        <f t="shared" si="9"/>
        <v>0</v>
      </c>
      <c r="AN53" s="88">
        <f>ROUND(AN52+AO53-MIN(N(Crédits!$E$9),AN52+AO53),2)</f>
        <v>0</v>
      </c>
      <c r="AO53" s="89">
        <f>AN52*N(Crédits!$D$9)/12</f>
        <v>0</v>
      </c>
      <c r="AP53" s="102">
        <f t="shared" si="21"/>
        <v>0</v>
      </c>
      <c r="AQ53" s="102">
        <f>AP53*N(Crédits!$D$10)/12</f>
        <v>0</v>
      </c>
      <c r="AR53" s="102">
        <f>MIN(N(Crédits!$E$10),AP53+AQ53)</f>
        <v>0</v>
      </c>
      <c r="AS53" s="102">
        <f t="shared" si="10"/>
        <v>0</v>
      </c>
      <c r="AT53" s="103">
        <f>IF(Crédits!$K$10="",0,MAX(0,MIN(AS53,Plan!$L$55-(IF(Crédits!$K$5="",0,IF(Crédits!$K$5&lt;Crédits!$K$10,E53,0))+IF(Crédits!$K$6="",0,IF(Crédits!$K$6&lt;Crédits!$K$10,M53,0))+IF(Crédits!$K$7="",0,IF(Crédits!$K$7&lt;Crédits!$K$10,U53,0))+IF(Crédits!$K$8="",0,IF(Crédits!$K$8&lt;Crédits!$K$10,AC53,0))+IF(Crédits!$K$9="",0,IF(Crédits!$K$9&lt;Crédits!$K$10,AK53,0))))))</f>
        <v>0</v>
      </c>
      <c r="AU53" s="104">
        <f t="shared" si="11"/>
        <v>0</v>
      </c>
      <c r="AV53" s="88">
        <f>ROUND(AV52+AW53-MIN(N(Crédits!$E$10),AV52+AW53),2)</f>
        <v>0</v>
      </c>
      <c r="AW53" s="89">
        <f>AV52*N(Crédits!$D$10)/12</f>
        <v>0</v>
      </c>
      <c r="AX53" s="105">
        <f t="shared" si="12"/>
        <v>0</v>
      </c>
      <c r="AY53" s="105">
        <f t="shared" ref="AY53:AZ53" si="71">F53+N53+V53+AD53+AL53+AT53</f>
        <v>0</v>
      </c>
      <c r="AZ53" s="105">
        <f t="shared" si="71"/>
        <v>0</v>
      </c>
      <c r="BA53" s="105">
        <f t="shared" si="14"/>
        <v>0</v>
      </c>
      <c r="BB53" s="105">
        <f t="shared" si="15"/>
        <v>0</v>
      </c>
    </row>
    <row r="54" spans="1:54" ht="15" customHeight="1" x14ac:dyDescent="0.25">
      <c r="A54" s="2">
        <v>52</v>
      </c>
      <c r="B54" s="83">
        <f t="shared" si="16"/>
        <v>0</v>
      </c>
      <c r="C54" s="83">
        <f>B54*N(Crédits!$D$5)/12</f>
        <v>0</v>
      </c>
      <c r="D54" s="83">
        <f>MIN(N(Crédits!$E$5),B54+C54)</f>
        <v>0</v>
      </c>
      <c r="E54" s="83">
        <f t="shared" si="0"/>
        <v>0</v>
      </c>
      <c r="F54" s="86">
        <f>IF(Crédits!$K$5="",0,MAX(0,MIN(E54,Plan!$L$56-(IF(Crédits!$K$6="",0,IF(Crédits!$K$6&lt;Crédits!$K$5,M54,0))+IF(Crédits!$K$7="",0,IF(Crédits!$K$7&lt;Crédits!$K$5,U54,0))+IF(Crédits!$K$8="",0,IF(Crédits!$K$8&lt;Crédits!$K$5,AC54,0))+IF(Crédits!$K$9="",0,IF(Crédits!$K$9&lt;Crédits!$K$5,AK54,0))+IF(Crédits!$K$10="",0,IF(Crédits!$K$10&lt;Crédits!$K$5,AS54,0))))))</f>
        <v>0</v>
      </c>
      <c r="G54" s="87">
        <f t="shared" si="1"/>
        <v>0</v>
      </c>
      <c r="H54" s="88">
        <f>ROUND(H53+I54-MIN(N(Crédits!$E$5),H53+I54),2)</f>
        <v>0</v>
      </c>
      <c r="I54" s="89">
        <f>H53*N(Crédits!$D$5)/12</f>
        <v>0</v>
      </c>
      <c r="J54" s="90">
        <f t="shared" si="17"/>
        <v>0</v>
      </c>
      <c r="K54" s="90">
        <f>J54*N(Crédits!$D$6)/12</f>
        <v>0</v>
      </c>
      <c r="L54" s="90">
        <f>MIN(N(Crédits!$E$6),J54+K54)</f>
        <v>0</v>
      </c>
      <c r="M54" s="90">
        <f t="shared" si="2"/>
        <v>0</v>
      </c>
      <c r="N54" s="91">
        <f>IF(Crédits!$K$6="",0,MAX(0,MIN(M54,Plan!$L$56-(IF(Crédits!$K$5="",0,IF(Crédits!$K$5&lt;Crédits!$K$6,E54,0))+IF(Crédits!$K$7="",0,IF(Crédits!$K$7&lt;Crédits!$K$6,U54,0))+IF(Crédits!$K$8="",0,IF(Crédits!$K$8&lt;Crédits!$K$6,AC54,0))+IF(Crédits!$K$9="",0,IF(Crédits!$K$9&lt;Crédits!$K$6,AK54,0))+IF(Crédits!$K$10="",0,IF(Crédits!$K$10&lt;Crédits!$K$6,AS54,0))))))</f>
        <v>0</v>
      </c>
      <c r="O54" s="92">
        <f t="shared" si="3"/>
        <v>0</v>
      </c>
      <c r="P54" s="88">
        <f>ROUND(P53+Q54-MIN(N(Crédits!$E$6),P53+Q54),2)</f>
        <v>0</v>
      </c>
      <c r="Q54" s="89">
        <f>P53*N(Crédits!$D$6)/12</f>
        <v>0</v>
      </c>
      <c r="R54" s="93">
        <f t="shared" si="18"/>
        <v>0</v>
      </c>
      <c r="S54" s="93">
        <f>R54*N(Crédits!$D$7)/12</f>
        <v>0</v>
      </c>
      <c r="T54" s="93">
        <f>MIN(N(Crédits!$E$7),R54+S54)</f>
        <v>0</v>
      </c>
      <c r="U54" s="93">
        <f t="shared" si="4"/>
        <v>0</v>
      </c>
      <c r="V54" s="94">
        <f>IF(Crédits!$K$7="",0,MAX(0,MIN(U54,Plan!$L$56-(IF(Crédits!$K$5="",0,IF(Crédits!$K$5&lt;Crédits!$K$7,E54,0))+IF(Crédits!$K$6="",0,IF(Crédits!$K$6&lt;Crédits!$K$7,M54,0))+IF(Crédits!$K$8="",0,IF(Crédits!$K$8&lt;Crédits!$K$7,AC54,0))+IF(Crédits!$K$9="",0,IF(Crédits!$K$9&lt;Crédits!$K$7,AK54,0))+IF(Crédits!$K$10="",0,IF(Crédits!$K$10&lt;Crédits!$K$7,AS54,0))))))</f>
        <v>0</v>
      </c>
      <c r="W54" s="95">
        <f t="shared" si="5"/>
        <v>0</v>
      </c>
      <c r="X54" s="88">
        <f>ROUND(X53+Y54-MIN(N(Crédits!$E$7),X53+Y54),2)</f>
        <v>0</v>
      </c>
      <c r="Y54" s="89">
        <f>X53*N(Crédits!$D$7)/12</f>
        <v>0</v>
      </c>
      <c r="Z54" s="96">
        <f t="shared" si="19"/>
        <v>0</v>
      </c>
      <c r="AA54" s="96">
        <f>Z54*N(Crédits!$D$8)/12</f>
        <v>0</v>
      </c>
      <c r="AB54" s="96">
        <f>MIN(N(Crédits!$E$8),Z54+AA54)</f>
        <v>0</v>
      </c>
      <c r="AC54" s="96">
        <f t="shared" si="6"/>
        <v>0</v>
      </c>
      <c r="AD54" s="97">
        <f>IF(Crédits!$K$8="",0,MAX(0,MIN(AC54,Plan!$L$56-(IF(Crédits!$K$5="",0,IF(Crédits!$K$5&lt;Crédits!$K$8,E54,0))+IF(Crédits!$K$6="",0,IF(Crédits!$K$6&lt;Crédits!$K$8,M54,0))+IF(Crédits!$K$7="",0,IF(Crédits!$K$7&lt;Crédits!$K$8,U54,0))+IF(Crédits!$K$9="",0,IF(Crédits!$K$9&lt;Crédits!$K$8,AK54,0))+IF(Crédits!$K$10="",0,IF(Crédits!$K$10&lt;Crédits!$K$8,AS54,0))))))</f>
        <v>0</v>
      </c>
      <c r="AE54" s="98">
        <f t="shared" si="7"/>
        <v>0</v>
      </c>
      <c r="AF54" s="88">
        <f>ROUND(AF53+AG54-MIN(N(Crédits!$E$8),AF53+AG54),2)</f>
        <v>0</v>
      </c>
      <c r="AG54" s="89">
        <f>AF53*N(Crédits!$D$8)/12</f>
        <v>0</v>
      </c>
      <c r="AH54" s="99">
        <f t="shared" si="20"/>
        <v>0</v>
      </c>
      <c r="AI54" s="99">
        <f>AH54*N(Crédits!$D$9)/12</f>
        <v>0</v>
      </c>
      <c r="AJ54" s="99">
        <f>MIN(N(Crédits!$E$9),AH54+AI54)</f>
        <v>0</v>
      </c>
      <c r="AK54" s="99">
        <f t="shared" si="8"/>
        <v>0</v>
      </c>
      <c r="AL54" s="100">
        <f>IF(Crédits!$K$9="",0,MAX(0,MIN(AK54,Plan!$L$56-(IF(Crédits!$K$5="",0,IF(Crédits!$K$5&lt;Crédits!$K$9,E54,0))+IF(Crédits!$K$6="",0,IF(Crédits!$K$6&lt;Crédits!$K$9,M54,0))+IF(Crédits!$K$7="",0,IF(Crédits!$K$7&lt;Crédits!$K$9,U54,0))+IF(Crédits!$K$8="",0,IF(Crédits!$K$8&lt;Crédits!$K$9,AC54,0))+IF(Crédits!$K$10="",0,IF(Crédits!$K$10&lt;Crédits!$K$9,AS54,0))))))</f>
        <v>0</v>
      </c>
      <c r="AM54" s="101">
        <f t="shared" si="9"/>
        <v>0</v>
      </c>
      <c r="AN54" s="88">
        <f>ROUND(AN53+AO54-MIN(N(Crédits!$E$9),AN53+AO54),2)</f>
        <v>0</v>
      </c>
      <c r="AO54" s="89">
        <f>AN53*N(Crédits!$D$9)/12</f>
        <v>0</v>
      </c>
      <c r="AP54" s="102">
        <f t="shared" si="21"/>
        <v>0</v>
      </c>
      <c r="AQ54" s="102">
        <f>AP54*N(Crédits!$D$10)/12</f>
        <v>0</v>
      </c>
      <c r="AR54" s="102">
        <f>MIN(N(Crédits!$E$10),AP54+AQ54)</f>
        <v>0</v>
      </c>
      <c r="AS54" s="102">
        <f t="shared" si="10"/>
        <v>0</v>
      </c>
      <c r="AT54" s="103">
        <f>IF(Crédits!$K$10="",0,MAX(0,MIN(AS54,Plan!$L$56-(IF(Crédits!$K$5="",0,IF(Crédits!$K$5&lt;Crédits!$K$10,E54,0))+IF(Crédits!$K$6="",0,IF(Crédits!$K$6&lt;Crédits!$K$10,M54,0))+IF(Crédits!$K$7="",0,IF(Crédits!$K$7&lt;Crédits!$K$10,U54,0))+IF(Crédits!$K$8="",0,IF(Crédits!$K$8&lt;Crédits!$K$10,AC54,0))+IF(Crédits!$K$9="",0,IF(Crédits!$K$9&lt;Crédits!$K$10,AK54,0))))))</f>
        <v>0</v>
      </c>
      <c r="AU54" s="104">
        <f t="shared" si="11"/>
        <v>0</v>
      </c>
      <c r="AV54" s="88">
        <f>ROUND(AV53+AW54-MIN(N(Crédits!$E$10),AV53+AW54),2)</f>
        <v>0</v>
      </c>
      <c r="AW54" s="89">
        <f>AV53*N(Crédits!$D$10)/12</f>
        <v>0</v>
      </c>
      <c r="AX54" s="105">
        <f t="shared" si="12"/>
        <v>0</v>
      </c>
      <c r="AY54" s="105">
        <f t="shared" ref="AY54:AZ54" si="72">F54+N54+V54+AD54+AL54+AT54</f>
        <v>0</v>
      </c>
      <c r="AZ54" s="105">
        <f t="shared" si="72"/>
        <v>0</v>
      </c>
      <c r="BA54" s="105">
        <f t="shared" si="14"/>
        <v>0</v>
      </c>
      <c r="BB54" s="105">
        <f t="shared" si="15"/>
        <v>0</v>
      </c>
    </row>
    <row r="55" spans="1:54" ht="15" customHeight="1" x14ac:dyDescent="0.25">
      <c r="A55" s="2">
        <v>53</v>
      </c>
      <c r="B55" s="83">
        <f t="shared" si="16"/>
        <v>0</v>
      </c>
      <c r="C55" s="83">
        <f>B55*N(Crédits!$D$5)/12</f>
        <v>0</v>
      </c>
      <c r="D55" s="83">
        <f>MIN(N(Crédits!$E$5),B55+C55)</f>
        <v>0</v>
      </c>
      <c r="E55" s="83">
        <f t="shared" si="0"/>
        <v>0</v>
      </c>
      <c r="F55" s="86">
        <f>IF(Crédits!$K$5="",0,MAX(0,MIN(E55,Plan!$L$57-(IF(Crédits!$K$6="",0,IF(Crédits!$K$6&lt;Crédits!$K$5,M55,0))+IF(Crédits!$K$7="",0,IF(Crédits!$K$7&lt;Crédits!$K$5,U55,0))+IF(Crédits!$K$8="",0,IF(Crédits!$K$8&lt;Crédits!$K$5,AC55,0))+IF(Crédits!$K$9="",0,IF(Crédits!$K$9&lt;Crédits!$K$5,AK55,0))+IF(Crédits!$K$10="",0,IF(Crédits!$K$10&lt;Crédits!$K$5,AS55,0))))))</f>
        <v>0</v>
      </c>
      <c r="G55" s="87">
        <f t="shared" si="1"/>
        <v>0</v>
      </c>
      <c r="H55" s="88">
        <f>ROUND(H54+I55-MIN(N(Crédits!$E$5),H54+I55),2)</f>
        <v>0</v>
      </c>
      <c r="I55" s="89">
        <f>H54*N(Crédits!$D$5)/12</f>
        <v>0</v>
      </c>
      <c r="J55" s="90">
        <f t="shared" si="17"/>
        <v>0</v>
      </c>
      <c r="K55" s="90">
        <f>J55*N(Crédits!$D$6)/12</f>
        <v>0</v>
      </c>
      <c r="L55" s="90">
        <f>MIN(N(Crédits!$E$6),J55+K55)</f>
        <v>0</v>
      </c>
      <c r="M55" s="90">
        <f t="shared" si="2"/>
        <v>0</v>
      </c>
      <c r="N55" s="91">
        <f>IF(Crédits!$K$6="",0,MAX(0,MIN(M55,Plan!$L$57-(IF(Crédits!$K$5="",0,IF(Crédits!$K$5&lt;Crédits!$K$6,E55,0))+IF(Crédits!$K$7="",0,IF(Crédits!$K$7&lt;Crédits!$K$6,U55,0))+IF(Crédits!$K$8="",0,IF(Crédits!$K$8&lt;Crédits!$K$6,AC55,0))+IF(Crédits!$K$9="",0,IF(Crédits!$K$9&lt;Crédits!$K$6,AK55,0))+IF(Crédits!$K$10="",0,IF(Crédits!$K$10&lt;Crédits!$K$6,AS55,0))))))</f>
        <v>0</v>
      </c>
      <c r="O55" s="92">
        <f t="shared" si="3"/>
        <v>0</v>
      </c>
      <c r="P55" s="88">
        <f>ROUND(P54+Q55-MIN(N(Crédits!$E$6),P54+Q55),2)</f>
        <v>0</v>
      </c>
      <c r="Q55" s="89">
        <f>P54*N(Crédits!$D$6)/12</f>
        <v>0</v>
      </c>
      <c r="R55" s="93">
        <f t="shared" si="18"/>
        <v>0</v>
      </c>
      <c r="S55" s="93">
        <f>R55*N(Crédits!$D$7)/12</f>
        <v>0</v>
      </c>
      <c r="T55" s="93">
        <f>MIN(N(Crédits!$E$7),R55+S55)</f>
        <v>0</v>
      </c>
      <c r="U55" s="93">
        <f t="shared" si="4"/>
        <v>0</v>
      </c>
      <c r="V55" s="94">
        <f>IF(Crédits!$K$7="",0,MAX(0,MIN(U55,Plan!$L$57-(IF(Crédits!$K$5="",0,IF(Crédits!$K$5&lt;Crédits!$K$7,E55,0))+IF(Crédits!$K$6="",0,IF(Crédits!$K$6&lt;Crédits!$K$7,M55,0))+IF(Crédits!$K$8="",0,IF(Crédits!$K$8&lt;Crédits!$K$7,AC55,0))+IF(Crédits!$K$9="",0,IF(Crédits!$K$9&lt;Crédits!$K$7,AK55,0))+IF(Crédits!$K$10="",0,IF(Crédits!$K$10&lt;Crédits!$K$7,AS55,0))))))</f>
        <v>0</v>
      </c>
      <c r="W55" s="95">
        <f t="shared" si="5"/>
        <v>0</v>
      </c>
      <c r="X55" s="88">
        <f>ROUND(X54+Y55-MIN(N(Crédits!$E$7),X54+Y55),2)</f>
        <v>0</v>
      </c>
      <c r="Y55" s="89">
        <f>X54*N(Crédits!$D$7)/12</f>
        <v>0</v>
      </c>
      <c r="Z55" s="96">
        <f t="shared" si="19"/>
        <v>0</v>
      </c>
      <c r="AA55" s="96">
        <f>Z55*N(Crédits!$D$8)/12</f>
        <v>0</v>
      </c>
      <c r="AB55" s="96">
        <f>MIN(N(Crédits!$E$8),Z55+AA55)</f>
        <v>0</v>
      </c>
      <c r="AC55" s="96">
        <f t="shared" si="6"/>
        <v>0</v>
      </c>
      <c r="AD55" s="97">
        <f>IF(Crédits!$K$8="",0,MAX(0,MIN(AC55,Plan!$L$57-(IF(Crédits!$K$5="",0,IF(Crédits!$K$5&lt;Crédits!$K$8,E55,0))+IF(Crédits!$K$6="",0,IF(Crédits!$K$6&lt;Crédits!$K$8,M55,0))+IF(Crédits!$K$7="",0,IF(Crédits!$K$7&lt;Crédits!$K$8,U55,0))+IF(Crédits!$K$9="",0,IF(Crédits!$K$9&lt;Crédits!$K$8,AK55,0))+IF(Crédits!$K$10="",0,IF(Crédits!$K$10&lt;Crédits!$K$8,AS55,0))))))</f>
        <v>0</v>
      </c>
      <c r="AE55" s="98">
        <f t="shared" si="7"/>
        <v>0</v>
      </c>
      <c r="AF55" s="88">
        <f>ROUND(AF54+AG55-MIN(N(Crédits!$E$8),AF54+AG55),2)</f>
        <v>0</v>
      </c>
      <c r="AG55" s="89">
        <f>AF54*N(Crédits!$D$8)/12</f>
        <v>0</v>
      </c>
      <c r="AH55" s="99">
        <f t="shared" si="20"/>
        <v>0</v>
      </c>
      <c r="AI55" s="99">
        <f>AH55*N(Crédits!$D$9)/12</f>
        <v>0</v>
      </c>
      <c r="AJ55" s="99">
        <f>MIN(N(Crédits!$E$9),AH55+AI55)</f>
        <v>0</v>
      </c>
      <c r="AK55" s="99">
        <f t="shared" si="8"/>
        <v>0</v>
      </c>
      <c r="AL55" s="100">
        <f>IF(Crédits!$K$9="",0,MAX(0,MIN(AK55,Plan!$L$57-(IF(Crédits!$K$5="",0,IF(Crédits!$K$5&lt;Crédits!$K$9,E55,0))+IF(Crédits!$K$6="",0,IF(Crédits!$K$6&lt;Crédits!$K$9,M55,0))+IF(Crédits!$K$7="",0,IF(Crédits!$K$7&lt;Crédits!$K$9,U55,0))+IF(Crédits!$K$8="",0,IF(Crédits!$K$8&lt;Crédits!$K$9,AC55,0))+IF(Crédits!$K$10="",0,IF(Crédits!$K$10&lt;Crédits!$K$9,AS55,0))))))</f>
        <v>0</v>
      </c>
      <c r="AM55" s="101">
        <f t="shared" si="9"/>
        <v>0</v>
      </c>
      <c r="AN55" s="88">
        <f>ROUND(AN54+AO55-MIN(N(Crédits!$E$9),AN54+AO55),2)</f>
        <v>0</v>
      </c>
      <c r="AO55" s="89">
        <f>AN54*N(Crédits!$D$9)/12</f>
        <v>0</v>
      </c>
      <c r="AP55" s="102">
        <f t="shared" si="21"/>
        <v>0</v>
      </c>
      <c r="AQ55" s="102">
        <f>AP55*N(Crédits!$D$10)/12</f>
        <v>0</v>
      </c>
      <c r="AR55" s="102">
        <f>MIN(N(Crédits!$E$10),AP55+AQ55)</f>
        <v>0</v>
      </c>
      <c r="AS55" s="102">
        <f t="shared" si="10"/>
        <v>0</v>
      </c>
      <c r="AT55" s="103">
        <f>IF(Crédits!$K$10="",0,MAX(0,MIN(AS55,Plan!$L$57-(IF(Crédits!$K$5="",0,IF(Crédits!$K$5&lt;Crédits!$K$10,E55,0))+IF(Crédits!$K$6="",0,IF(Crédits!$K$6&lt;Crédits!$K$10,M55,0))+IF(Crédits!$K$7="",0,IF(Crédits!$K$7&lt;Crédits!$K$10,U55,0))+IF(Crédits!$K$8="",0,IF(Crédits!$K$8&lt;Crédits!$K$10,AC55,0))+IF(Crédits!$K$9="",0,IF(Crédits!$K$9&lt;Crédits!$K$10,AK55,0))))))</f>
        <v>0</v>
      </c>
      <c r="AU55" s="104">
        <f t="shared" si="11"/>
        <v>0</v>
      </c>
      <c r="AV55" s="88">
        <f>ROUND(AV54+AW55-MIN(N(Crédits!$E$10),AV54+AW55),2)</f>
        <v>0</v>
      </c>
      <c r="AW55" s="89">
        <f>AV54*N(Crédits!$D$10)/12</f>
        <v>0</v>
      </c>
      <c r="AX55" s="105">
        <f t="shared" si="12"/>
        <v>0</v>
      </c>
      <c r="AY55" s="105">
        <f t="shared" ref="AY55:AZ55" si="73">F55+N55+V55+AD55+AL55+AT55</f>
        <v>0</v>
      </c>
      <c r="AZ55" s="105">
        <f t="shared" si="73"/>
        <v>0</v>
      </c>
      <c r="BA55" s="105">
        <f t="shared" si="14"/>
        <v>0</v>
      </c>
      <c r="BB55" s="105">
        <f t="shared" si="15"/>
        <v>0</v>
      </c>
    </row>
    <row r="56" spans="1:54" ht="15" customHeight="1" x14ac:dyDescent="0.25">
      <c r="A56" s="2">
        <v>54</v>
      </c>
      <c r="B56" s="83">
        <f t="shared" si="16"/>
        <v>0</v>
      </c>
      <c r="C56" s="83">
        <f>B56*N(Crédits!$D$5)/12</f>
        <v>0</v>
      </c>
      <c r="D56" s="83">
        <f>MIN(N(Crédits!$E$5),B56+C56)</f>
        <v>0</v>
      </c>
      <c r="E56" s="83">
        <f t="shared" si="0"/>
        <v>0</v>
      </c>
      <c r="F56" s="86">
        <f>IF(Crédits!$K$5="",0,MAX(0,MIN(E56,Plan!$L$58-(IF(Crédits!$K$6="",0,IF(Crédits!$K$6&lt;Crédits!$K$5,M56,0))+IF(Crédits!$K$7="",0,IF(Crédits!$K$7&lt;Crédits!$K$5,U56,0))+IF(Crédits!$K$8="",0,IF(Crédits!$K$8&lt;Crédits!$K$5,AC56,0))+IF(Crédits!$K$9="",0,IF(Crédits!$K$9&lt;Crédits!$K$5,AK56,0))+IF(Crédits!$K$10="",0,IF(Crédits!$K$10&lt;Crédits!$K$5,AS56,0))))))</f>
        <v>0</v>
      </c>
      <c r="G56" s="87">
        <f t="shared" si="1"/>
        <v>0</v>
      </c>
      <c r="H56" s="88">
        <f>ROUND(H55+I56-MIN(N(Crédits!$E$5),H55+I56),2)</f>
        <v>0</v>
      </c>
      <c r="I56" s="89">
        <f>H55*N(Crédits!$D$5)/12</f>
        <v>0</v>
      </c>
      <c r="J56" s="90">
        <f t="shared" si="17"/>
        <v>0</v>
      </c>
      <c r="K56" s="90">
        <f>J56*N(Crédits!$D$6)/12</f>
        <v>0</v>
      </c>
      <c r="L56" s="90">
        <f>MIN(N(Crédits!$E$6),J56+K56)</f>
        <v>0</v>
      </c>
      <c r="M56" s="90">
        <f t="shared" si="2"/>
        <v>0</v>
      </c>
      <c r="N56" s="91">
        <f>IF(Crédits!$K$6="",0,MAX(0,MIN(M56,Plan!$L$58-(IF(Crédits!$K$5="",0,IF(Crédits!$K$5&lt;Crédits!$K$6,E56,0))+IF(Crédits!$K$7="",0,IF(Crédits!$K$7&lt;Crédits!$K$6,U56,0))+IF(Crédits!$K$8="",0,IF(Crédits!$K$8&lt;Crédits!$K$6,AC56,0))+IF(Crédits!$K$9="",0,IF(Crédits!$K$9&lt;Crédits!$K$6,AK56,0))+IF(Crédits!$K$10="",0,IF(Crédits!$K$10&lt;Crédits!$K$6,AS56,0))))))</f>
        <v>0</v>
      </c>
      <c r="O56" s="92">
        <f t="shared" si="3"/>
        <v>0</v>
      </c>
      <c r="P56" s="88">
        <f>ROUND(P55+Q56-MIN(N(Crédits!$E$6),P55+Q56),2)</f>
        <v>0</v>
      </c>
      <c r="Q56" s="89">
        <f>P55*N(Crédits!$D$6)/12</f>
        <v>0</v>
      </c>
      <c r="R56" s="93">
        <f t="shared" si="18"/>
        <v>0</v>
      </c>
      <c r="S56" s="93">
        <f>R56*N(Crédits!$D$7)/12</f>
        <v>0</v>
      </c>
      <c r="T56" s="93">
        <f>MIN(N(Crédits!$E$7),R56+S56)</f>
        <v>0</v>
      </c>
      <c r="U56" s="93">
        <f t="shared" si="4"/>
        <v>0</v>
      </c>
      <c r="V56" s="94">
        <f>IF(Crédits!$K$7="",0,MAX(0,MIN(U56,Plan!$L$58-(IF(Crédits!$K$5="",0,IF(Crédits!$K$5&lt;Crédits!$K$7,E56,0))+IF(Crédits!$K$6="",0,IF(Crédits!$K$6&lt;Crédits!$K$7,M56,0))+IF(Crédits!$K$8="",0,IF(Crédits!$K$8&lt;Crédits!$K$7,AC56,0))+IF(Crédits!$K$9="",0,IF(Crédits!$K$9&lt;Crédits!$K$7,AK56,0))+IF(Crédits!$K$10="",0,IF(Crédits!$K$10&lt;Crédits!$K$7,AS56,0))))))</f>
        <v>0</v>
      </c>
      <c r="W56" s="95">
        <f t="shared" si="5"/>
        <v>0</v>
      </c>
      <c r="X56" s="88">
        <f>ROUND(X55+Y56-MIN(N(Crédits!$E$7),X55+Y56),2)</f>
        <v>0</v>
      </c>
      <c r="Y56" s="89">
        <f>X55*N(Crédits!$D$7)/12</f>
        <v>0</v>
      </c>
      <c r="Z56" s="96">
        <f t="shared" si="19"/>
        <v>0</v>
      </c>
      <c r="AA56" s="96">
        <f>Z56*N(Crédits!$D$8)/12</f>
        <v>0</v>
      </c>
      <c r="AB56" s="96">
        <f>MIN(N(Crédits!$E$8),Z56+AA56)</f>
        <v>0</v>
      </c>
      <c r="AC56" s="96">
        <f t="shared" si="6"/>
        <v>0</v>
      </c>
      <c r="AD56" s="97">
        <f>IF(Crédits!$K$8="",0,MAX(0,MIN(AC56,Plan!$L$58-(IF(Crédits!$K$5="",0,IF(Crédits!$K$5&lt;Crédits!$K$8,E56,0))+IF(Crédits!$K$6="",0,IF(Crédits!$K$6&lt;Crédits!$K$8,M56,0))+IF(Crédits!$K$7="",0,IF(Crédits!$K$7&lt;Crédits!$K$8,U56,0))+IF(Crédits!$K$9="",0,IF(Crédits!$K$9&lt;Crédits!$K$8,AK56,0))+IF(Crédits!$K$10="",0,IF(Crédits!$K$10&lt;Crédits!$K$8,AS56,0))))))</f>
        <v>0</v>
      </c>
      <c r="AE56" s="98">
        <f t="shared" si="7"/>
        <v>0</v>
      </c>
      <c r="AF56" s="88">
        <f>ROUND(AF55+AG56-MIN(N(Crédits!$E$8),AF55+AG56),2)</f>
        <v>0</v>
      </c>
      <c r="AG56" s="89">
        <f>AF55*N(Crédits!$D$8)/12</f>
        <v>0</v>
      </c>
      <c r="AH56" s="99">
        <f t="shared" si="20"/>
        <v>0</v>
      </c>
      <c r="AI56" s="99">
        <f>AH56*N(Crédits!$D$9)/12</f>
        <v>0</v>
      </c>
      <c r="AJ56" s="99">
        <f>MIN(N(Crédits!$E$9),AH56+AI56)</f>
        <v>0</v>
      </c>
      <c r="AK56" s="99">
        <f t="shared" si="8"/>
        <v>0</v>
      </c>
      <c r="AL56" s="100">
        <f>IF(Crédits!$K$9="",0,MAX(0,MIN(AK56,Plan!$L$58-(IF(Crédits!$K$5="",0,IF(Crédits!$K$5&lt;Crédits!$K$9,E56,0))+IF(Crédits!$K$6="",0,IF(Crédits!$K$6&lt;Crédits!$K$9,M56,0))+IF(Crédits!$K$7="",0,IF(Crédits!$K$7&lt;Crédits!$K$9,U56,0))+IF(Crédits!$K$8="",0,IF(Crédits!$K$8&lt;Crédits!$K$9,AC56,0))+IF(Crédits!$K$10="",0,IF(Crédits!$K$10&lt;Crédits!$K$9,AS56,0))))))</f>
        <v>0</v>
      </c>
      <c r="AM56" s="101">
        <f t="shared" si="9"/>
        <v>0</v>
      </c>
      <c r="AN56" s="88">
        <f>ROUND(AN55+AO56-MIN(N(Crédits!$E$9),AN55+AO56),2)</f>
        <v>0</v>
      </c>
      <c r="AO56" s="89">
        <f>AN55*N(Crédits!$D$9)/12</f>
        <v>0</v>
      </c>
      <c r="AP56" s="102">
        <f t="shared" si="21"/>
        <v>0</v>
      </c>
      <c r="AQ56" s="102">
        <f>AP56*N(Crédits!$D$10)/12</f>
        <v>0</v>
      </c>
      <c r="AR56" s="102">
        <f>MIN(N(Crédits!$E$10),AP56+AQ56)</f>
        <v>0</v>
      </c>
      <c r="AS56" s="102">
        <f t="shared" si="10"/>
        <v>0</v>
      </c>
      <c r="AT56" s="103">
        <f>IF(Crédits!$K$10="",0,MAX(0,MIN(AS56,Plan!$L$58-(IF(Crédits!$K$5="",0,IF(Crédits!$K$5&lt;Crédits!$K$10,E56,0))+IF(Crédits!$K$6="",0,IF(Crédits!$K$6&lt;Crédits!$K$10,M56,0))+IF(Crédits!$K$7="",0,IF(Crédits!$K$7&lt;Crédits!$K$10,U56,0))+IF(Crédits!$K$8="",0,IF(Crédits!$K$8&lt;Crédits!$K$10,AC56,0))+IF(Crédits!$K$9="",0,IF(Crédits!$K$9&lt;Crédits!$K$10,AK56,0))))))</f>
        <v>0</v>
      </c>
      <c r="AU56" s="104">
        <f t="shared" si="11"/>
        <v>0</v>
      </c>
      <c r="AV56" s="88">
        <f>ROUND(AV55+AW56-MIN(N(Crédits!$E$10),AV55+AW56),2)</f>
        <v>0</v>
      </c>
      <c r="AW56" s="89">
        <f>AV55*N(Crédits!$D$10)/12</f>
        <v>0</v>
      </c>
      <c r="AX56" s="105">
        <f t="shared" si="12"/>
        <v>0</v>
      </c>
      <c r="AY56" s="105">
        <f t="shared" ref="AY56:AZ56" si="74">F56+N56+V56+AD56+AL56+AT56</f>
        <v>0</v>
      </c>
      <c r="AZ56" s="105">
        <f t="shared" si="74"/>
        <v>0</v>
      </c>
      <c r="BA56" s="105">
        <f t="shared" si="14"/>
        <v>0</v>
      </c>
      <c r="BB56" s="105">
        <f t="shared" si="15"/>
        <v>0</v>
      </c>
    </row>
    <row r="57" spans="1:54" ht="15" customHeight="1" x14ac:dyDescent="0.25">
      <c r="A57" s="2">
        <v>55</v>
      </c>
      <c r="B57" s="83">
        <f t="shared" si="16"/>
        <v>0</v>
      </c>
      <c r="C57" s="83">
        <f>B57*N(Crédits!$D$5)/12</f>
        <v>0</v>
      </c>
      <c r="D57" s="83">
        <f>MIN(N(Crédits!$E$5),B57+C57)</f>
        <v>0</v>
      </c>
      <c r="E57" s="83">
        <f t="shared" si="0"/>
        <v>0</v>
      </c>
      <c r="F57" s="86">
        <f>IF(Crédits!$K$5="",0,MAX(0,MIN(E57,Plan!$L$59-(IF(Crédits!$K$6="",0,IF(Crédits!$K$6&lt;Crédits!$K$5,M57,0))+IF(Crédits!$K$7="",0,IF(Crédits!$K$7&lt;Crédits!$K$5,U57,0))+IF(Crédits!$K$8="",0,IF(Crédits!$K$8&lt;Crédits!$K$5,AC57,0))+IF(Crédits!$K$9="",0,IF(Crédits!$K$9&lt;Crédits!$K$5,AK57,0))+IF(Crédits!$K$10="",0,IF(Crédits!$K$10&lt;Crédits!$K$5,AS57,0))))))</f>
        <v>0</v>
      </c>
      <c r="G57" s="87">
        <f t="shared" si="1"/>
        <v>0</v>
      </c>
      <c r="H57" s="88">
        <f>ROUND(H56+I57-MIN(N(Crédits!$E$5),H56+I57),2)</f>
        <v>0</v>
      </c>
      <c r="I57" s="89">
        <f>H56*N(Crédits!$D$5)/12</f>
        <v>0</v>
      </c>
      <c r="J57" s="90">
        <f t="shared" si="17"/>
        <v>0</v>
      </c>
      <c r="K57" s="90">
        <f>J57*N(Crédits!$D$6)/12</f>
        <v>0</v>
      </c>
      <c r="L57" s="90">
        <f>MIN(N(Crédits!$E$6),J57+K57)</f>
        <v>0</v>
      </c>
      <c r="M57" s="90">
        <f t="shared" si="2"/>
        <v>0</v>
      </c>
      <c r="N57" s="91">
        <f>IF(Crédits!$K$6="",0,MAX(0,MIN(M57,Plan!$L$59-(IF(Crédits!$K$5="",0,IF(Crédits!$K$5&lt;Crédits!$K$6,E57,0))+IF(Crédits!$K$7="",0,IF(Crédits!$K$7&lt;Crédits!$K$6,U57,0))+IF(Crédits!$K$8="",0,IF(Crédits!$K$8&lt;Crédits!$K$6,AC57,0))+IF(Crédits!$K$9="",0,IF(Crédits!$K$9&lt;Crédits!$K$6,AK57,0))+IF(Crédits!$K$10="",0,IF(Crédits!$K$10&lt;Crédits!$K$6,AS57,0))))))</f>
        <v>0</v>
      </c>
      <c r="O57" s="92">
        <f t="shared" si="3"/>
        <v>0</v>
      </c>
      <c r="P57" s="88">
        <f>ROUND(P56+Q57-MIN(N(Crédits!$E$6),P56+Q57),2)</f>
        <v>0</v>
      </c>
      <c r="Q57" s="89">
        <f>P56*N(Crédits!$D$6)/12</f>
        <v>0</v>
      </c>
      <c r="R57" s="93">
        <f t="shared" si="18"/>
        <v>0</v>
      </c>
      <c r="S57" s="93">
        <f>R57*N(Crédits!$D$7)/12</f>
        <v>0</v>
      </c>
      <c r="T57" s="93">
        <f>MIN(N(Crédits!$E$7),R57+S57)</f>
        <v>0</v>
      </c>
      <c r="U57" s="93">
        <f t="shared" si="4"/>
        <v>0</v>
      </c>
      <c r="V57" s="94">
        <f>IF(Crédits!$K$7="",0,MAX(0,MIN(U57,Plan!$L$59-(IF(Crédits!$K$5="",0,IF(Crédits!$K$5&lt;Crédits!$K$7,E57,0))+IF(Crédits!$K$6="",0,IF(Crédits!$K$6&lt;Crédits!$K$7,M57,0))+IF(Crédits!$K$8="",0,IF(Crédits!$K$8&lt;Crédits!$K$7,AC57,0))+IF(Crédits!$K$9="",0,IF(Crédits!$K$9&lt;Crédits!$K$7,AK57,0))+IF(Crédits!$K$10="",0,IF(Crédits!$K$10&lt;Crédits!$K$7,AS57,0))))))</f>
        <v>0</v>
      </c>
      <c r="W57" s="95">
        <f t="shared" si="5"/>
        <v>0</v>
      </c>
      <c r="X57" s="88">
        <f>ROUND(X56+Y57-MIN(N(Crédits!$E$7),X56+Y57),2)</f>
        <v>0</v>
      </c>
      <c r="Y57" s="89">
        <f>X56*N(Crédits!$D$7)/12</f>
        <v>0</v>
      </c>
      <c r="Z57" s="96">
        <f t="shared" si="19"/>
        <v>0</v>
      </c>
      <c r="AA57" s="96">
        <f>Z57*N(Crédits!$D$8)/12</f>
        <v>0</v>
      </c>
      <c r="AB57" s="96">
        <f>MIN(N(Crédits!$E$8),Z57+AA57)</f>
        <v>0</v>
      </c>
      <c r="AC57" s="96">
        <f t="shared" si="6"/>
        <v>0</v>
      </c>
      <c r="AD57" s="97">
        <f>IF(Crédits!$K$8="",0,MAX(0,MIN(AC57,Plan!$L$59-(IF(Crédits!$K$5="",0,IF(Crédits!$K$5&lt;Crédits!$K$8,E57,0))+IF(Crédits!$K$6="",0,IF(Crédits!$K$6&lt;Crédits!$K$8,M57,0))+IF(Crédits!$K$7="",0,IF(Crédits!$K$7&lt;Crédits!$K$8,U57,0))+IF(Crédits!$K$9="",0,IF(Crédits!$K$9&lt;Crédits!$K$8,AK57,0))+IF(Crédits!$K$10="",0,IF(Crédits!$K$10&lt;Crédits!$K$8,AS57,0))))))</f>
        <v>0</v>
      </c>
      <c r="AE57" s="98">
        <f t="shared" si="7"/>
        <v>0</v>
      </c>
      <c r="AF57" s="88">
        <f>ROUND(AF56+AG57-MIN(N(Crédits!$E$8),AF56+AG57),2)</f>
        <v>0</v>
      </c>
      <c r="AG57" s="89">
        <f>AF56*N(Crédits!$D$8)/12</f>
        <v>0</v>
      </c>
      <c r="AH57" s="99">
        <f t="shared" si="20"/>
        <v>0</v>
      </c>
      <c r="AI57" s="99">
        <f>AH57*N(Crédits!$D$9)/12</f>
        <v>0</v>
      </c>
      <c r="AJ57" s="99">
        <f>MIN(N(Crédits!$E$9),AH57+AI57)</f>
        <v>0</v>
      </c>
      <c r="AK57" s="99">
        <f t="shared" si="8"/>
        <v>0</v>
      </c>
      <c r="AL57" s="100">
        <f>IF(Crédits!$K$9="",0,MAX(0,MIN(AK57,Plan!$L$59-(IF(Crédits!$K$5="",0,IF(Crédits!$K$5&lt;Crédits!$K$9,E57,0))+IF(Crédits!$K$6="",0,IF(Crédits!$K$6&lt;Crédits!$K$9,M57,0))+IF(Crédits!$K$7="",0,IF(Crédits!$K$7&lt;Crédits!$K$9,U57,0))+IF(Crédits!$K$8="",0,IF(Crédits!$K$8&lt;Crédits!$K$9,AC57,0))+IF(Crédits!$K$10="",0,IF(Crédits!$K$10&lt;Crédits!$K$9,AS57,0))))))</f>
        <v>0</v>
      </c>
      <c r="AM57" s="101">
        <f t="shared" si="9"/>
        <v>0</v>
      </c>
      <c r="AN57" s="88">
        <f>ROUND(AN56+AO57-MIN(N(Crédits!$E$9),AN56+AO57),2)</f>
        <v>0</v>
      </c>
      <c r="AO57" s="89">
        <f>AN56*N(Crédits!$D$9)/12</f>
        <v>0</v>
      </c>
      <c r="AP57" s="102">
        <f t="shared" si="21"/>
        <v>0</v>
      </c>
      <c r="AQ57" s="102">
        <f>AP57*N(Crédits!$D$10)/12</f>
        <v>0</v>
      </c>
      <c r="AR57" s="102">
        <f>MIN(N(Crédits!$E$10),AP57+AQ57)</f>
        <v>0</v>
      </c>
      <c r="AS57" s="102">
        <f t="shared" si="10"/>
        <v>0</v>
      </c>
      <c r="AT57" s="103">
        <f>IF(Crédits!$K$10="",0,MAX(0,MIN(AS57,Plan!$L$59-(IF(Crédits!$K$5="",0,IF(Crédits!$K$5&lt;Crédits!$K$10,E57,0))+IF(Crédits!$K$6="",0,IF(Crédits!$K$6&lt;Crédits!$K$10,M57,0))+IF(Crédits!$K$7="",0,IF(Crédits!$K$7&lt;Crédits!$K$10,U57,0))+IF(Crédits!$K$8="",0,IF(Crédits!$K$8&lt;Crédits!$K$10,AC57,0))+IF(Crédits!$K$9="",0,IF(Crédits!$K$9&lt;Crédits!$K$10,AK57,0))))))</f>
        <v>0</v>
      </c>
      <c r="AU57" s="104">
        <f t="shared" si="11"/>
        <v>0</v>
      </c>
      <c r="AV57" s="88">
        <f>ROUND(AV56+AW57-MIN(N(Crédits!$E$10),AV56+AW57),2)</f>
        <v>0</v>
      </c>
      <c r="AW57" s="89">
        <f>AV56*N(Crédits!$D$10)/12</f>
        <v>0</v>
      </c>
      <c r="AX57" s="105">
        <f t="shared" si="12"/>
        <v>0</v>
      </c>
      <c r="AY57" s="105">
        <f t="shared" ref="AY57:AZ57" si="75">F57+N57+V57+AD57+AL57+AT57</f>
        <v>0</v>
      </c>
      <c r="AZ57" s="105">
        <f t="shared" si="75"/>
        <v>0</v>
      </c>
      <c r="BA57" s="105">
        <f t="shared" si="14"/>
        <v>0</v>
      </c>
      <c r="BB57" s="105">
        <f t="shared" si="15"/>
        <v>0</v>
      </c>
    </row>
    <row r="58" spans="1:54" ht="15" customHeight="1" x14ac:dyDescent="0.25">
      <c r="A58" s="2">
        <v>56</v>
      </c>
      <c r="B58" s="83">
        <f t="shared" si="16"/>
        <v>0</v>
      </c>
      <c r="C58" s="83">
        <f>B58*N(Crédits!$D$5)/12</f>
        <v>0</v>
      </c>
      <c r="D58" s="83">
        <f>MIN(N(Crédits!$E$5),B58+C58)</f>
        <v>0</v>
      </c>
      <c r="E58" s="83">
        <f t="shared" si="0"/>
        <v>0</v>
      </c>
      <c r="F58" s="86">
        <f>IF(Crédits!$K$5="",0,MAX(0,MIN(E58,Plan!$L$60-(IF(Crédits!$K$6="",0,IF(Crédits!$K$6&lt;Crédits!$K$5,M58,0))+IF(Crédits!$K$7="",0,IF(Crédits!$K$7&lt;Crédits!$K$5,U58,0))+IF(Crédits!$K$8="",0,IF(Crédits!$K$8&lt;Crédits!$K$5,AC58,0))+IF(Crédits!$K$9="",0,IF(Crédits!$K$9&lt;Crédits!$K$5,AK58,0))+IF(Crédits!$K$10="",0,IF(Crédits!$K$10&lt;Crédits!$K$5,AS58,0))))))</f>
        <v>0</v>
      </c>
      <c r="G58" s="87">
        <f t="shared" si="1"/>
        <v>0</v>
      </c>
      <c r="H58" s="88">
        <f>ROUND(H57+I58-MIN(N(Crédits!$E$5),H57+I58),2)</f>
        <v>0</v>
      </c>
      <c r="I58" s="89">
        <f>H57*N(Crédits!$D$5)/12</f>
        <v>0</v>
      </c>
      <c r="J58" s="90">
        <f t="shared" si="17"/>
        <v>0</v>
      </c>
      <c r="K58" s="90">
        <f>J58*N(Crédits!$D$6)/12</f>
        <v>0</v>
      </c>
      <c r="L58" s="90">
        <f>MIN(N(Crédits!$E$6),J58+K58)</f>
        <v>0</v>
      </c>
      <c r="M58" s="90">
        <f t="shared" si="2"/>
        <v>0</v>
      </c>
      <c r="N58" s="91">
        <f>IF(Crédits!$K$6="",0,MAX(0,MIN(M58,Plan!$L$60-(IF(Crédits!$K$5="",0,IF(Crédits!$K$5&lt;Crédits!$K$6,E58,0))+IF(Crédits!$K$7="",0,IF(Crédits!$K$7&lt;Crédits!$K$6,U58,0))+IF(Crédits!$K$8="",0,IF(Crédits!$K$8&lt;Crédits!$K$6,AC58,0))+IF(Crédits!$K$9="",0,IF(Crédits!$K$9&lt;Crédits!$K$6,AK58,0))+IF(Crédits!$K$10="",0,IF(Crédits!$K$10&lt;Crédits!$K$6,AS58,0))))))</f>
        <v>0</v>
      </c>
      <c r="O58" s="92">
        <f t="shared" si="3"/>
        <v>0</v>
      </c>
      <c r="P58" s="88">
        <f>ROUND(P57+Q58-MIN(N(Crédits!$E$6),P57+Q58),2)</f>
        <v>0</v>
      </c>
      <c r="Q58" s="89">
        <f>P57*N(Crédits!$D$6)/12</f>
        <v>0</v>
      </c>
      <c r="R58" s="93">
        <f t="shared" si="18"/>
        <v>0</v>
      </c>
      <c r="S58" s="93">
        <f>R58*N(Crédits!$D$7)/12</f>
        <v>0</v>
      </c>
      <c r="T58" s="93">
        <f>MIN(N(Crédits!$E$7),R58+S58)</f>
        <v>0</v>
      </c>
      <c r="U58" s="93">
        <f t="shared" si="4"/>
        <v>0</v>
      </c>
      <c r="V58" s="94">
        <f>IF(Crédits!$K$7="",0,MAX(0,MIN(U58,Plan!$L$60-(IF(Crédits!$K$5="",0,IF(Crédits!$K$5&lt;Crédits!$K$7,E58,0))+IF(Crédits!$K$6="",0,IF(Crédits!$K$6&lt;Crédits!$K$7,M58,0))+IF(Crédits!$K$8="",0,IF(Crédits!$K$8&lt;Crédits!$K$7,AC58,0))+IF(Crédits!$K$9="",0,IF(Crédits!$K$9&lt;Crédits!$K$7,AK58,0))+IF(Crédits!$K$10="",0,IF(Crédits!$K$10&lt;Crédits!$K$7,AS58,0))))))</f>
        <v>0</v>
      </c>
      <c r="W58" s="95">
        <f t="shared" si="5"/>
        <v>0</v>
      </c>
      <c r="X58" s="88">
        <f>ROUND(X57+Y58-MIN(N(Crédits!$E$7),X57+Y58),2)</f>
        <v>0</v>
      </c>
      <c r="Y58" s="89">
        <f>X57*N(Crédits!$D$7)/12</f>
        <v>0</v>
      </c>
      <c r="Z58" s="96">
        <f t="shared" si="19"/>
        <v>0</v>
      </c>
      <c r="AA58" s="96">
        <f>Z58*N(Crédits!$D$8)/12</f>
        <v>0</v>
      </c>
      <c r="AB58" s="96">
        <f>MIN(N(Crédits!$E$8),Z58+AA58)</f>
        <v>0</v>
      </c>
      <c r="AC58" s="96">
        <f t="shared" si="6"/>
        <v>0</v>
      </c>
      <c r="AD58" s="97">
        <f>IF(Crédits!$K$8="",0,MAX(0,MIN(AC58,Plan!$L$60-(IF(Crédits!$K$5="",0,IF(Crédits!$K$5&lt;Crédits!$K$8,E58,0))+IF(Crédits!$K$6="",0,IF(Crédits!$K$6&lt;Crédits!$K$8,M58,0))+IF(Crédits!$K$7="",0,IF(Crédits!$K$7&lt;Crédits!$K$8,U58,0))+IF(Crédits!$K$9="",0,IF(Crédits!$K$9&lt;Crédits!$K$8,AK58,0))+IF(Crédits!$K$10="",0,IF(Crédits!$K$10&lt;Crédits!$K$8,AS58,0))))))</f>
        <v>0</v>
      </c>
      <c r="AE58" s="98">
        <f t="shared" si="7"/>
        <v>0</v>
      </c>
      <c r="AF58" s="88">
        <f>ROUND(AF57+AG58-MIN(N(Crédits!$E$8),AF57+AG58),2)</f>
        <v>0</v>
      </c>
      <c r="AG58" s="89">
        <f>AF57*N(Crédits!$D$8)/12</f>
        <v>0</v>
      </c>
      <c r="AH58" s="99">
        <f t="shared" si="20"/>
        <v>0</v>
      </c>
      <c r="AI58" s="99">
        <f>AH58*N(Crédits!$D$9)/12</f>
        <v>0</v>
      </c>
      <c r="AJ58" s="99">
        <f>MIN(N(Crédits!$E$9),AH58+AI58)</f>
        <v>0</v>
      </c>
      <c r="AK58" s="99">
        <f t="shared" si="8"/>
        <v>0</v>
      </c>
      <c r="AL58" s="100">
        <f>IF(Crédits!$K$9="",0,MAX(0,MIN(AK58,Plan!$L$60-(IF(Crédits!$K$5="",0,IF(Crédits!$K$5&lt;Crédits!$K$9,E58,0))+IF(Crédits!$K$6="",0,IF(Crédits!$K$6&lt;Crédits!$K$9,M58,0))+IF(Crédits!$K$7="",0,IF(Crédits!$K$7&lt;Crédits!$K$9,U58,0))+IF(Crédits!$K$8="",0,IF(Crédits!$K$8&lt;Crédits!$K$9,AC58,0))+IF(Crédits!$K$10="",0,IF(Crédits!$K$10&lt;Crédits!$K$9,AS58,0))))))</f>
        <v>0</v>
      </c>
      <c r="AM58" s="101">
        <f t="shared" si="9"/>
        <v>0</v>
      </c>
      <c r="AN58" s="88">
        <f>ROUND(AN57+AO58-MIN(N(Crédits!$E$9),AN57+AO58),2)</f>
        <v>0</v>
      </c>
      <c r="AO58" s="89">
        <f>AN57*N(Crédits!$D$9)/12</f>
        <v>0</v>
      </c>
      <c r="AP58" s="102">
        <f t="shared" si="21"/>
        <v>0</v>
      </c>
      <c r="AQ58" s="102">
        <f>AP58*N(Crédits!$D$10)/12</f>
        <v>0</v>
      </c>
      <c r="AR58" s="102">
        <f>MIN(N(Crédits!$E$10),AP58+AQ58)</f>
        <v>0</v>
      </c>
      <c r="AS58" s="102">
        <f t="shared" si="10"/>
        <v>0</v>
      </c>
      <c r="AT58" s="103">
        <f>IF(Crédits!$K$10="",0,MAX(0,MIN(AS58,Plan!$L$60-(IF(Crédits!$K$5="",0,IF(Crédits!$K$5&lt;Crédits!$K$10,E58,0))+IF(Crédits!$K$6="",0,IF(Crédits!$K$6&lt;Crédits!$K$10,M58,0))+IF(Crédits!$K$7="",0,IF(Crédits!$K$7&lt;Crédits!$K$10,U58,0))+IF(Crédits!$K$8="",0,IF(Crédits!$K$8&lt;Crédits!$K$10,AC58,0))+IF(Crédits!$K$9="",0,IF(Crédits!$K$9&lt;Crédits!$K$10,AK58,0))))))</f>
        <v>0</v>
      </c>
      <c r="AU58" s="104">
        <f t="shared" si="11"/>
        <v>0</v>
      </c>
      <c r="AV58" s="88">
        <f>ROUND(AV57+AW58-MIN(N(Crédits!$E$10),AV57+AW58),2)</f>
        <v>0</v>
      </c>
      <c r="AW58" s="89">
        <f>AV57*N(Crédits!$D$10)/12</f>
        <v>0</v>
      </c>
      <c r="AX58" s="105">
        <f t="shared" si="12"/>
        <v>0</v>
      </c>
      <c r="AY58" s="105">
        <f t="shared" ref="AY58:AZ58" si="76">F58+N58+V58+AD58+AL58+AT58</f>
        <v>0</v>
      </c>
      <c r="AZ58" s="105">
        <f t="shared" si="76"/>
        <v>0</v>
      </c>
      <c r="BA58" s="105">
        <f t="shared" si="14"/>
        <v>0</v>
      </c>
      <c r="BB58" s="105">
        <f t="shared" si="15"/>
        <v>0</v>
      </c>
    </row>
    <row r="59" spans="1:54" ht="15" customHeight="1" x14ac:dyDescent="0.25">
      <c r="A59" s="2">
        <v>57</v>
      </c>
      <c r="B59" s="83">
        <f t="shared" si="16"/>
        <v>0</v>
      </c>
      <c r="C59" s="83">
        <f>B59*N(Crédits!$D$5)/12</f>
        <v>0</v>
      </c>
      <c r="D59" s="83">
        <f>MIN(N(Crédits!$E$5),B59+C59)</f>
        <v>0</v>
      </c>
      <c r="E59" s="83">
        <f t="shared" si="0"/>
        <v>0</v>
      </c>
      <c r="F59" s="86">
        <f>IF(Crédits!$K$5="",0,MAX(0,MIN(E59,Plan!$L$61-(IF(Crédits!$K$6="",0,IF(Crédits!$K$6&lt;Crédits!$K$5,M59,0))+IF(Crédits!$K$7="",0,IF(Crédits!$K$7&lt;Crédits!$K$5,U59,0))+IF(Crédits!$K$8="",0,IF(Crédits!$K$8&lt;Crédits!$K$5,AC59,0))+IF(Crédits!$K$9="",0,IF(Crédits!$K$9&lt;Crédits!$K$5,AK59,0))+IF(Crédits!$K$10="",0,IF(Crédits!$K$10&lt;Crédits!$K$5,AS59,0))))))</f>
        <v>0</v>
      </c>
      <c r="G59" s="87">
        <f t="shared" si="1"/>
        <v>0</v>
      </c>
      <c r="H59" s="88">
        <f>ROUND(H58+I59-MIN(N(Crédits!$E$5),H58+I59),2)</f>
        <v>0</v>
      </c>
      <c r="I59" s="89">
        <f>H58*N(Crédits!$D$5)/12</f>
        <v>0</v>
      </c>
      <c r="J59" s="90">
        <f t="shared" si="17"/>
        <v>0</v>
      </c>
      <c r="K59" s="90">
        <f>J59*N(Crédits!$D$6)/12</f>
        <v>0</v>
      </c>
      <c r="L59" s="90">
        <f>MIN(N(Crédits!$E$6),J59+K59)</f>
        <v>0</v>
      </c>
      <c r="M59" s="90">
        <f t="shared" si="2"/>
        <v>0</v>
      </c>
      <c r="N59" s="91">
        <f>IF(Crédits!$K$6="",0,MAX(0,MIN(M59,Plan!$L$61-(IF(Crédits!$K$5="",0,IF(Crédits!$K$5&lt;Crédits!$K$6,E59,0))+IF(Crédits!$K$7="",0,IF(Crédits!$K$7&lt;Crédits!$K$6,U59,0))+IF(Crédits!$K$8="",0,IF(Crédits!$K$8&lt;Crédits!$K$6,AC59,0))+IF(Crédits!$K$9="",0,IF(Crédits!$K$9&lt;Crédits!$K$6,AK59,0))+IF(Crédits!$K$10="",0,IF(Crédits!$K$10&lt;Crédits!$K$6,AS59,0))))))</f>
        <v>0</v>
      </c>
      <c r="O59" s="92">
        <f t="shared" si="3"/>
        <v>0</v>
      </c>
      <c r="P59" s="88">
        <f>ROUND(P58+Q59-MIN(N(Crédits!$E$6),P58+Q59),2)</f>
        <v>0</v>
      </c>
      <c r="Q59" s="89">
        <f>P58*N(Crédits!$D$6)/12</f>
        <v>0</v>
      </c>
      <c r="R59" s="93">
        <f t="shared" si="18"/>
        <v>0</v>
      </c>
      <c r="S59" s="93">
        <f>R59*N(Crédits!$D$7)/12</f>
        <v>0</v>
      </c>
      <c r="T59" s="93">
        <f>MIN(N(Crédits!$E$7),R59+S59)</f>
        <v>0</v>
      </c>
      <c r="U59" s="93">
        <f t="shared" si="4"/>
        <v>0</v>
      </c>
      <c r="V59" s="94">
        <f>IF(Crédits!$K$7="",0,MAX(0,MIN(U59,Plan!$L$61-(IF(Crédits!$K$5="",0,IF(Crédits!$K$5&lt;Crédits!$K$7,E59,0))+IF(Crédits!$K$6="",0,IF(Crédits!$K$6&lt;Crédits!$K$7,M59,0))+IF(Crédits!$K$8="",0,IF(Crédits!$K$8&lt;Crédits!$K$7,AC59,0))+IF(Crédits!$K$9="",0,IF(Crédits!$K$9&lt;Crédits!$K$7,AK59,0))+IF(Crédits!$K$10="",0,IF(Crédits!$K$10&lt;Crédits!$K$7,AS59,0))))))</f>
        <v>0</v>
      </c>
      <c r="W59" s="95">
        <f t="shared" si="5"/>
        <v>0</v>
      </c>
      <c r="X59" s="88">
        <f>ROUND(X58+Y59-MIN(N(Crédits!$E$7),X58+Y59),2)</f>
        <v>0</v>
      </c>
      <c r="Y59" s="89">
        <f>X58*N(Crédits!$D$7)/12</f>
        <v>0</v>
      </c>
      <c r="Z59" s="96">
        <f t="shared" si="19"/>
        <v>0</v>
      </c>
      <c r="AA59" s="96">
        <f>Z59*N(Crédits!$D$8)/12</f>
        <v>0</v>
      </c>
      <c r="AB59" s="96">
        <f>MIN(N(Crédits!$E$8),Z59+AA59)</f>
        <v>0</v>
      </c>
      <c r="AC59" s="96">
        <f t="shared" si="6"/>
        <v>0</v>
      </c>
      <c r="AD59" s="97">
        <f>IF(Crédits!$K$8="",0,MAX(0,MIN(AC59,Plan!$L$61-(IF(Crédits!$K$5="",0,IF(Crédits!$K$5&lt;Crédits!$K$8,E59,0))+IF(Crédits!$K$6="",0,IF(Crédits!$K$6&lt;Crédits!$K$8,M59,0))+IF(Crédits!$K$7="",0,IF(Crédits!$K$7&lt;Crédits!$K$8,U59,0))+IF(Crédits!$K$9="",0,IF(Crédits!$K$9&lt;Crédits!$K$8,AK59,0))+IF(Crédits!$K$10="",0,IF(Crédits!$K$10&lt;Crédits!$K$8,AS59,0))))))</f>
        <v>0</v>
      </c>
      <c r="AE59" s="98">
        <f t="shared" si="7"/>
        <v>0</v>
      </c>
      <c r="AF59" s="88">
        <f>ROUND(AF58+AG59-MIN(N(Crédits!$E$8),AF58+AG59),2)</f>
        <v>0</v>
      </c>
      <c r="AG59" s="89">
        <f>AF58*N(Crédits!$D$8)/12</f>
        <v>0</v>
      </c>
      <c r="AH59" s="99">
        <f t="shared" si="20"/>
        <v>0</v>
      </c>
      <c r="AI59" s="99">
        <f>AH59*N(Crédits!$D$9)/12</f>
        <v>0</v>
      </c>
      <c r="AJ59" s="99">
        <f>MIN(N(Crédits!$E$9),AH59+AI59)</f>
        <v>0</v>
      </c>
      <c r="AK59" s="99">
        <f t="shared" si="8"/>
        <v>0</v>
      </c>
      <c r="AL59" s="100">
        <f>IF(Crédits!$K$9="",0,MAX(0,MIN(AK59,Plan!$L$61-(IF(Crédits!$K$5="",0,IF(Crédits!$K$5&lt;Crédits!$K$9,E59,0))+IF(Crédits!$K$6="",0,IF(Crédits!$K$6&lt;Crédits!$K$9,M59,0))+IF(Crédits!$K$7="",0,IF(Crédits!$K$7&lt;Crédits!$K$9,U59,0))+IF(Crédits!$K$8="",0,IF(Crédits!$K$8&lt;Crédits!$K$9,AC59,0))+IF(Crédits!$K$10="",0,IF(Crédits!$K$10&lt;Crédits!$K$9,AS59,0))))))</f>
        <v>0</v>
      </c>
      <c r="AM59" s="101">
        <f t="shared" si="9"/>
        <v>0</v>
      </c>
      <c r="AN59" s="88">
        <f>ROUND(AN58+AO59-MIN(N(Crédits!$E$9),AN58+AO59),2)</f>
        <v>0</v>
      </c>
      <c r="AO59" s="89">
        <f>AN58*N(Crédits!$D$9)/12</f>
        <v>0</v>
      </c>
      <c r="AP59" s="102">
        <f t="shared" si="21"/>
        <v>0</v>
      </c>
      <c r="AQ59" s="102">
        <f>AP59*N(Crédits!$D$10)/12</f>
        <v>0</v>
      </c>
      <c r="AR59" s="102">
        <f>MIN(N(Crédits!$E$10),AP59+AQ59)</f>
        <v>0</v>
      </c>
      <c r="AS59" s="102">
        <f t="shared" si="10"/>
        <v>0</v>
      </c>
      <c r="AT59" s="103">
        <f>IF(Crédits!$K$10="",0,MAX(0,MIN(AS59,Plan!$L$61-(IF(Crédits!$K$5="",0,IF(Crédits!$K$5&lt;Crédits!$K$10,E59,0))+IF(Crédits!$K$6="",0,IF(Crédits!$K$6&lt;Crédits!$K$10,M59,0))+IF(Crédits!$K$7="",0,IF(Crédits!$K$7&lt;Crédits!$K$10,U59,0))+IF(Crédits!$K$8="",0,IF(Crédits!$K$8&lt;Crédits!$K$10,AC59,0))+IF(Crédits!$K$9="",0,IF(Crédits!$K$9&lt;Crédits!$K$10,AK59,0))))))</f>
        <v>0</v>
      </c>
      <c r="AU59" s="104">
        <f t="shared" si="11"/>
        <v>0</v>
      </c>
      <c r="AV59" s="88">
        <f>ROUND(AV58+AW59-MIN(N(Crédits!$E$10),AV58+AW59),2)</f>
        <v>0</v>
      </c>
      <c r="AW59" s="89">
        <f>AV58*N(Crédits!$D$10)/12</f>
        <v>0</v>
      </c>
      <c r="AX59" s="105">
        <f t="shared" si="12"/>
        <v>0</v>
      </c>
      <c r="AY59" s="105">
        <f t="shared" ref="AY59:AZ59" si="77">F59+N59+V59+AD59+AL59+AT59</f>
        <v>0</v>
      </c>
      <c r="AZ59" s="105">
        <f t="shared" si="77"/>
        <v>0</v>
      </c>
      <c r="BA59" s="105">
        <f t="shared" si="14"/>
        <v>0</v>
      </c>
      <c r="BB59" s="105">
        <f t="shared" si="15"/>
        <v>0</v>
      </c>
    </row>
    <row r="60" spans="1:54" ht="15" customHeight="1" x14ac:dyDescent="0.25">
      <c r="A60" s="2">
        <v>58</v>
      </c>
      <c r="B60" s="83">
        <f t="shared" si="16"/>
        <v>0</v>
      </c>
      <c r="C60" s="83">
        <f>B60*N(Crédits!$D$5)/12</f>
        <v>0</v>
      </c>
      <c r="D60" s="83">
        <f>MIN(N(Crédits!$E$5),B60+C60)</f>
        <v>0</v>
      </c>
      <c r="E60" s="83">
        <f t="shared" si="0"/>
        <v>0</v>
      </c>
      <c r="F60" s="86">
        <f>IF(Crédits!$K$5="",0,MAX(0,MIN(E60,Plan!$L$62-(IF(Crédits!$K$6="",0,IF(Crédits!$K$6&lt;Crédits!$K$5,M60,0))+IF(Crédits!$K$7="",0,IF(Crédits!$K$7&lt;Crédits!$K$5,U60,0))+IF(Crédits!$K$8="",0,IF(Crédits!$K$8&lt;Crédits!$K$5,AC60,0))+IF(Crédits!$K$9="",0,IF(Crédits!$K$9&lt;Crédits!$K$5,AK60,0))+IF(Crédits!$K$10="",0,IF(Crédits!$K$10&lt;Crédits!$K$5,AS60,0))))))</f>
        <v>0</v>
      </c>
      <c r="G60" s="87">
        <f t="shared" si="1"/>
        <v>0</v>
      </c>
      <c r="H60" s="88">
        <f>ROUND(H59+I60-MIN(N(Crédits!$E$5),H59+I60),2)</f>
        <v>0</v>
      </c>
      <c r="I60" s="89">
        <f>H59*N(Crédits!$D$5)/12</f>
        <v>0</v>
      </c>
      <c r="J60" s="90">
        <f t="shared" si="17"/>
        <v>0</v>
      </c>
      <c r="K60" s="90">
        <f>J60*N(Crédits!$D$6)/12</f>
        <v>0</v>
      </c>
      <c r="L60" s="90">
        <f>MIN(N(Crédits!$E$6),J60+K60)</f>
        <v>0</v>
      </c>
      <c r="M60" s="90">
        <f t="shared" si="2"/>
        <v>0</v>
      </c>
      <c r="N60" s="91">
        <f>IF(Crédits!$K$6="",0,MAX(0,MIN(M60,Plan!$L$62-(IF(Crédits!$K$5="",0,IF(Crédits!$K$5&lt;Crédits!$K$6,E60,0))+IF(Crédits!$K$7="",0,IF(Crédits!$K$7&lt;Crédits!$K$6,U60,0))+IF(Crédits!$K$8="",0,IF(Crédits!$K$8&lt;Crédits!$K$6,AC60,0))+IF(Crédits!$K$9="",0,IF(Crédits!$K$9&lt;Crédits!$K$6,AK60,0))+IF(Crédits!$K$10="",0,IF(Crédits!$K$10&lt;Crédits!$K$6,AS60,0))))))</f>
        <v>0</v>
      </c>
      <c r="O60" s="92">
        <f t="shared" si="3"/>
        <v>0</v>
      </c>
      <c r="P60" s="88">
        <f>ROUND(P59+Q60-MIN(N(Crédits!$E$6),P59+Q60),2)</f>
        <v>0</v>
      </c>
      <c r="Q60" s="89">
        <f>P59*N(Crédits!$D$6)/12</f>
        <v>0</v>
      </c>
      <c r="R60" s="93">
        <f t="shared" si="18"/>
        <v>0</v>
      </c>
      <c r="S60" s="93">
        <f>R60*N(Crédits!$D$7)/12</f>
        <v>0</v>
      </c>
      <c r="T60" s="93">
        <f>MIN(N(Crédits!$E$7),R60+S60)</f>
        <v>0</v>
      </c>
      <c r="U60" s="93">
        <f t="shared" si="4"/>
        <v>0</v>
      </c>
      <c r="V60" s="94">
        <f>IF(Crédits!$K$7="",0,MAX(0,MIN(U60,Plan!$L$62-(IF(Crédits!$K$5="",0,IF(Crédits!$K$5&lt;Crédits!$K$7,E60,0))+IF(Crédits!$K$6="",0,IF(Crédits!$K$6&lt;Crédits!$K$7,M60,0))+IF(Crédits!$K$8="",0,IF(Crédits!$K$8&lt;Crédits!$K$7,AC60,0))+IF(Crédits!$K$9="",0,IF(Crédits!$K$9&lt;Crédits!$K$7,AK60,0))+IF(Crédits!$K$10="",0,IF(Crédits!$K$10&lt;Crédits!$K$7,AS60,0))))))</f>
        <v>0</v>
      </c>
      <c r="W60" s="95">
        <f t="shared" si="5"/>
        <v>0</v>
      </c>
      <c r="X60" s="88">
        <f>ROUND(X59+Y60-MIN(N(Crédits!$E$7),X59+Y60),2)</f>
        <v>0</v>
      </c>
      <c r="Y60" s="89">
        <f>X59*N(Crédits!$D$7)/12</f>
        <v>0</v>
      </c>
      <c r="Z60" s="96">
        <f t="shared" si="19"/>
        <v>0</v>
      </c>
      <c r="AA60" s="96">
        <f>Z60*N(Crédits!$D$8)/12</f>
        <v>0</v>
      </c>
      <c r="AB60" s="96">
        <f>MIN(N(Crédits!$E$8),Z60+AA60)</f>
        <v>0</v>
      </c>
      <c r="AC60" s="96">
        <f t="shared" si="6"/>
        <v>0</v>
      </c>
      <c r="AD60" s="97">
        <f>IF(Crédits!$K$8="",0,MAX(0,MIN(AC60,Plan!$L$62-(IF(Crédits!$K$5="",0,IF(Crédits!$K$5&lt;Crédits!$K$8,E60,0))+IF(Crédits!$K$6="",0,IF(Crédits!$K$6&lt;Crédits!$K$8,M60,0))+IF(Crédits!$K$7="",0,IF(Crédits!$K$7&lt;Crédits!$K$8,U60,0))+IF(Crédits!$K$9="",0,IF(Crédits!$K$9&lt;Crédits!$K$8,AK60,0))+IF(Crédits!$K$10="",0,IF(Crédits!$K$10&lt;Crédits!$K$8,AS60,0))))))</f>
        <v>0</v>
      </c>
      <c r="AE60" s="98">
        <f t="shared" si="7"/>
        <v>0</v>
      </c>
      <c r="AF60" s="88">
        <f>ROUND(AF59+AG60-MIN(N(Crédits!$E$8),AF59+AG60),2)</f>
        <v>0</v>
      </c>
      <c r="AG60" s="89">
        <f>AF59*N(Crédits!$D$8)/12</f>
        <v>0</v>
      </c>
      <c r="AH60" s="99">
        <f t="shared" si="20"/>
        <v>0</v>
      </c>
      <c r="AI60" s="99">
        <f>AH60*N(Crédits!$D$9)/12</f>
        <v>0</v>
      </c>
      <c r="AJ60" s="99">
        <f>MIN(N(Crédits!$E$9),AH60+AI60)</f>
        <v>0</v>
      </c>
      <c r="AK60" s="99">
        <f t="shared" si="8"/>
        <v>0</v>
      </c>
      <c r="AL60" s="100">
        <f>IF(Crédits!$K$9="",0,MAX(0,MIN(AK60,Plan!$L$62-(IF(Crédits!$K$5="",0,IF(Crédits!$K$5&lt;Crédits!$K$9,E60,0))+IF(Crédits!$K$6="",0,IF(Crédits!$K$6&lt;Crédits!$K$9,M60,0))+IF(Crédits!$K$7="",0,IF(Crédits!$K$7&lt;Crédits!$K$9,U60,0))+IF(Crédits!$K$8="",0,IF(Crédits!$K$8&lt;Crédits!$K$9,AC60,0))+IF(Crédits!$K$10="",0,IF(Crédits!$K$10&lt;Crédits!$K$9,AS60,0))))))</f>
        <v>0</v>
      </c>
      <c r="AM60" s="101">
        <f t="shared" si="9"/>
        <v>0</v>
      </c>
      <c r="AN60" s="88">
        <f>ROUND(AN59+AO60-MIN(N(Crédits!$E$9),AN59+AO60),2)</f>
        <v>0</v>
      </c>
      <c r="AO60" s="89">
        <f>AN59*N(Crédits!$D$9)/12</f>
        <v>0</v>
      </c>
      <c r="AP60" s="102">
        <f t="shared" si="21"/>
        <v>0</v>
      </c>
      <c r="AQ60" s="102">
        <f>AP60*N(Crédits!$D$10)/12</f>
        <v>0</v>
      </c>
      <c r="AR60" s="102">
        <f>MIN(N(Crédits!$E$10),AP60+AQ60)</f>
        <v>0</v>
      </c>
      <c r="AS60" s="102">
        <f t="shared" si="10"/>
        <v>0</v>
      </c>
      <c r="AT60" s="103">
        <f>IF(Crédits!$K$10="",0,MAX(0,MIN(AS60,Plan!$L$62-(IF(Crédits!$K$5="",0,IF(Crédits!$K$5&lt;Crédits!$K$10,E60,0))+IF(Crédits!$K$6="",0,IF(Crédits!$K$6&lt;Crédits!$K$10,M60,0))+IF(Crédits!$K$7="",0,IF(Crédits!$K$7&lt;Crédits!$K$10,U60,0))+IF(Crédits!$K$8="",0,IF(Crédits!$K$8&lt;Crédits!$K$10,AC60,0))+IF(Crédits!$K$9="",0,IF(Crédits!$K$9&lt;Crédits!$K$10,AK60,0))))))</f>
        <v>0</v>
      </c>
      <c r="AU60" s="104">
        <f t="shared" si="11"/>
        <v>0</v>
      </c>
      <c r="AV60" s="88">
        <f>ROUND(AV59+AW60-MIN(N(Crédits!$E$10),AV59+AW60),2)</f>
        <v>0</v>
      </c>
      <c r="AW60" s="89">
        <f>AV59*N(Crédits!$D$10)/12</f>
        <v>0</v>
      </c>
      <c r="AX60" s="105">
        <f t="shared" si="12"/>
        <v>0</v>
      </c>
      <c r="AY60" s="105">
        <f t="shared" ref="AY60:AZ60" si="78">F60+N60+V60+AD60+AL60+AT60</f>
        <v>0</v>
      </c>
      <c r="AZ60" s="105">
        <f t="shared" si="78"/>
        <v>0</v>
      </c>
      <c r="BA60" s="105">
        <f t="shared" si="14"/>
        <v>0</v>
      </c>
      <c r="BB60" s="105">
        <f t="shared" si="15"/>
        <v>0</v>
      </c>
    </row>
    <row r="61" spans="1:54" ht="15" customHeight="1" x14ac:dyDescent="0.25">
      <c r="A61" s="2">
        <v>59</v>
      </c>
      <c r="B61" s="83">
        <f t="shared" si="16"/>
        <v>0</v>
      </c>
      <c r="C61" s="83">
        <f>B61*N(Crédits!$D$5)/12</f>
        <v>0</v>
      </c>
      <c r="D61" s="83">
        <f>MIN(N(Crédits!$E$5),B61+C61)</f>
        <v>0</v>
      </c>
      <c r="E61" s="83">
        <f t="shared" si="0"/>
        <v>0</v>
      </c>
      <c r="F61" s="86">
        <f>IF(Crédits!$K$5="",0,MAX(0,MIN(E61,Plan!$L$63-(IF(Crédits!$K$6="",0,IF(Crédits!$K$6&lt;Crédits!$K$5,M61,0))+IF(Crédits!$K$7="",0,IF(Crédits!$K$7&lt;Crédits!$K$5,U61,0))+IF(Crédits!$K$8="",0,IF(Crédits!$K$8&lt;Crédits!$K$5,AC61,0))+IF(Crédits!$K$9="",0,IF(Crédits!$K$9&lt;Crédits!$K$5,AK61,0))+IF(Crédits!$K$10="",0,IF(Crédits!$K$10&lt;Crédits!$K$5,AS61,0))))))</f>
        <v>0</v>
      </c>
      <c r="G61" s="87">
        <f t="shared" si="1"/>
        <v>0</v>
      </c>
      <c r="H61" s="88">
        <f>ROUND(H60+I61-MIN(N(Crédits!$E$5),H60+I61),2)</f>
        <v>0</v>
      </c>
      <c r="I61" s="89">
        <f>H60*N(Crédits!$D$5)/12</f>
        <v>0</v>
      </c>
      <c r="J61" s="90">
        <f t="shared" si="17"/>
        <v>0</v>
      </c>
      <c r="K61" s="90">
        <f>J61*N(Crédits!$D$6)/12</f>
        <v>0</v>
      </c>
      <c r="L61" s="90">
        <f>MIN(N(Crédits!$E$6),J61+K61)</f>
        <v>0</v>
      </c>
      <c r="M61" s="90">
        <f t="shared" si="2"/>
        <v>0</v>
      </c>
      <c r="N61" s="91">
        <f>IF(Crédits!$K$6="",0,MAX(0,MIN(M61,Plan!$L$63-(IF(Crédits!$K$5="",0,IF(Crédits!$K$5&lt;Crédits!$K$6,E61,0))+IF(Crédits!$K$7="",0,IF(Crédits!$K$7&lt;Crédits!$K$6,U61,0))+IF(Crédits!$K$8="",0,IF(Crédits!$K$8&lt;Crédits!$K$6,AC61,0))+IF(Crédits!$K$9="",0,IF(Crédits!$K$9&lt;Crédits!$K$6,AK61,0))+IF(Crédits!$K$10="",0,IF(Crédits!$K$10&lt;Crédits!$K$6,AS61,0))))))</f>
        <v>0</v>
      </c>
      <c r="O61" s="92">
        <f t="shared" si="3"/>
        <v>0</v>
      </c>
      <c r="P61" s="88">
        <f>ROUND(P60+Q61-MIN(N(Crédits!$E$6),P60+Q61),2)</f>
        <v>0</v>
      </c>
      <c r="Q61" s="89">
        <f>P60*N(Crédits!$D$6)/12</f>
        <v>0</v>
      </c>
      <c r="R61" s="93">
        <f t="shared" si="18"/>
        <v>0</v>
      </c>
      <c r="S61" s="93">
        <f>R61*N(Crédits!$D$7)/12</f>
        <v>0</v>
      </c>
      <c r="T61" s="93">
        <f>MIN(N(Crédits!$E$7),R61+S61)</f>
        <v>0</v>
      </c>
      <c r="U61" s="93">
        <f t="shared" si="4"/>
        <v>0</v>
      </c>
      <c r="V61" s="94">
        <f>IF(Crédits!$K$7="",0,MAX(0,MIN(U61,Plan!$L$63-(IF(Crédits!$K$5="",0,IF(Crédits!$K$5&lt;Crédits!$K$7,E61,0))+IF(Crédits!$K$6="",0,IF(Crédits!$K$6&lt;Crédits!$K$7,M61,0))+IF(Crédits!$K$8="",0,IF(Crédits!$K$8&lt;Crédits!$K$7,AC61,0))+IF(Crédits!$K$9="",0,IF(Crédits!$K$9&lt;Crédits!$K$7,AK61,0))+IF(Crédits!$K$10="",0,IF(Crédits!$K$10&lt;Crédits!$K$7,AS61,0))))))</f>
        <v>0</v>
      </c>
      <c r="W61" s="95">
        <f t="shared" si="5"/>
        <v>0</v>
      </c>
      <c r="X61" s="88">
        <f>ROUND(X60+Y61-MIN(N(Crédits!$E$7),X60+Y61),2)</f>
        <v>0</v>
      </c>
      <c r="Y61" s="89">
        <f>X60*N(Crédits!$D$7)/12</f>
        <v>0</v>
      </c>
      <c r="Z61" s="96">
        <f t="shared" si="19"/>
        <v>0</v>
      </c>
      <c r="AA61" s="96">
        <f>Z61*N(Crédits!$D$8)/12</f>
        <v>0</v>
      </c>
      <c r="AB61" s="96">
        <f>MIN(N(Crédits!$E$8),Z61+AA61)</f>
        <v>0</v>
      </c>
      <c r="AC61" s="96">
        <f t="shared" si="6"/>
        <v>0</v>
      </c>
      <c r="AD61" s="97">
        <f>IF(Crédits!$K$8="",0,MAX(0,MIN(AC61,Plan!$L$63-(IF(Crédits!$K$5="",0,IF(Crédits!$K$5&lt;Crédits!$K$8,E61,0))+IF(Crédits!$K$6="",0,IF(Crédits!$K$6&lt;Crédits!$K$8,M61,0))+IF(Crédits!$K$7="",0,IF(Crédits!$K$7&lt;Crédits!$K$8,U61,0))+IF(Crédits!$K$9="",0,IF(Crédits!$K$9&lt;Crédits!$K$8,AK61,0))+IF(Crédits!$K$10="",0,IF(Crédits!$K$10&lt;Crédits!$K$8,AS61,0))))))</f>
        <v>0</v>
      </c>
      <c r="AE61" s="98">
        <f t="shared" si="7"/>
        <v>0</v>
      </c>
      <c r="AF61" s="88">
        <f>ROUND(AF60+AG61-MIN(N(Crédits!$E$8),AF60+AG61),2)</f>
        <v>0</v>
      </c>
      <c r="AG61" s="89">
        <f>AF60*N(Crédits!$D$8)/12</f>
        <v>0</v>
      </c>
      <c r="AH61" s="99">
        <f t="shared" si="20"/>
        <v>0</v>
      </c>
      <c r="AI61" s="99">
        <f>AH61*N(Crédits!$D$9)/12</f>
        <v>0</v>
      </c>
      <c r="AJ61" s="99">
        <f>MIN(N(Crédits!$E$9),AH61+AI61)</f>
        <v>0</v>
      </c>
      <c r="AK61" s="99">
        <f t="shared" si="8"/>
        <v>0</v>
      </c>
      <c r="AL61" s="100">
        <f>IF(Crédits!$K$9="",0,MAX(0,MIN(AK61,Plan!$L$63-(IF(Crédits!$K$5="",0,IF(Crédits!$K$5&lt;Crédits!$K$9,E61,0))+IF(Crédits!$K$6="",0,IF(Crédits!$K$6&lt;Crédits!$K$9,M61,0))+IF(Crédits!$K$7="",0,IF(Crédits!$K$7&lt;Crédits!$K$9,U61,0))+IF(Crédits!$K$8="",0,IF(Crédits!$K$8&lt;Crédits!$K$9,AC61,0))+IF(Crédits!$K$10="",0,IF(Crédits!$K$10&lt;Crédits!$K$9,AS61,0))))))</f>
        <v>0</v>
      </c>
      <c r="AM61" s="101">
        <f t="shared" si="9"/>
        <v>0</v>
      </c>
      <c r="AN61" s="88">
        <f>ROUND(AN60+AO61-MIN(N(Crédits!$E$9),AN60+AO61),2)</f>
        <v>0</v>
      </c>
      <c r="AO61" s="89">
        <f>AN60*N(Crédits!$D$9)/12</f>
        <v>0</v>
      </c>
      <c r="AP61" s="102">
        <f t="shared" si="21"/>
        <v>0</v>
      </c>
      <c r="AQ61" s="102">
        <f>AP61*N(Crédits!$D$10)/12</f>
        <v>0</v>
      </c>
      <c r="AR61" s="102">
        <f>MIN(N(Crédits!$E$10),AP61+AQ61)</f>
        <v>0</v>
      </c>
      <c r="AS61" s="102">
        <f t="shared" si="10"/>
        <v>0</v>
      </c>
      <c r="AT61" s="103">
        <f>IF(Crédits!$K$10="",0,MAX(0,MIN(AS61,Plan!$L$63-(IF(Crédits!$K$5="",0,IF(Crédits!$K$5&lt;Crédits!$K$10,E61,0))+IF(Crédits!$K$6="",0,IF(Crédits!$K$6&lt;Crédits!$K$10,M61,0))+IF(Crédits!$K$7="",0,IF(Crédits!$K$7&lt;Crédits!$K$10,U61,0))+IF(Crédits!$K$8="",0,IF(Crédits!$K$8&lt;Crédits!$K$10,AC61,0))+IF(Crédits!$K$9="",0,IF(Crédits!$K$9&lt;Crédits!$K$10,AK61,0))))))</f>
        <v>0</v>
      </c>
      <c r="AU61" s="104">
        <f t="shared" si="11"/>
        <v>0</v>
      </c>
      <c r="AV61" s="88">
        <f>ROUND(AV60+AW61-MIN(N(Crédits!$E$10),AV60+AW61),2)</f>
        <v>0</v>
      </c>
      <c r="AW61" s="89">
        <f>AV60*N(Crédits!$D$10)/12</f>
        <v>0</v>
      </c>
      <c r="AX61" s="105">
        <f t="shared" si="12"/>
        <v>0</v>
      </c>
      <c r="AY61" s="105">
        <f t="shared" ref="AY61:AZ61" si="79">F61+N61+V61+AD61+AL61+AT61</f>
        <v>0</v>
      </c>
      <c r="AZ61" s="105">
        <f t="shared" si="79"/>
        <v>0</v>
      </c>
      <c r="BA61" s="105">
        <f t="shared" si="14"/>
        <v>0</v>
      </c>
      <c r="BB61" s="105">
        <f t="shared" si="15"/>
        <v>0</v>
      </c>
    </row>
    <row r="62" spans="1:54" ht="15" customHeight="1" x14ac:dyDescent="0.25">
      <c r="A62" s="2">
        <v>60</v>
      </c>
      <c r="B62" s="83">
        <f t="shared" si="16"/>
        <v>0</v>
      </c>
      <c r="C62" s="83">
        <f>B62*N(Crédits!$D$5)/12</f>
        <v>0</v>
      </c>
      <c r="D62" s="83">
        <f>MIN(N(Crédits!$E$5),B62+C62)</f>
        <v>0</v>
      </c>
      <c r="E62" s="83">
        <f t="shared" si="0"/>
        <v>0</v>
      </c>
      <c r="F62" s="86">
        <f>IF(Crédits!$K$5="",0,MAX(0,MIN(E62,Plan!$L$64-(IF(Crédits!$K$6="",0,IF(Crédits!$K$6&lt;Crédits!$K$5,M62,0))+IF(Crédits!$K$7="",0,IF(Crédits!$K$7&lt;Crédits!$K$5,U62,0))+IF(Crédits!$K$8="",0,IF(Crédits!$K$8&lt;Crédits!$K$5,AC62,0))+IF(Crédits!$K$9="",0,IF(Crédits!$K$9&lt;Crédits!$K$5,AK62,0))+IF(Crédits!$K$10="",0,IF(Crédits!$K$10&lt;Crédits!$K$5,AS62,0))))))</f>
        <v>0</v>
      </c>
      <c r="G62" s="87">
        <f t="shared" si="1"/>
        <v>0</v>
      </c>
      <c r="H62" s="88">
        <f>ROUND(H61+I62-MIN(N(Crédits!$E$5),H61+I62),2)</f>
        <v>0</v>
      </c>
      <c r="I62" s="89">
        <f>H61*N(Crédits!$D$5)/12</f>
        <v>0</v>
      </c>
      <c r="J62" s="90">
        <f t="shared" si="17"/>
        <v>0</v>
      </c>
      <c r="K62" s="90">
        <f>J62*N(Crédits!$D$6)/12</f>
        <v>0</v>
      </c>
      <c r="L62" s="90">
        <f>MIN(N(Crédits!$E$6),J62+K62)</f>
        <v>0</v>
      </c>
      <c r="M62" s="90">
        <f t="shared" si="2"/>
        <v>0</v>
      </c>
      <c r="N62" s="91">
        <f>IF(Crédits!$K$6="",0,MAX(0,MIN(M62,Plan!$L$64-(IF(Crédits!$K$5="",0,IF(Crédits!$K$5&lt;Crédits!$K$6,E62,0))+IF(Crédits!$K$7="",0,IF(Crédits!$K$7&lt;Crédits!$K$6,U62,0))+IF(Crédits!$K$8="",0,IF(Crédits!$K$8&lt;Crédits!$K$6,AC62,0))+IF(Crédits!$K$9="",0,IF(Crédits!$K$9&lt;Crédits!$K$6,AK62,0))+IF(Crédits!$K$10="",0,IF(Crédits!$K$10&lt;Crédits!$K$6,AS62,0))))))</f>
        <v>0</v>
      </c>
      <c r="O62" s="92">
        <f t="shared" si="3"/>
        <v>0</v>
      </c>
      <c r="P62" s="88">
        <f>ROUND(P61+Q62-MIN(N(Crédits!$E$6),P61+Q62),2)</f>
        <v>0</v>
      </c>
      <c r="Q62" s="89">
        <f>P61*N(Crédits!$D$6)/12</f>
        <v>0</v>
      </c>
      <c r="R62" s="93">
        <f t="shared" si="18"/>
        <v>0</v>
      </c>
      <c r="S62" s="93">
        <f>R62*N(Crédits!$D$7)/12</f>
        <v>0</v>
      </c>
      <c r="T62" s="93">
        <f>MIN(N(Crédits!$E$7),R62+S62)</f>
        <v>0</v>
      </c>
      <c r="U62" s="93">
        <f t="shared" si="4"/>
        <v>0</v>
      </c>
      <c r="V62" s="94">
        <f>IF(Crédits!$K$7="",0,MAX(0,MIN(U62,Plan!$L$64-(IF(Crédits!$K$5="",0,IF(Crédits!$K$5&lt;Crédits!$K$7,E62,0))+IF(Crédits!$K$6="",0,IF(Crédits!$K$6&lt;Crédits!$K$7,M62,0))+IF(Crédits!$K$8="",0,IF(Crédits!$K$8&lt;Crédits!$K$7,AC62,0))+IF(Crédits!$K$9="",0,IF(Crédits!$K$9&lt;Crédits!$K$7,AK62,0))+IF(Crédits!$K$10="",0,IF(Crédits!$K$10&lt;Crédits!$K$7,AS62,0))))))</f>
        <v>0</v>
      </c>
      <c r="W62" s="95">
        <f t="shared" si="5"/>
        <v>0</v>
      </c>
      <c r="X62" s="88">
        <f>ROUND(X61+Y62-MIN(N(Crédits!$E$7),X61+Y62),2)</f>
        <v>0</v>
      </c>
      <c r="Y62" s="89">
        <f>X61*N(Crédits!$D$7)/12</f>
        <v>0</v>
      </c>
      <c r="Z62" s="96">
        <f t="shared" si="19"/>
        <v>0</v>
      </c>
      <c r="AA62" s="96">
        <f>Z62*N(Crédits!$D$8)/12</f>
        <v>0</v>
      </c>
      <c r="AB62" s="96">
        <f>MIN(N(Crédits!$E$8),Z62+AA62)</f>
        <v>0</v>
      </c>
      <c r="AC62" s="96">
        <f t="shared" si="6"/>
        <v>0</v>
      </c>
      <c r="AD62" s="97">
        <f>IF(Crédits!$K$8="",0,MAX(0,MIN(AC62,Plan!$L$64-(IF(Crédits!$K$5="",0,IF(Crédits!$K$5&lt;Crédits!$K$8,E62,0))+IF(Crédits!$K$6="",0,IF(Crédits!$K$6&lt;Crédits!$K$8,M62,0))+IF(Crédits!$K$7="",0,IF(Crédits!$K$7&lt;Crédits!$K$8,U62,0))+IF(Crédits!$K$9="",0,IF(Crédits!$K$9&lt;Crédits!$K$8,AK62,0))+IF(Crédits!$K$10="",0,IF(Crédits!$K$10&lt;Crédits!$K$8,AS62,0))))))</f>
        <v>0</v>
      </c>
      <c r="AE62" s="98">
        <f t="shared" si="7"/>
        <v>0</v>
      </c>
      <c r="AF62" s="88">
        <f>ROUND(AF61+AG62-MIN(N(Crédits!$E$8),AF61+AG62),2)</f>
        <v>0</v>
      </c>
      <c r="AG62" s="89">
        <f>AF61*N(Crédits!$D$8)/12</f>
        <v>0</v>
      </c>
      <c r="AH62" s="99">
        <f t="shared" si="20"/>
        <v>0</v>
      </c>
      <c r="AI62" s="99">
        <f>AH62*N(Crédits!$D$9)/12</f>
        <v>0</v>
      </c>
      <c r="AJ62" s="99">
        <f>MIN(N(Crédits!$E$9),AH62+AI62)</f>
        <v>0</v>
      </c>
      <c r="AK62" s="99">
        <f t="shared" si="8"/>
        <v>0</v>
      </c>
      <c r="AL62" s="100">
        <f>IF(Crédits!$K$9="",0,MAX(0,MIN(AK62,Plan!$L$64-(IF(Crédits!$K$5="",0,IF(Crédits!$K$5&lt;Crédits!$K$9,E62,0))+IF(Crédits!$K$6="",0,IF(Crédits!$K$6&lt;Crédits!$K$9,M62,0))+IF(Crédits!$K$7="",0,IF(Crédits!$K$7&lt;Crédits!$K$9,U62,0))+IF(Crédits!$K$8="",0,IF(Crédits!$K$8&lt;Crédits!$K$9,AC62,0))+IF(Crédits!$K$10="",0,IF(Crédits!$K$10&lt;Crédits!$K$9,AS62,0))))))</f>
        <v>0</v>
      </c>
      <c r="AM62" s="101">
        <f t="shared" si="9"/>
        <v>0</v>
      </c>
      <c r="AN62" s="88">
        <f>ROUND(AN61+AO62-MIN(N(Crédits!$E$9),AN61+AO62),2)</f>
        <v>0</v>
      </c>
      <c r="AO62" s="89">
        <f>AN61*N(Crédits!$D$9)/12</f>
        <v>0</v>
      </c>
      <c r="AP62" s="102">
        <f t="shared" si="21"/>
        <v>0</v>
      </c>
      <c r="AQ62" s="102">
        <f>AP62*N(Crédits!$D$10)/12</f>
        <v>0</v>
      </c>
      <c r="AR62" s="102">
        <f>MIN(N(Crédits!$E$10),AP62+AQ62)</f>
        <v>0</v>
      </c>
      <c r="AS62" s="102">
        <f t="shared" si="10"/>
        <v>0</v>
      </c>
      <c r="AT62" s="103">
        <f>IF(Crédits!$K$10="",0,MAX(0,MIN(AS62,Plan!$L$64-(IF(Crédits!$K$5="",0,IF(Crédits!$K$5&lt;Crédits!$K$10,E62,0))+IF(Crédits!$K$6="",0,IF(Crédits!$K$6&lt;Crédits!$K$10,M62,0))+IF(Crédits!$K$7="",0,IF(Crédits!$K$7&lt;Crédits!$K$10,U62,0))+IF(Crédits!$K$8="",0,IF(Crédits!$K$8&lt;Crédits!$K$10,AC62,0))+IF(Crédits!$K$9="",0,IF(Crédits!$K$9&lt;Crédits!$K$10,AK62,0))))))</f>
        <v>0</v>
      </c>
      <c r="AU62" s="104">
        <f t="shared" si="11"/>
        <v>0</v>
      </c>
      <c r="AV62" s="88">
        <f>ROUND(AV61+AW62-MIN(N(Crédits!$E$10),AV61+AW62),2)</f>
        <v>0</v>
      </c>
      <c r="AW62" s="89">
        <f>AV61*N(Crédits!$D$10)/12</f>
        <v>0</v>
      </c>
      <c r="AX62" s="105">
        <f t="shared" si="12"/>
        <v>0</v>
      </c>
      <c r="AY62" s="105">
        <f t="shared" ref="AY62:AZ62" si="80">F62+N62+V62+AD62+AL62+AT62</f>
        <v>0</v>
      </c>
      <c r="AZ62" s="105">
        <f t="shared" si="80"/>
        <v>0</v>
      </c>
      <c r="BA62" s="105">
        <f t="shared" si="14"/>
        <v>0</v>
      </c>
      <c r="BB62" s="105">
        <f t="shared" si="15"/>
        <v>0</v>
      </c>
    </row>
    <row r="63" spans="1:54" ht="15" customHeight="1" x14ac:dyDescent="0.25">
      <c r="A63" s="2">
        <v>61</v>
      </c>
      <c r="B63" s="83">
        <f t="shared" si="16"/>
        <v>0</v>
      </c>
      <c r="C63" s="83">
        <f>B63*N(Crédits!$D$5)/12</f>
        <v>0</v>
      </c>
      <c r="D63" s="83">
        <f>MIN(N(Crédits!$E$5),B63+C63)</f>
        <v>0</v>
      </c>
      <c r="E63" s="83">
        <f t="shared" si="0"/>
        <v>0</v>
      </c>
      <c r="F63" s="86">
        <f>IF(Crédits!$K$5="",0,MAX(0,MIN(E63,Plan!$L$65-(IF(Crédits!$K$6="",0,IF(Crédits!$K$6&lt;Crédits!$K$5,M63,0))+IF(Crédits!$K$7="",0,IF(Crédits!$K$7&lt;Crédits!$K$5,U63,0))+IF(Crédits!$K$8="",0,IF(Crédits!$K$8&lt;Crédits!$K$5,AC63,0))+IF(Crédits!$K$9="",0,IF(Crédits!$K$9&lt;Crédits!$K$5,AK63,0))+IF(Crédits!$K$10="",0,IF(Crédits!$K$10&lt;Crédits!$K$5,AS63,0))))))</f>
        <v>0</v>
      </c>
      <c r="G63" s="87">
        <f t="shared" si="1"/>
        <v>0</v>
      </c>
      <c r="H63" s="88">
        <f>ROUND(H62+I63-MIN(N(Crédits!$E$5),H62+I63),2)</f>
        <v>0</v>
      </c>
      <c r="I63" s="89">
        <f>H62*N(Crédits!$D$5)/12</f>
        <v>0</v>
      </c>
      <c r="J63" s="90">
        <f t="shared" si="17"/>
        <v>0</v>
      </c>
      <c r="K63" s="90">
        <f>J63*N(Crédits!$D$6)/12</f>
        <v>0</v>
      </c>
      <c r="L63" s="90">
        <f>MIN(N(Crédits!$E$6),J63+K63)</f>
        <v>0</v>
      </c>
      <c r="M63" s="90">
        <f t="shared" si="2"/>
        <v>0</v>
      </c>
      <c r="N63" s="91">
        <f>IF(Crédits!$K$6="",0,MAX(0,MIN(M63,Plan!$L$65-(IF(Crédits!$K$5="",0,IF(Crédits!$K$5&lt;Crédits!$K$6,E63,0))+IF(Crédits!$K$7="",0,IF(Crédits!$K$7&lt;Crédits!$K$6,U63,0))+IF(Crédits!$K$8="",0,IF(Crédits!$K$8&lt;Crédits!$K$6,AC63,0))+IF(Crédits!$K$9="",0,IF(Crédits!$K$9&lt;Crédits!$K$6,AK63,0))+IF(Crédits!$K$10="",0,IF(Crédits!$K$10&lt;Crédits!$K$6,AS63,0))))))</f>
        <v>0</v>
      </c>
      <c r="O63" s="92">
        <f t="shared" si="3"/>
        <v>0</v>
      </c>
      <c r="P63" s="88">
        <f>ROUND(P62+Q63-MIN(N(Crédits!$E$6),P62+Q63),2)</f>
        <v>0</v>
      </c>
      <c r="Q63" s="89">
        <f>P62*N(Crédits!$D$6)/12</f>
        <v>0</v>
      </c>
      <c r="R63" s="93">
        <f t="shared" si="18"/>
        <v>0</v>
      </c>
      <c r="S63" s="93">
        <f>R63*N(Crédits!$D$7)/12</f>
        <v>0</v>
      </c>
      <c r="T63" s="93">
        <f>MIN(N(Crédits!$E$7),R63+S63)</f>
        <v>0</v>
      </c>
      <c r="U63" s="93">
        <f t="shared" si="4"/>
        <v>0</v>
      </c>
      <c r="V63" s="94">
        <f>IF(Crédits!$K$7="",0,MAX(0,MIN(U63,Plan!$L$65-(IF(Crédits!$K$5="",0,IF(Crédits!$K$5&lt;Crédits!$K$7,E63,0))+IF(Crédits!$K$6="",0,IF(Crédits!$K$6&lt;Crédits!$K$7,M63,0))+IF(Crédits!$K$8="",0,IF(Crédits!$K$8&lt;Crédits!$K$7,AC63,0))+IF(Crédits!$K$9="",0,IF(Crédits!$K$9&lt;Crédits!$K$7,AK63,0))+IF(Crédits!$K$10="",0,IF(Crédits!$K$10&lt;Crédits!$K$7,AS63,0))))))</f>
        <v>0</v>
      </c>
      <c r="W63" s="95">
        <f t="shared" si="5"/>
        <v>0</v>
      </c>
      <c r="X63" s="88">
        <f>ROUND(X62+Y63-MIN(N(Crédits!$E$7),X62+Y63),2)</f>
        <v>0</v>
      </c>
      <c r="Y63" s="89">
        <f>X62*N(Crédits!$D$7)/12</f>
        <v>0</v>
      </c>
      <c r="Z63" s="96">
        <f t="shared" si="19"/>
        <v>0</v>
      </c>
      <c r="AA63" s="96">
        <f>Z63*N(Crédits!$D$8)/12</f>
        <v>0</v>
      </c>
      <c r="AB63" s="96">
        <f>MIN(N(Crédits!$E$8),Z63+AA63)</f>
        <v>0</v>
      </c>
      <c r="AC63" s="96">
        <f t="shared" si="6"/>
        <v>0</v>
      </c>
      <c r="AD63" s="97">
        <f>IF(Crédits!$K$8="",0,MAX(0,MIN(AC63,Plan!$L$65-(IF(Crédits!$K$5="",0,IF(Crédits!$K$5&lt;Crédits!$K$8,E63,0))+IF(Crédits!$K$6="",0,IF(Crédits!$K$6&lt;Crédits!$K$8,M63,0))+IF(Crédits!$K$7="",0,IF(Crédits!$K$7&lt;Crédits!$K$8,U63,0))+IF(Crédits!$K$9="",0,IF(Crédits!$K$9&lt;Crédits!$K$8,AK63,0))+IF(Crédits!$K$10="",0,IF(Crédits!$K$10&lt;Crédits!$K$8,AS63,0))))))</f>
        <v>0</v>
      </c>
      <c r="AE63" s="98">
        <f t="shared" si="7"/>
        <v>0</v>
      </c>
      <c r="AF63" s="88">
        <f>ROUND(AF62+AG63-MIN(N(Crédits!$E$8),AF62+AG63),2)</f>
        <v>0</v>
      </c>
      <c r="AG63" s="89">
        <f>AF62*N(Crédits!$D$8)/12</f>
        <v>0</v>
      </c>
      <c r="AH63" s="99">
        <f t="shared" si="20"/>
        <v>0</v>
      </c>
      <c r="AI63" s="99">
        <f>AH63*N(Crédits!$D$9)/12</f>
        <v>0</v>
      </c>
      <c r="AJ63" s="99">
        <f>MIN(N(Crédits!$E$9),AH63+AI63)</f>
        <v>0</v>
      </c>
      <c r="AK63" s="99">
        <f t="shared" si="8"/>
        <v>0</v>
      </c>
      <c r="AL63" s="100">
        <f>IF(Crédits!$K$9="",0,MAX(0,MIN(AK63,Plan!$L$65-(IF(Crédits!$K$5="",0,IF(Crédits!$K$5&lt;Crédits!$K$9,E63,0))+IF(Crédits!$K$6="",0,IF(Crédits!$K$6&lt;Crédits!$K$9,M63,0))+IF(Crédits!$K$7="",0,IF(Crédits!$K$7&lt;Crédits!$K$9,U63,0))+IF(Crédits!$K$8="",0,IF(Crédits!$K$8&lt;Crédits!$K$9,AC63,0))+IF(Crédits!$K$10="",0,IF(Crédits!$K$10&lt;Crédits!$K$9,AS63,0))))))</f>
        <v>0</v>
      </c>
      <c r="AM63" s="101">
        <f t="shared" si="9"/>
        <v>0</v>
      </c>
      <c r="AN63" s="88">
        <f>ROUND(AN62+AO63-MIN(N(Crédits!$E$9),AN62+AO63),2)</f>
        <v>0</v>
      </c>
      <c r="AO63" s="89">
        <f>AN62*N(Crédits!$D$9)/12</f>
        <v>0</v>
      </c>
      <c r="AP63" s="102">
        <f t="shared" si="21"/>
        <v>0</v>
      </c>
      <c r="AQ63" s="102">
        <f>AP63*N(Crédits!$D$10)/12</f>
        <v>0</v>
      </c>
      <c r="AR63" s="102">
        <f>MIN(N(Crédits!$E$10),AP63+AQ63)</f>
        <v>0</v>
      </c>
      <c r="AS63" s="102">
        <f t="shared" si="10"/>
        <v>0</v>
      </c>
      <c r="AT63" s="103">
        <f>IF(Crédits!$K$10="",0,MAX(0,MIN(AS63,Plan!$L$65-(IF(Crédits!$K$5="",0,IF(Crédits!$K$5&lt;Crédits!$K$10,E63,0))+IF(Crédits!$K$6="",0,IF(Crédits!$K$6&lt;Crédits!$K$10,M63,0))+IF(Crédits!$K$7="",0,IF(Crédits!$K$7&lt;Crédits!$K$10,U63,0))+IF(Crédits!$K$8="",0,IF(Crédits!$K$8&lt;Crédits!$K$10,AC63,0))+IF(Crédits!$K$9="",0,IF(Crédits!$K$9&lt;Crédits!$K$10,AK63,0))))))</f>
        <v>0</v>
      </c>
      <c r="AU63" s="104">
        <f t="shared" si="11"/>
        <v>0</v>
      </c>
      <c r="AV63" s="88">
        <f>ROUND(AV62+AW63-MIN(N(Crédits!$E$10),AV62+AW63),2)</f>
        <v>0</v>
      </c>
      <c r="AW63" s="89">
        <f>AV62*N(Crédits!$D$10)/12</f>
        <v>0</v>
      </c>
      <c r="AX63" s="105">
        <f t="shared" si="12"/>
        <v>0</v>
      </c>
      <c r="AY63" s="105">
        <f t="shared" ref="AY63:AZ63" si="81">F63+N63+V63+AD63+AL63+AT63</f>
        <v>0</v>
      </c>
      <c r="AZ63" s="105">
        <f t="shared" si="81"/>
        <v>0</v>
      </c>
      <c r="BA63" s="105">
        <f t="shared" si="14"/>
        <v>0</v>
      </c>
      <c r="BB63" s="105">
        <f t="shared" si="15"/>
        <v>0</v>
      </c>
    </row>
    <row r="64" spans="1:54" ht="15" customHeight="1" x14ac:dyDescent="0.25">
      <c r="A64" s="2">
        <v>62</v>
      </c>
      <c r="B64" s="83">
        <f t="shared" si="16"/>
        <v>0</v>
      </c>
      <c r="C64" s="83">
        <f>B64*N(Crédits!$D$5)/12</f>
        <v>0</v>
      </c>
      <c r="D64" s="83">
        <f>MIN(N(Crédits!$E$5),B64+C64)</f>
        <v>0</v>
      </c>
      <c r="E64" s="83">
        <f t="shared" si="0"/>
        <v>0</v>
      </c>
      <c r="F64" s="86">
        <f>IF(Crédits!$K$5="",0,MAX(0,MIN(E64,Plan!$L$66-(IF(Crédits!$K$6="",0,IF(Crédits!$K$6&lt;Crédits!$K$5,M64,0))+IF(Crédits!$K$7="",0,IF(Crédits!$K$7&lt;Crédits!$K$5,U64,0))+IF(Crédits!$K$8="",0,IF(Crédits!$K$8&lt;Crédits!$K$5,AC64,0))+IF(Crédits!$K$9="",0,IF(Crédits!$K$9&lt;Crédits!$K$5,AK64,0))+IF(Crédits!$K$10="",0,IF(Crédits!$K$10&lt;Crédits!$K$5,AS64,0))))))</f>
        <v>0</v>
      </c>
      <c r="G64" s="87">
        <f t="shared" si="1"/>
        <v>0</v>
      </c>
      <c r="H64" s="88">
        <f>ROUND(H63+I64-MIN(N(Crédits!$E$5),H63+I64),2)</f>
        <v>0</v>
      </c>
      <c r="I64" s="89">
        <f>H63*N(Crédits!$D$5)/12</f>
        <v>0</v>
      </c>
      <c r="J64" s="90">
        <f t="shared" si="17"/>
        <v>0</v>
      </c>
      <c r="K64" s="90">
        <f>J64*N(Crédits!$D$6)/12</f>
        <v>0</v>
      </c>
      <c r="L64" s="90">
        <f>MIN(N(Crédits!$E$6),J64+K64)</f>
        <v>0</v>
      </c>
      <c r="M64" s="90">
        <f t="shared" si="2"/>
        <v>0</v>
      </c>
      <c r="N64" s="91">
        <f>IF(Crédits!$K$6="",0,MAX(0,MIN(M64,Plan!$L$66-(IF(Crédits!$K$5="",0,IF(Crédits!$K$5&lt;Crédits!$K$6,E64,0))+IF(Crédits!$K$7="",0,IF(Crédits!$K$7&lt;Crédits!$K$6,U64,0))+IF(Crédits!$K$8="",0,IF(Crédits!$K$8&lt;Crédits!$K$6,AC64,0))+IF(Crédits!$K$9="",0,IF(Crédits!$K$9&lt;Crédits!$K$6,AK64,0))+IF(Crédits!$K$10="",0,IF(Crédits!$K$10&lt;Crédits!$K$6,AS64,0))))))</f>
        <v>0</v>
      </c>
      <c r="O64" s="92">
        <f t="shared" si="3"/>
        <v>0</v>
      </c>
      <c r="P64" s="88">
        <f>ROUND(P63+Q64-MIN(N(Crédits!$E$6),P63+Q64),2)</f>
        <v>0</v>
      </c>
      <c r="Q64" s="89">
        <f>P63*N(Crédits!$D$6)/12</f>
        <v>0</v>
      </c>
      <c r="R64" s="93">
        <f t="shared" si="18"/>
        <v>0</v>
      </c>
      <c r="S64" s="93">
        <f>R64*N(Crédits!$D$7)/12</f>
        <v>0</v>
      </c>
      <c r="T64" s="93">
        <f>MIN(N(Crédits!$E$7),R64+S64)</f>
        <v>0</v>
      </c>
      <c r="U64" s="93">
        <f t="shared" si="4"/>
        <v>0</v>
      </c>
      <c r="V64" s="94">
        <f>IF(Crédits!$K$7="",0,MAX(0,MIN(U64,Plan!$L$66-(IF(Crédits!$K$5="",0,IF(Crédits!$K$5&lt;Crédits!$K$7,E64,0))+IF(Crédits!$K$6="",0,IF(Crédits!$K$6&lt;Crédits!$K$7,M64,0))+IF(Crédits!$K$8="",0,IF(Crédits!$K$8&lt;Crédits!$K$7,AC64,0))+IF(Crédits!$K$9="",0,IF(Crédits!$K$9&lt;Crédits!$K$7,AK64,0))+IF(Crédits!$K$10="",0,IF(Crédits!$K$10&lt;Crédits!$K$7,AS64,0))))))</f>
        <v>0</v>
      </c>
      <c r="W64" s="95">
        <f t="shared" si="5"/>
        <v>0</v>
      </c>
      <c r="X64" s="88">
        <f>ROUND(X63+Y64-MIN(N(Crédits!$E$7),X63+Y64),2)</f>
        <v>0</v>
      </c>
      <c r="Y64" s="89">
        <f>X63*N(Crédits!$D$7)/12</f>
        <v>0</v>
      </c>
      <c r="Z64" s="96">
        <f t="shared" si="19"/>
        <v>0</v>
      </c>
      <c r="AA64" s="96">
        <f>Z64*N(Crédits!$D$8)/12</f>
        <v>0</v>
      </c>
      <c r="AB64" s="96">
        <f>MIN(N(Crédits!$E$8),Z64+AA64)</f>
        <v>0</v>
      </c>
      <c r="AC64" s="96">
        <f t="shared" si="6"/>
        <v>0</v>
      </c>
      <c r="AD64" s="97">
        <f>IF(Crédits!$K$8="",0,MAX(0,MIN(AC64,Plan!$L$66-(IF(Crédits!$K$5="",0,IF(Crédits!$K$5&lt;Crédits!$K$8,E64,0))+IF(Crédits!$K$6="",0,IF(Crédits!$K$6&lt;Crédits!$K$8,M64,0))+IF(Crédits!$K$7="",0,IF(Crédits!$K$7&lt;Crédits!$K$8,U64,0))+IF(Crédits!$K$9="",0,IF(Crédits!$K$9&lt;Crédits!$K$8,AK64,0))+IF(Crédits!$K$10="",0,IF(Crédits!$K$10&lt;Crédits!$K$8,AS64,0))))))</f>
        <v>0</v>
      </c>
      <c r="AE64" s="98">
        <f t="shared" si="7"/>
        <v>0</v>
      </c>
      <c r="AF64" s="88">
        <f>ROUND(AF63+AG64-MIN(N(Crédits!$E$8),AF63+AG64),2)</f>
        <v>0</v>
      </c>
      <c r="AG64" s="89">
        <f>AF63*N(Crédits!$D$8)/12</f>
        <v>0</v>
      </c>
      <c r="AH64" s="99">
        <f t="shared" si="20"/>
        <v>0</v>
      </c>
      <c r="AI64" s="99">
        <f>AH64*N(Crédits!$D$9)/12</f>
        <v>0</v>
      </c>
      <c r="AJ64" s="99">
        <f>MIN(N(Crédits!$E$9),AH64+AI64)</f>
        <v>0</v>
      </c>
      <c r="AK64" s="99">
        <f t="shared" si="8"/>
        <v>0</v>
      </c>
      <c r="AL64" s="100">
        <f>IF(Crédits!$K$9="",0,MAX(0,MIN(AK64,Plan!$L$66-(IF(Crédits!$K$5="",0,IF(Crédits!$K$5&lt;Crédits!$K$9,E64,0))+IF(Crédits!$K$6="",0,IF(Crédits!$K$6&lt;Crédits!$K$9,M64,0))+IF(Crédits!$K$7="",0,IF(Crédits!$K$7&lt;Crédits!$K$9,U64,0))+IF(Crédits!$K$8="",0,IF(Crédits!$K$8&lt;Crédits!$K$9,AC64,0))+IF(Crédits!$K$10="",0,IF(Crédits!$K$10&lt;Crédits!$K$9,AS64,0))))))</f>
        <v>0</v>
      </c>
      <c r="AM64" s="101">
        <f t="shared" si="9"/>
        <v>0</v>
      </c>
      <c r="AN64" s="88">
        <f>ROUND(AN63+AO64-MIN(N(Crédits!$E$9),AN63+AO64),2)</f>
        <v>0</v>
      </c>
      <c r="AO64" s="89">
        <f>AN63*N(Crédits!$D$9)/12</f>
        <v>0</v>
      </c>
      <c r="AP64" s="102">
        <f t="shared" si="21"/>
        <v>0</v>
      </c>
      <c r="AQ64" s="102">
        <f>AP64*N(Crédits!$D$10)/12</f>
        <v>0</v>
      </c>
      <c r="AR64" s="102">
        <f>MIN(N(Crédits!$E$10),AP64+AQ64)</f>
        <v>0</v>
      </c>
      <c r="AS64" s="102">
        <f t="shared" si="10"/>
        <v>0</v>
      </c>
      <c r="AT64" s="103">
        <f>IF(Crédits!$K$10="",0,MAX(0,MIN(AS64,Plan!$L$66-(IF(Crédits!$K$5="",0,IF(Crédits!$K$5&lt;Crédits!$K$10,E64,0))+IF(Crédits!$K$6="",0,IF(Crédits!$K$6&lt;Crédits!$K$10,M64,0))+IF(Crédits!$K$7="",0,IF(Crédits!$K$7&lt;Crédits!$K$10,U64,0))+IF(Crédits!$K$8="",0,IF(Crédits!$K$8&lt;Crédits!$K$10,AC64,0))+IF(Crédits!$K$9="",0,IF(Crédits!$K$9&lt;Crédits!$K$10,AK64,0))))))</f>
        <v>0</v>
      </c>
      <c r="AU64" s="104">
        <f t="shared" si="11"/>
        <v>0</v>
      </c>
      <c r="AV64" s="88">
        <f>ROUND(AV63+AW64-MIN(N(Crédits!$E$10),AV63+AW64),2)</f>
        <v>0</v>
      </c>
      <c r="AW64" s="89">
        <f>AV63*N(Crédits!$D$10)/12</f>
        <v>0</v>
      </c>
      <c r="AX64" s="105">
        <f t="shared" si="12"/>
        <v>0</v>
      </c>
      <c r="AY64" s="105">
        <f t="shared" ref="AY64:AZ64" si="82">F64+N64+V64+AD64+AL64+AT64</f>
        <v>0</v>
      </c>
      <c r="AZ64" s="105">
        <f t="shared" si="82"/>
        <v>0</v>
      </c>
      <c r="BA64" s="105">
        <f t="shared" si="14"/>
        <v>0</v>
      </c>
      <c r="BB64" s="105">
        <f t="shared" si="15"/>
        <v>0</v>
      </c>
    </row>
    <row r="65" spans="1:54" ht="15" customHeight="1" x14ac:dyDescent="0.25">
      <c r="A65" s="2">
        <v>63</v>
      </c>
      <c r="B65" s="83">
        <f t="shared" si="16"/>
        <v>0</v>
      </c>
      <c r="C65" s="83">
        <f>B65*N(Crédits!$D$5)/12</f>
        <v>0</v>
      </c>
      <c r="D65" s="83">
        <f>MIN(N(Crédits!$E$5),B65+C65)</f>
        <v>0</v>
      </c>
      <c r="E65" s="83">
        <f t="shared" si="0"/>
        <v>0</v>
      </c>
      <c r="F65" s="86">
        <f>IF(Crédits!$K$5="",0,MAX(0,MIN(E65,Plan!$L$67-(IF(Crédits!$K$6="",0,IF(Crédits!$K$6&lt;Crédits!$K$5,M65,0))+IF(Crédits!$K$7="",0,IF(Crédits!$K$7&lt;Crédits!$K$5,U65,0))+IF(Crédits!$K$8="",0,IF(Crédits!$K$8&lt;Crédits!$K$5,AC65,0))+IF(Crédits!$K$9="",0,IF(Crédits!$K$9&lt;Crédits!$K$5,AK65,0))+IF(Crédits!$K$10="",0,IF(Crédits!$K$10&lt;Crédits!$K$5,AS65,0))))))</f>
        <v>0</v>
      </c>
      <c r="G65" s="87">
        <f t="shared" si="1"/>
        <v>0</v>
      </c>
      <c r="H65" s="88">
        <f>ROUND(H64+I65-MIN(N(Crédits!$E$5),H64+I65),2)</f>
        <v>0</v>
      </c>
      <c r="I65" s="89">
        <f>H64*N(Crédits!$D$5)/12</f>
        <v>0</v>
      </c>
      <c r="J65" s="90">
        <f t="shared" si="17"/>
        <v>0</v>
      </c>
      <c r="K65" s="90">
        <f>J65*N(Crédits!$D$6)/12</f>
        <v>0</v>
      </c>
      <c r="L65" s="90">
        <f>MIN(N(Crédits!$E$6),J65+K65)</f>
        <v>0</v>
      </c>
      <c r="M65" s="90">
        <f t="shared" si="2"/>
        <v>0</v>
      </c>
      <c r="N65" s="91">
        <f>IF(Crédits!$K$6="",0,MAX(0,MIN(M65,Plan!$L$67-(IF(Crédits!$K$5="",0,IF(Crédits!$K$5&lt;Crédits!$K$6,E65,0))+IF(Crédits!$K$7="",0,IF(Crédits!$K$7&lt;Crédits!$K$6,U65,0))+IF(Crédits!$K$8="",0,IF(Crédits!$K$8&lt;Crédits!$K$6,AC65,0))+IF(Crédits!$K$9="",0,IF(Crédits!$K$9&lt;Crédits!$K$6,AK65,0))+IF(Crédits!$K$10="",0,IF(Crédits!$K$10&lt;Crédits!$K$6,AS65,0))))))</f>
        <v>0</v>
      </c>
      <c r="O65" s="92">
        <f t="shared" si="3"/>
        <v>0</v>
      </c>
      <c r="P65" s="88">
        <f>ROUND(P64+Q65-MIN(N(Crédits!$E$6),P64+Q65),2)</f>
        <v>0</v>
      </c>
      <c r="Q65" s="89">
        <f>P64*N(Crédits!$D$6)/12</f>
        <v>0</v>
      </c>
      <c r="R65" s="93">
        <f t="shared" si="18"/>
        <v>0</v>
      </c>
      <c r="S65" s="93">
        <f>R65*N(Crédits!$D$7)/12</f>
        <v>0</v>
      </c>
      <c r="T65" s="93">
        <f>MIN(N(Crédits!$E$7),R65+S65)</f>
        <v>0</v>
      </c>
      <c r="U65" s="93">
        <f t="shared" si="4"/>
        <v>0</v>
      </c>
      <c r="V65" s="94">
        <f>IF(Crédits!$K$7="",0,MAX(0,MIN(U65,Plan!$L$67-(IF(Crédits!$K$5="",0,IF(Crédits!$K$5&lt;Crédits!$K$7,E65,0))+IF(Crédits!$K$6="",0,IF(Crédits!$K$6&lt;Crédits!$K$7,M65,0))+IF(Crédits!$K$8="",0,IF(Crédits!$K$8&lt;Crédits!$K$7,AC65,0))+IF(Crédits!$K$9="",0,IF(Crédits!$K$9&lt;Crédits!$K$7,AK65,0))+IF(Crédits!$K$10="",0,IF(Crédits!$K$10&lt;Crédits!$K$7,AS65,0))))))</f>
        <v>0</v>
      </c>
      <c r="W65" s="95">
        <f t="shared" si="5"/>
        <v>0</v>
      </c>
      <c r="X65" s="88">
        <f>ROUND(X64+Y65-MIN(N(Crédits!$E$7),X64+Y65),2)</f>
        <v>0</v>
      </c>
      <c r="Y65" s="89">
        <f>X64*N(Crédits!$D$7)/12</f>
        <v>0</v>
      </c>
      <c r="Z65" s="96">
        <f t="shared" si="19"/>
        <v>0</v>
      </c>
      <c r="AA65" s="96">
        <f>Z65*N(Crédits!$D$8)/12</f>
        <v>0</v>
      </c>
      <c r="AB65" s="96">
        <f>MIN(N(Crédits!$E$8),Z65+AA65)</f>
        <v>0</v>
      </c>
      <c r="AC65" s="96">
        <f t="shared" si="6"/>
        <v>0</v>
      </c>
      <c r="AD65" s="97">
        <f>IF(Crédits!$K$8="",0,MAX(0,MIN(AC65,Plan!$L$67-(IF(Crédits!$K$5="",0,IF(Crédits!$K$5&lt;Crédits!$K$8,E65,0))+IF(Crédits!$K$6="",0,IF(Crédits!$K$6&lt;Crédits!$K$8,M65,0))+IF(Crédits!$K$7="",0,IF(Crédits!$K$7&lt;Crédits!$K$8,U65,0))+IF(Crédits!$K$9="",0,IF(Crédits!$K$9&lt;Crédits!$K$8,AK65,0))+IF(Crédits!$K$10="",0,IF(Crédits!$K$10&lt;Crédits!$K$8,AS65,0))))))</f>
        <v>0</v>
      </c>
      <c r="AE65" s="98">
        <f t="shared" si="7"/>
        <v>0</v>
      </c>
      <c r="AF65" s="88">
        <f>ROUND(AF64+AG65-MIN(N(Crédits!$E$8),AF64+AG65),2)</f>
        <v>0</v>
      </c>
      <c r="AG65" s="89">
        <f>AF64*N(Crédits!$D$8)/12</f>
        <v>0</v>
      </c>
      <c r="AH65" s="99">
        <f t="shared" si="20"/>
        <v>0</v>
      </c>
      <c r="AI65" s="99">
        <f>AH65*N(Crédits!$D$9)/12</f>
        <v>0</v>
      </c>
      <c r="AJ65" s="99">
        <f>MIN(N(Crédits!$E$9),AH65+AI65)</f>
        <v>0</v>
      </c>
      <c r="AK65" s="99">
        <f t="shared" si="8"/>
        <v>0</v>
      </c>
      <c r="AL65" s="100">
        <f>IF(Crédits!$K$9="",0,MAX(0,MIN(AK65,Plan!$L$67-(IF(Crédits!$K$5="",0,IF(Crédits!$K$5&lt;Crédits!$K$9,E65,0))+IF(Crédits!$K$6="",0,IF(Crédits!$K$6&lt;Crédits!$K$9,M65,0))+IF(Crédits!$K$7="",0,IF(Crédits!$K$7&lt;Crédits!$K$9,U65,0))+IF(Crédits!$K$8="",0,IF(Crédits!$K$8&lt;Crédits!$K$9,AC65,0))+IF(Crédits!$K$10="",0,IF(Crédits!$K$10&lt;Crédits!$K$9,AS65,0))))))</f>
        <v>0</v>
      </c>
      <c r="AM65" s="101">
        <f t="shared" si="9"/>
        <v>0</v>
      </c>
      <c r="AN65" s="88">
        <f>ROUND(AN64+AO65-MIN(N(Crédits!$E$9),AN64+AO65),2)</f>
        <v>0</v>
      </c>
      <c r="AO65" s="89">
        <f>AN64*N(Crédits!$D$9)/12</f>
        <v>0</v>
      </c>
      <c r="AP65" s="102">
        <f t="shared" si="21"/>
        <v>0</v>
      </c>
      <c r="AQ65" s="102">
        <f>AP65*N(Crédits!$D$10)/12</f>
        <v>0</v>
      </c>
      <c r="AR65" s="102">
        <f>MIN(N(Crédits!$E$10),AP65+AQ65)</f>
        <v>0</v>
      </c>
      <c r="AS65" s="102">
        <f t="shared" si="10"/>
        <v>0</v>
      </c>
      <c r="AT65" s="103">
        <f>IF(Crédits!$K$10="",0,MAX(0,MIN(AS65,Plan!$L$67-(IF(Crédits!$K$5="",0,IF(Crédits!$K$5&lt;Crédits!$K$10,E65,0))+IF(Crédits!$K$6="",0,IF(Crédits!$K$6&lt;Crédits!$K$10,M65,0))+IF(Crédits!$K$7="",0,IF(Crédits!$K$7&lt;Crédits!$K$10,U65,0))+IF(Crédits!$K$8="",0,IF(Crédits!$K$8&lt;Crédits!$K$10,AC65,0))+IF(Crédits!$K$9="",0,IF(Crédits!$K$9&lt;Crédits!$K$10,AK65,0))))))</f>
        <v>0</v>
      </c>
      <c r="AU65" s="104">
        <f t="shared" si="11"/>
        <v>0</v>
      </c>
      <c r="AV65" s="88">
        <f>ROUND(AV64+AW65-MIN(N(Crédits!$E$10),AV64+AW65),2)</f>
        <v>0</v>
      </c>
      <c r="AW65" s="89">
        <f>AV64*N(Crédits!$D$10)/12</f>
        <v>0</v>
      </c>
      <c r="AX65" s="105">
        <f t="shared" si="12"/>
        <v>0</v>
      </c>
      <c r="AY65" s="105">
        <f t="shared" ref="AY65:AZ65" si="83">F65+N65+V65+AD65+AL65+AT65</f>
        <v>0</v>
      </c>
      <c r="AZ65" s="105">
        <f t="shared" si="83"/>
        <v>0</v>
      </c>
      <c r="BA65" s="105">
        <f t="shared" si="14"/>
        <v>0</v>
      </c>
      <c r="BB65" s="105">
        <f t="shared" si="15"/>
        <v>0</v>
      </c>
    </row>
    <row r="66" spans="1:54" ht="15" customHeight="1" x14ac:dyDescent="0.25">
      <c r="A66" s="2">
        <v>64</v>
      </c>
      <c r="B66" s="83">
        <f t="shared" si="16"/>
        <v>0</v>
      </c>
      <c r="C66" s="83">
        <f>B66*N(Crédits!$D$5)/12</f>
        <v>0</v>
      </c>
      <c r="D66" s="83">
        <f>MIN(N(Crédits!$E$5),B66+C66)</f>
        <v>0</v>
      </c>
      <c r="E66" s="83">
        <f t="shared" si="0"/>
        <v>0</v>
      </c>
      <c r="F66" s="86">
        <f>IF(Crédits!$K$5="",0,MAX(0,MIN(E66,Plan!$L$68-(IF(Crédits!$K$6="",0,IF(Crédits!$K$6&lt;Crédits!$K$5,M66,0))+IF(Crédits!$K$7="",0,IF(Crédits!$K$7&lt;Crédits!$K$5,U66,0))+IF(Crédits!$K$8="",0,IF(Crédits!$K$8&lt;Crédits!$K$5,AC66,0))+IF(Crédits!$K$9="",0,IF(Crédits!$K$9&lt;Crédits!$K$5,AK66,0))+IF(Crédits!$K$10="",0,IF(Crédits!$K$10&lt;Crédits!$K$5,AS66,0))))))</f>
        <v>0</v>
      </c>
      <c r="G66" s="87">
        <f t="shared" si="1"/>
        <v>0</v>
      </c>
      <c r="H66" s="88">
        <f>ROUND(H65+I66-MIN(N(Crédits!$E$5),H65+I66),2)</f>
        <v>0</v>
      </c>
      <c r="I66" s="89">
        <f>H65*N(Crédits!$D$5)/12</f>
        <v>0</v>
      </c>
      <c r="J66" s="90">
        <f t="shared" si="17"/>
        <v>0</v>
      </c>
      <c r="K66" s="90">
        <f>J66*N(Crédits!$D$6)/12</f>
        <v>0</v>
      </c>
      <c r="L66" s="90">
        <f>MIN(N(Crédits!$E$6),J66+K66)</f>
        <v>0</v>
      </c>
      <c r="M66" s="90">
        <f t="shared" si="2"/>
        <v>0</v>
      </c>
      <c r="N66" s="91">
        <f>IF(Crédits!$K$6="",0,MAX(0,MIN(M66,Plan!$L$68-(IF(Crédits!$K$5="",0,IF(Crédits!$K$5&lt;Crédits!$K$6,E66,0))+IF(Crédits!$K$7="",0,IF(Crédits!$K$7&lt;Crédits!$K$6,U66,0))+IF(Crédits!$K$8="",0,IF(Crédits!$K$8&lt;Crédits!$K$6,AC66,0))+IF(Crédits!$K$9="",0,IF(Crédits!$K$9&lt;Crédits!$K$6,AK66,0))+IF(Crédits!$K$10="",0,IF(Crédits!$K$10&lt;Crédits!$K$6,AS66,0))))))</f>
        <v>0</v>
      </c>
      <c r="O66" s="92">
        <f t="shared" si="3"/>
        <v>0</v>
      </c>
      <c r="P66" s="88">
        <f>ROUND(P65+Q66-MIN(N(Crédits!$E$6),P65+Q66),2)</f>
        <v>0</v>
      </c>
      <c r="Q66" s="89">
        <f>P65*N(Crédits!$D$6)/12</f>
        <v>0</v>
      </c>
      <c r="R66" s="93">
        <f t="shared" si="18"/>
        <v>0</v>
      </c>
      <c r="S66" s="93">
        <f>R66*N(Crédits!$D$7)/12</f>
        <v>0</v>
      </c>
      <c r="T66" s="93">
        <f>MIN(N(Crédits!$E$7),R66+S66)</f>
        <v>0</v>
      </c>
      <c r="U66" s="93">
        <f t="shared" si="4"/>
        <v>0</v>
      </c>
      <c r="V66" s="94">
        <f>IF(Crédits!$K$7="",0,MAX(0,MIN(U66,Plan!$L$68-(IF(Crédits!$K$5="",0,IF(Crédits!$K$5&lt;Crédits!$K$7,E66,0))+IF(Crédits!$K$6="",0,IF(Crédits!$K$6&lt;Crédits!$K$7,M66,0))+IF(Crédits!$K$8="",0,IF(Crédits!$K$8&lt;Crédits!$K$7,AC66,0))+IF(Crédits!$K$9="",0,IF(Crédits!$K$9&lt;Crédits!$K$7,AK66,0))+IF(Crédits!$K$10="",0,IF(Crédits!$K$10&lt;Crédits!$K$7,AS66,0))))))</f>
        <v>0</v>
      </c>
      <c r="W66" s="95">
        <f t="shared" si="5"/>
        <v>0</v>
      </c>
      <c r="X66" s="88">
        <f>ROUND(X65+Y66-MIN(N(Crédits!$E$7),X65+Y66),2)</f>
        <v>0</v>
      </c>
      <c r="Y66" s="89">
        <f>X65*N(Crédits!$D$7)/12</f>
        <v>0</v>
      </c>
      <c r="Z66" s="96">
        <f t="shared" si="19"/>
        <v>0</v>
      </c>
      <c r="AA66" s="96">
        <f>Z66*N(Crédits!$D$8)/12</f>
        <v>0</v>
      </c>
      <c r="AB66" s="96">
        <f>MIN(N(Crédits!$E$8),Z66+AA66)</f>
        <v>0</v>
      </c>
      <c r="AC66" s="96">
        <f t="shared" si="6"/>
        <v>0</v>
      </c>
      <c r="AD66" s="97">
        <f>IF(Crédits!$K$8="",0,MAX(0,MIN(AC66,Plan!$L$68-(IF(Crédits!$K$5="",0,IF(Crédits!$K$5&lt;Crédits!$K$8,E66,0))+IF(Crédits!$K$6="",0,IF(Crédits!$K$6&lt;Crédits!$K$8,M66,0))+IF(Crédits!$K$7="",0,IF(Crédits!$K$7&lt;Crédits!$K$8,U66,0))+IF(Crédits!$K$9="",0,IF(Crédits!$K$9&lt;Crédits!$K$8,AK66,0))+IF(Crédits!$K$10="",0,IF(Crédits!$K$10&lt;Crédits!$K$8,AS66,0))))))</f>
        <v>0</v>
      </c>
      <c r="AE66" s="98">
        <f t="shared" si="7"/>
        <v>0</v>
      </c>
      <c r="AF66" s="88">
        <f>ROUND(AF65+AG66-MIN(N(Crédits!$E$8),AF65+AG66),2)</f>
        <v>0</v>
      </c>
      <c r="AG66" s="89">
        <f>AF65*N(Crédits!$D$8)/12</f>
        <v>0</v>
      </c>
      <c r="AH66" s="99">
        <f t="shared" si="20"/>
        <v>0</v>
      </c>
      <c r="AI66" s="99">
        <f>AH66*N(Crédits!$D$9)/12</f>
        <v>0</v>
      </c>
      <c r="AJ66" s="99">
        <f>MIN(N(Crédits!$E$9),AH66+AI66)</f>
        <v>0</v>
      </c>
      <c r="AK66" s="99">
        <f t="shared" si="8"/>
        <v>0</v>
      </c>
      <c r="AL66" s="100">
        <f>IF(Crédits!$K$9="",0,MAX(0,MIN(AK66,Plan!$L$68-(IF(Crédits!$K$5="",0,IF(Crédits!$K$5&lt;Crédits!$K$9,E66,0))+IF(Crédits!$K$6="",0,IF(Crédits!$K$6&lt;Crédits!$K$9,M66,0))+IF(Crédits!$K$7="",0,IF(Crédits!$K$7&lt;Crédits!$K$9,U66,0))+IF(Crédits!$K$8="",0,IF(Crédits!$K$8&lt;Crédits!$K$9,AC66,0))+IF(Crédits!$K$10="",0,IF(Crédits!$K$10&lt;Crédits!$K$9,AS66,0))))))</f>
        <v>0</v>
      </c>
      <c r="AM66" s="101">
        <f t="shared" si="9"/>
        <v>0</v>
      </c>
      <c r="AN66" s="88">
        <f>ROUND(AN65+AO66-MIN(N(Crédits!$E$9),AN65+AO66),2)</f>
        <v>0</v>
      </c>
      <c r="AO66" s="89">
        <f>AN65*N(Crédits!$D$9)/12</f>
        <v>0</v>
      </c>
      <c r="AP66" s="102">
        <f t="shared" si="21"/>
        <v>0</v>
      </c>
      <c r="AQ66" s="102">
        <f>AP66*N(Crédits!$D$10)/12</f>
        <v>0</v>
      </c>
      <c r="AR66" s="102">
        <f>MIN(N(Crédits!$E$10),AP66+AQ66)</f>
        <v>0</v>
      </c>
      <c r="AS66" s="102">
        <f t="shared" si="10"/>
        <v>0</v>
      </c>
      <c r="AT66" s="103">
        <f>IF(Crédits!$K$10="",0,MAX(0,MIN(AS66,Plan!$L$68-(IF(Crédits!$K$5="",0,IF(Crédits!$K$5&lt;Crédits!$K$10,E66,0))+IF(Crédits!$K$6="",0,IF(Crédits!$K$6&lt;Crédits!$K$10,M66,0))+IF(Crédits!$K$7="",0,IF(Crédits!$K$7&lt;Crédits!$K$10,U66,0))+IF(Crédits!$K$8="",0,IF(Crédits!$K$8&lt;Crédits!$K$10,AC66,0))+IF(Crédits!$K$9="",0,IF(Crédits!$K$9&lt;Crédits!$K$10,AK66,0))))))</f>
        <v>0</v>
      </c>
      <c r="AU66" s="104">
        <f t="shared" si="11"/>
        <v>0</v>
      </c>
      <c r="AV66" s="88">
        <f>ROUND(AV65+AW66-MIN(N(Crédits!$E$10),AV65+AW66),2)</f>
        <v>0</v>
      </c>
      <c r="AW66" s="89">
        <f>AV65*N(Crédits!$D$10)/12</f>
        <v>0</v>
      </c>
      <c r="AX66" s="105">
        <f t="shared" si="12"/>
        <v>0</v>
      </c>
      <c r="AY66" s="105">
        <f t="shared" ref="AY66:AZ66" si="84">F66+N66+V66+AD66+AL66+AT66</f>
        <v>0</v>
      </c>
      <c r="AZ66" s="105">
        <f t="shared" si="84"/>
        <v>0</v>
      </c>
      <c r="BA66" s="105">
        <f t="shared" si="14"/>
        <v>0</v>
      </c>
      <c r="BB66" s="105">
        <f t="shared" si="15"/>
        <v>0</v>
      </c>
    </row>
    <row r="67" spans="1:54" ht="15" customHeight="1" x14ac:dyDescent="0.25">
      <c r="A67" s="2">
        <v>65</v>
      </c>
      <c r="B67" s="83">
        <f t="shared" si="16"/>
        <v>0</v>
      </c>
      <c r="C67" s="83">
        <f>B67*N(Crédits!$D$5)/12</f>
        <v>0</v>
      </c>
      <c r="D67" s="83">
        <f>MIN(N(Crédits!$E$5),B67+C67)</f>
        <v>0</v>
      </c>
      <c r="E67" s="83">
        <f t="shared" si="0"/>
        <v>0</v>
      </c>
      <c r="F67" s="86">
        <f>IF(Crédits!$K$5="",0,MAX(0,MIN(E67,Plan!$L$69-(IF(Crédits!$K$6="",0,IF(Crédits!$K$6&lt;Crédits!$K$5,M67,0))+IF(Crédits!$K$7="",0,IF(Crédits!$K$7&lt;Crédits!$K$5,U67,0))+IF(Crédits!$K$8="",0,IF(Crédits!$K$8&lt;Crédits!$K$5,AC67,0))+IF(Crédits!$K$9="",0,IF(Crédits!$K$9&lt;Crédits!$K$5,AK67,0))+IF(Crédits!$K$10="",0,IF(Crédits!$K$10&lt;Crédits!$K$5,AS67,0))))))</f>
        <v>0</v>
      </c>
      <c r="G67" s="87">
        <f t="shared" si="1"/>
        <v>0</v>
      </c>
      <c r="H67" s="88">
        <f>ROUND(H66+I67-MIN(N(Crédits!$E$5),H66+I67),2)</f>
        <v>0</v>
      </c>
      <c r="I67" s="89">
        <f>H66*N(Crédits!$D$5)/12</f>
        <v>0</v>
      </c>
      <c r="J67" s="90">
        <f t="shared" si="17"/>
        <v>0</v>
      </c>
      <c r="K67" s="90">
        <f>J67*N(Crédits!$D$6)/12</f>
        <v>0</v>
      </c>
      <c r="L67" s="90">
        <f>MIN(N(Crédits!$E$6),J67+K67)</f>
        <v>0</v>
      </c>
      <c r="M67" s="90">
        <f t="shared" si="2"/>
        <v>0</v>
      </c>
      <c r="N67" s="91">
        <f>IF(Crédits!$K$6="",0,MAX(0,MIN(M67,Plan!$L$69-(IF(Crédits!$K$5="",0,IF(Crédits!$K$5&lt;Crédits!$K$6,E67,0))+IF(Crédits!$K$7="",0,IF(Crédits!$K$7&lt;Crédits!$K$6,U67,0))+IF(Crédits!$K$8="",0,IF(Crédits!$K$8&lt;Crédits!$K$6,AC67,0))+IF(Crédits!$K$9="",0,IF(Crédits!$K$9&lt;Crédits!$K$6,AK67,0))+IF(Crédits!$K$10="",0,IF(Crédits!$K$10&lt;Crédits!$K$6,AS67,0))))))</f>
        <v>0</v>
      </c>
      <c r="O67" s="92">
        <f t="shared" si="3"/>
        <v>0</v>
      </c>
      <c r="P67" s="88">
        <f>ROUND(P66+Q67-MIN(N(Crédits!$E$6),P66+Q67),2)</f>
        <v>0</v>
      </c>
      <c r="Q67" s="89">
        <f>P66*N(Crédits!$D$6)/12</f>
        <v>0</v>
      </c>
      <c r="R67" s="93">
        <f t="shared" si="18"/>
        <v>0</v>
      </c>
      <c r="S67" s="93">
        <f>R67*N(Crédits!$D$7)/12</f>
        <v>0</v>
      </c>
      <c r="T67" s="93">
        <f>MIN(N(Crédits!$E$7),R67+S67)</f>
        <v>0</v>
      </c>
      <c r="U67" s="93">
        <f t="shared" si="4"/>
        <v>0</v>
      </c>
      <c r="V67" s="94">
        <f>IF(Crédits!$K$7="",0,MAX(0,MIN(U67,Plan!$L$69-(IF(Crédits!$K$5="",0,IF(Crédits!$K$5&lt;Crédits!$K$7,E67,0))+IF(Crédits!$K$6="",0,IF(Crédits!$K$6&lt;Crédits!$K$7,M67,0))+IF(Crédits!$K$8="",0,IF(Crédits!$K$8&lt;Crédits!$K$7,AC67,0))+IF(Crédits!$K$9="",0,IF(Crédits!$K$9&lt;Crédits!$K$7,AK67,0))+IF(Crédits!$K$10="",0,IF(Crédits!$K$10&lt;Crédits!$K$7,AS67,0))))))</f>
        <v>0</v>
      </c>
      <c r="W67" s="95">
        <f t="shared" si="5"/>
        <v>0</v>
      </c>
      <c r="X67" s="88">
        <f>ROUND(X66+Y67-MIN(N(Crédits!$E$7),X66+Y67),2)</f>
        <v>0</v>
      </c>
      <c r="Y67" s="89">
        <f>X66*N(Crédits!$D$7)/12</f>
        <v>0</v>
      </c>
      <c r="Z67" s="96">
        <f t="shared" si="19"/>
        <v>0</v>
      </c>
      <c r="AA67" s="96">
        <f>Z67*N(Crédits!$D$8)/12</f>
        <v>0</v>
      </c>
      <c r="AB67" s="96">
        <f>MIN(N(Crédits!$E$8),Z67+AA67)</f>
        <v>0</v>
      </c>
      <c r="AC67" s="96">
        <f t="shared" si="6"/>
        <v>0</v>
      </c>
      <c r="AD67" s="97">
        <f>IF(Crédits!$K$8="",0,MAX(0,MIN(AC67,Plan!$L$69-(IF(Crédits!$K$5="",0,IF(Crédits!$K$5&lt;Crédits!$K$8,E67,0))+IF(Crédits!$K$6="",0,IF(Crédits!$K$6&lt;Crédits!$K$8,M67,0))+IF(Crédits!$K$7="",0,IF(Crédits!$K$7&lt;Crédits!$K$8,U67,0))+IF(Crédits!$K$9="",0,IF(Crédits!$K$9&lt;Crédits!$K$8,AK67,0))+IF(Crédits!$K$10="",0,IF(Crédits!$K$10&lt;Crédits!$K$8,AS67,0))))))</f>
        <v>0</v>
      </c>
      <c r="AE67" s="98">
        <f t="shared" si="7"/>
        <v>0</v>
      </c>
      <c r="AF67" s="88">
        <f>ROUND(AF66+AG67-MIN(N(Crédits!$E$8),AF66+AG67),2)</f>
        <v>0</v>
      </c>
      <c r="AG67" s="89">
        <f>AF66*N(Crédits!$D$8)/12</f>
        <v>0</v>
      </c>
      <c r="AH67" s="99">
        <f t="shared" si="20"/>
        <v>0</v>
      </c>
      <c r="AI67" s="99">
        <f>AH67*N(Crédits!$D$9)/12</f>
        <v>0</v>
      </c>
      <c r="AJ67" s="99">
        <f>MIN(N(Crédits!$E$9),AH67+AI67)</f>
        <v>0</v>
      </c>
      <c r="AK67" s="99">
        <f t="shared" si="8"/>
        <v>0</v>
      </c>
      <c r="AL67" s="100">
        <f>IF(Crédits!$K$9="",0,MAX(0,MIN(AK67,Plan!$L$69-(IF(Crédits!$K$5="",0,IF(Crédits!$K$5&lt;Crédits!$K$9,E67,0))+IF(Crédits!$K$6="",0,IF(Crédits!$K$6&lt;Crédits!$K$9,M67,0))+IF(Crédits!$K$7="",0,IF(Crédits!$K$7&lt;Crédits!$K$9,U67,0))+IF(Crédits!$K$8="",0,IF(Crédits!$K$8&lt;Crédits!$K$9,AC67,0))+IF(Crédits!$K$10="",0,IF(Crédits!$K$10&lt;Crédits!$K$9,AS67,0))))))</f>
        <v>0</v>
      </c>
      <c r="AM67" s="101">
        <f t="shared" si="9"/>
        <v>0</v>
      </c>
      <c r="AN67" s="88">
        <f>ROUND(AN66+AO67-MIN(N(Crédits!$E$9),AN66+AO67),2)</f>
        <v>0</v>
      </c>
      <c r="AO67" s="89">
        <f>AN66*N(Crédits!$D$9)/12</f>
        <v>0</v>
      </c>
      <c r="AP67" s="102">
        <f t="shared" si="21"/>
        <v>0</v>
      </c>
      <c r="AQ67" s="102">
        <f>AP67*N(Crédits!$D$10)/12</f>
        <v>0</v>
      </c>
      <c r="AR67" s="102">
        <f>MIN(N(Crédits!$E$10),AP67+AQ67)</f>
        <v>0</v>
      </c>
      <c r="AS67" s="102">
        <f t="shared" si="10"/>
        <v>0</v>
      </c>
      <c r="AT67" s="103">
        <f>IF(Crédits!$K$10="",0,MAX(0,MIN(AS67,Plan!$L$69-(IF(Crédits!$K$5="",0,IF(Crédits!$K$5&lt;Crédits!$K$10,E67,0))+IF(Crédits!$K$6="",0,IF(Crédits!$K$6&lt;Crédits!$K$10,M67,0))+IF(Crédits!$K$7="",0,IF(Crédits!$K$7&lt;Crédits!$K$10,U67,0))+IF(Crédits!$K$8="",0,IF(Crédits!$K$8&lt;Crédits!$K$10,AC67,0))+IF(Crédits!$K$9="",0,IF(Crédits!$K$9&lt;Crédits!$K$10,AK67,0))))))</f>
        <v>0</v>
      </c>
      <c r="AU67" s="104">
        <f t="shared" si="11"/>
        <v>0</v>
      </c>
      <c r="AV67" s="88">
        <f>ROUND(AV66+AW67-MIN(N(Crédits!$E$10),AV66+AW67),2)</f>
        <v>0</v>
      </c>
      <c r="AW67" s="89">
        <f>AV66*N(Crédits!$D$10)/12</f>
        <v>0</v>
      </c>
      <c r="AX67" s="105">
        <f t="shared" si="12"/>
        <v>0</v>
      </c>
      <c r="AY67" s="105">
        <f t="shared" ref="AY67:AZ67" si="85">F67+N67+V67+AD67+AL67+AT67</f>
        <v>0</v>
      </c>
      <c r="AZ67" s="105">
        <f t="shared" si="85"/>
        <v>0</v>
      </c>
      <c r="BA67" s="105">
        <f t="shared" si="14"/>
        <v>0</v>
      </c>
      <c r="BB67" s="105">
        <f t="shared" si="15"/>
        <v>0</v>
      </c>
    </row>
    <row r="68" spans="1:54" ht="15" customHeight="1" x14ac:dyDescent="0.25">
      <c r="A68" s="2">
        <v>66</v>
      </c>
      <c r="B68" s="83">
        <f t="shared" si="16"/>
        <v>0</v>
      </c>
      <c r="C68" s="83">
        <f>B68*N(Crédits!$D$5)/12</f>
        <v>0</v>
      </c>
      <c r="D68" s="83">
        <f>MIN(N(Crédits!$E$5),B68+C68)</f>
        <v>0</v>
      </c>
      <c r="E68" s="83">
        <f t="shared" si="0"/>
        <v>0</v>
      </c>
      <c r="F68" s="86">
        <f>IF(Crédits!$K$5="",0,MAX(0,MIN(E68,Plan!$L$70-(IF(Crédits!$K$6="",0,IF(Crédits!$K$6&lt;Crédits!$K$5,M68,0))+IF(Crédits!$K$7="",0,IF(Crédits!$K$7&lt;Crédits!$K$5,U68,0))+IF(Crédits!$K$8="",0,IF(Crédits!$K$8&lt;Crédits!$K$5,AC68,0))+IF(Crédits!$K$9="",0,IF(Crédits!$K$9&lt;Crédits!$K$5,AK68,0))+IF(Crédits!$K$10="",0,IF(Crédits!$K$10&lt;Crédits!$K$5,AS68,0))))))</f>
        <v>0</v>
      </c>
      <c r="G68" s="87">
        <f t="shared" si="1"/>
        <v>0</v>
      </c>
      <c r="H68" s="88">
        <f>ROUND(H67+I68-MIN(N(Crédits!$E$5),H67+I68),2)</f>
        <v>0</v>
      </c>
      <c r="I68" s="89">
        <f>H67*N(Crédits!$D$5)/12</f>
        <v>0</v>
      </c>
      <c r="J68" s="90">
        <f t="shared" si="17"/>
        <v>0</v>
      </c>
      <c r="K68" s="90">
        <f>J68*N(Crédits!$D$6)/12</f>
        <v>0</v>
      </c>
      <c r="L68" s="90">
        <f>MIN(N(Crédits!$E$6),J68+K68)</f>
        <v>0</v>
      </c>
      <c r="M68" s="90">
        <f t="shared" si="2"/>
        <v>0</v>
      </c>
      <c r="N68" s="91">
        <f>IF(Crédits!$K$6="",0,MAX(0,MIN(M68,Plan!$L$70-(IF(Crédits!$K$5="",0,IF(Crédits!$K$5&lt;Crédits!$K$6,E68,0))+IF(Crédits!$K$7="",0,IF(Crédits!$K$7&lt;Crédits!$K$6,U68,0))+IF(Crédits!$K$8="",0,IF(Crédits!$K$8&lt;Crédits!$K$6,AC68,0))+IF(Crédits!$K$9="",0,IF(Crédits!$K$9&lt;Crédits!$K$6,AK68,0))+IF(Crédits!$K$10="",0,IF(Crédits!$K$10&lt;Crédits!$K$6,AS68,0))))))</f>
        <v>0</v>
      </c>
      <c r="O68" s="92">
        <f t="shared" si="3"/>
        <v>0</v>
      </c>
      <c r="P68" s="88">
        <f>ROUND(P67+Q68-MIN(N(Crédits!$E$6),P67+Q68),2)</f>
        <v>0</v>
      </c>
      <c r="Q68" s="89">
        <f>P67*N(Crédits!$D$6)/12</f>
        <v>0</v>
      </c>
      <c r="R68" s="93">
        <f t="shared" si="18"/>
        <v>0</v>
      </c>
      <c r="S68" s="93">
        <f>R68*N(Crédits!$D$7)/12</f>
        <v>0</v>
      </c>
      <c r="T68" s="93">
        <f>MIN(N(Crédits!$E$7),R68+S68)</f>
        <v>0</v>
      </c>
      <c r="U68" s="93">
        <f t="shared" si="4"/>
        <v>0</v>
      </c>
      <c r="V68" s="94">
        <f>IF(Crédits!$K$7="",0,MAX(0,MIN(U68,Plan!$L$70-(IF(Crédits!$K$5="",0,IF(Crédits!$K$5&lt;Crédits!$K$7,E68,0))+IF(Crédits!$K$6="",0,IF(Crédits!$K$6&lt;Crédits!$K$7,M68,0))+IF(Crédits!$K$8="",0,IF(Crédits!$K$8&lt;Crédits!$K$7,AC68,0))+IF(Crédits!$K$9="",0,IF(Crédits!$K$9&lt;Crédits!$K$7,AK68,0))+IF(Crédits!$K$10="",0,IF(Crédits!$K$10&lt;Crédits!$K$7,AS68,0))))))</f>
        <v>0</v>
      </c>
      <c r="W68" s="95">
        <f t="shared" si="5"/>
        <v>0</v>
      </c>
      <c r="X68" s="88">
        <f>ROUND(X67+Y68-MIN(N(Crédits!$E$7),X67+Y68),2)</f>
        <v>0</v>
      </c>
      <c r="Y68" s="89">
        <f>X67*N(Crédits!$D$7)/12</f>
        <v>0</v>
      </c>
      <c r="Z68" s="96">
        <f t="shared" si="19"/>
        <v>0</v>
      </c>
      <c r="AA68" s="96">
        <f>Z68*N(Crédits!$D$8)/12</f>
        <v>0</v>
      </c>
      <c r="AB68" s="96">
        <f>MIN(N(Crédits!$E$8),Z68+AA68)</f>
        <v>0</v>
      </c>
      <c r="AC68" s="96">
        <f t="shared" si="6"/>
        <v>0</v>
      </c>
      <c r="AD68" s="97">
        <f>IF(Crédits!$K$8="",0,MAX(0,MIN(AC68,Plan!$L$70-(IF(Crédits!$K$5="",0,IF(Crédits!$K$5&lt;Crédits!$K$8,E68,0))+IF(Crédits!$K$6="",0,IF(Crédits!$K$6&lt;Crédits!$K$8,M68,0))+IF(Crédits!$K$7="",0,IF(Crédits!$K$7&lt;Crédits!$K$8,U68,0))+IF(Crédits!$K$9="",0,IF(Crédits!$K$9&lt;Crédits!$K$8,AK68,0))+IF(Crédits!$K$10="",0,IF(Crédits!$K$10&lt;Crédits!$K$8,AS68,0))))))</f>
        <v>0</v>
      </c>
      <c r="AE68" s="98">
        <f t="shared" si="7"/>
        <v>0</v>
      </c>
      <c r="AF68" s="88">
        <f>ROUND(AF67+AG68-MIN(N(Crédits!$E$8),AF67+AG68),2)</f>
        <v>0</v>
      </c>
      <c r="AG68" s="89">
        <f>AF67*N(Crédits!$D$8)/12</f>
        <v>0</v>
      </c>
      <c r="AH68" s="99">
        <f t="shared" si="20"/>
        <v>0</v>
      </c>
      <c r="AI68" s="99">
        <f>AH68*N(Crédits!$D$9)/12</f>
        <v>0</v>
      </c>
      <c r="AJ68" s="99">
        <f>MIN(N(Crédits!$E$9),AH68+AI68)</f>
        <v>0</v>
      </c>
      <c r="AK68" s="99">
        <f t="shared" si="8"/>
        <v>0</v>
      </c>
      <c r="AL68" s="100">
        <f>IF(Crédits!$K$9="",0,MAX(0,MIN(AK68,Plan!$L$70-(IF(Crédits!$K$5="",0,IF(Crédits!$K$5&lt;Crédits!$K$9,E68,0))+IF(Crédits!$K$6="",0,IF(Crédits!$K$6&lt;Crédits!$K$9,M68,0))+IF(Crédits!$K$7="",0,IF(Crédits!$K$7&lt;Crédits!$K$9,U68,0))+IF(Crédits!$K$8="",0,IF(Crédits!$K$8&lt;Crédits!$K$9,AC68,0))+IF(Crédits!$K$10="",0,IF(Crédits!$K$10&lt;Crédits!$K$9,AS68,0))))))</f>
        <v>0</v>
      </c>
      <c r="AM68" s="101">
        <f t="shared" si="9"/>
        <v>0</v>
      </c>
      <c r="AN68" s="88">
        <f>ROUND(AN67+AO68-MIN(N(Crédits!$E$9),AN67+AO68),2)</f>
        <v>0</v>
      </c>
      <c r="AO68" s="89">
        <f>AN67*N(Crédits!$D$9)/12</f>
        <v>0</v>
      </c>
      <c r="AP68" s="102">
        <f t="shared" si="21"/>
        <v>0</v>
      </c>
      <c r="AQ68" s="102">
        <f>AP68*N(Crédits!$D$10)/12</f>
        <v>0</v>
      </c>
      <c r="AR68" s="102">
        <f>MIN(N(Crédits!$E$10),AP68+AQ68)</f>
        <v>0</v>
      </c>
      <c r="AS68" s="102">
        <f t="shared" si="10"/>
        <v>0</v>
      </c>
      <c r="AT68" s="103">
        <f>IF(Crédits!$K$10="",0,MAX(0,MIN(AS68,Plan!$L$70-(IF(Crédits!$K$5="",0,IF(Crédits!$K$5&lt;Crédits!$K$10,E68,0))+IF(Crédits!$K$6="",0,IF(Crédits!$K$6&lt;Crédits!$K$10,M68,0))+IF(Crédits!$K$7="",0,IF(Crédits!$K$7&lt;Crédits!$K$10,U68,0))+IF(Crédits!$K$8="",0,IF(Crédits!$K$8&lt;Crédits!$K$10,AC68,0))+IF(Crédits!$K$9="",0,IF(Crédits!$K$9&lt;Crédits!$K$10,AK68,0))))))</f>
        <v>0</v>
      </c>
      <c r="AU68" s="104">
        <f t="shared" si="11"/>
        <v>0</v>
      </c>
      <c r="AV68" s="88">
        <f>ROUND(AV67+AW68-MIN(N(Crédits!$E$10),AV67+AW68),2)</f>
        <v>0</v>
      </c>
      <c r="AW68" s="89">
        <f>AV67*N(Crédits!$D$10)/12</f>
        <v>0</v>
      </c>
      <c r="AX68" s="105">
        <f t="shared" si="12"/>
        <v>0</v>
      </c>
      <c r="AY68" s="105">
        <f t="shared" ref="AY68:AZ68" si="86">F68+N68+V68+AD68+AL68+AT68</f>
        <v>0</v>
      </c>
      <c r="AZ68" s="105">
        <f t="shared" si="86"/>
        <v>0</v>
      </c>
      <c r="BA68" s="105">
        <f t="shared" si="14"/>
        <v>0</v>
      </c>
      <c r="BB68" s="105">
        <f t="shared" si="15"/>
        <v>0</v>
      </c>
    </row>
    <row r="69" spans="1:54" ht="15" customHeight="1" x14ac:dyDescent="0.25">
      <c r="A69" s="2">
        <v>67</v>
      </c>
      <c r="B69" s="83">
        <f t="shared" si="16"/>
        <v>0</v>
      </c>
      <c r="C69" s="83">
        <f>B69*N(Crédits!$D$5)/12</f>
        <v>0</v>
      </c>
      <c r="D69" s="83">
        <f>MIN(N(Crédits!$E$5),B69+C69)</f>
        <v>0</v>
      </c>
      <c r="E69" s="83">
        <f t="shared" si="0"/>
        <v>0</v>
      </c>
      <c r="F69" s="86">
        <f>IF(Crédits!$K$5="",0,MAX(0,MIN(E69,Plan!$L$71-(IF(Crédits!$K$6="",0,IF(Crédits!$K$6&lt;Crédits!$K$5,M69,0))+IF(Crédits!$K$7="",0,IF(Crédits!$K$7&lt;Crédits!$K$5,U69,0))+IF(Crédits!$K$8="",0,IF(Crédits!$K$8&lt;Crédits!$K$5,AC69,0))+IF(Crédits!$K$9="",0,IF(Crédits!$K$9&lt;Crédits!$K$5,AK69,0))+IF(Crédits!$K$10="",0,IF(Crédits!$K$10&lt;Crédits!$K$5,AS69,0))))))</f>
        <v>0</v>
      </c>
      <c r="G69" s="87">
        <f t="shared" si="1"/>
        <v>0</v>
      </c>
      <c r="H69" s="88">
        <f>ROUND(H68+I69-MIN(N(Crédits!$E$5),H68+I69),2)</f>
        <v>0</v>
      </c>
      <c r="I69" s="89">
        <f>H68*N(Crédits!$D$5)/12</f>
        <v>0</v>
      </c>
      <c r="J69" s="90">
        <f t="shared" si="17"/>
        <v>0</v>
      </c>
      <c r="K69" s="90">
        <f>J69*N(Crédits!$D$6)/12</f>
        <v>0</v>
      </c>
      <c r="L69" s="90">
        <f>MIN(N(Crédits!$E$6),J69+K69)</f>
        <v>0</v>
      </c>
      <c r="M69" s="90">
        <f t="shared" si="2"/>
        <v>0</v>
      </c>
      <c r="N69" s="91">
        <f>IF(Crédits!$K$6="",0,MAX(0,MIN(M69,Plan!$L$71-(IF(Crédits!$K$5="",0,IF(Crédits!$K$5&lt;Crédits!$K$6,E69,0))+IF(Crédits!$K$7="",0,IF(Crédits!$K$7&lt;Crédits!$K$6,U69,0))+IF(Crédits!$K$8="",0,IF(Crédits!$K$8&lt;Crédits!$K$6,AC69,0))+IF(Crédits!$K$9="",0,IF(Crédits!$K$9&lt;Crédits!$K$6,AK69,0))+IF(Crédits!$K$10="",0,IF(Crédits!$K$10&lt;Crédits!$K$6,AS69,0))))))</f>
        <v>0</v>
      </c>
      <c r="O69" s="92">
        <f t="shared" si="3"/>
        <v>0</v>
      </c>
      <c r="P69" s="88">
        <f>ROUND(P68+Q69-MIN(N(Crédits!$E$6),P68+Q69),2)</f>
        <v>0</v>
      </c>
      <c r="Q69" s="89">
        <f>P68*N(Crédits!$D$6)/12</f>
        <v>0</v>
      </c>
      <c r="R69" s="93">
        <f t="shared" si="18"/>
        <v>0</v>
      </c>
      <c r="S69" s="93">
        <f>R69*N(Crédits!$D$7)/12</f>
        <v>0</v>
      </c>
      <c r="T69" s="93">
        <f>MIN(N(Crédits!$E$7),R69+S69)</f>
        <v>0</v>
      </c>
      <c r="U69" s="93">
        <f t="shared" si="4"/>
        <v>0</v>
      </c>
      <c r="V69" s="94">
        <f>IF(Crédits!$K$7="",0,MAX(0,MIN(U69,Plan!$L$71-(IF(Crédits!$K$5="",0,IF(Crédits!$K$5&lt;Crédits!$K$7,E69,0))+IF(Crédits!$K$6="",0,IF(Crédits!$K$6&lt;Crédits!$K$7,M69,0))+IF(Crédits!$K$8="",0,IF(Crédits!$K$8&lt;Crédits!$K$7,AC69,0))+IF(Crédits!$K$9="",0,IF(Crédits!$K$9&lt;Crédits!$K$7,AK69,0))+IF(Crédits!$K$10="",0,IF(Crédits!$K$10&lt;Crédits!$K$7,AS69,0))))))</f>
        <v>0</v>
      </c>
      <c r="W69" s="95">
        <f t="shared" si="5"/>
        <v>0</v>
      </c>
      <c r="X69" s="88">
        <f>ROUND(X68+Y69-MIN(N(Crédits!$E$7),X68+Y69),2)</f>
        <v>0</v>
      </c>
      <c r="Y69" s="89">
        <f>X68*N(Crédits!$D$7)/12</f>
        <v>0</v>
      </c>
      <c r="Z69" s="96">
        <f t="shared" si="19"/>
        <v>0</v>
      </c>
      <c r="AA69" s="96">
        <f>Z69*N(Crédits!$D$8)/12</f>
        <v>0</v>
      </c>
      <c r="AB69" s="96">
        <f>MIN(N(Crédits!$E$8),Z69+AA69)</f>
        <v>0</v>
      </c>
      <c r="AC69" s="96">
        <f t="shared" si="6"/>
        <v>0</v>
      </c>
      <c r="AD69" s="97">
        <f>IF(Crédits!$K$8="",0,MAX(0,MIN(AC69,Plan!$L$71-(IF(Crédits!$K$5="",0,IF(Crédits!$K$5&lt;Crédits!$K$8,E69,0))+IF(Crédits!$K$6="",0,IF(Crédits!$K$6&lt;Crédits!$K$8,M69,0))+IF(Crédits!$K$7="",0,IF(Crédits!$K$7&lt;Crédits!$K$8,U69,0))+IF(Crédits!$K$9="",0,IF(Crédits!$K$9&lt;Crédits!$K$8,AK69,0))+IF(Crédits!$K$10="",0,IF(Crédits!$K$10&lt;Crédits!$K$8,AS69,0))))))</f>
        <v>0</v>
      </c>
      <c r="AE69" s="98">
        <f t="shared" si="7"/>
        <v>0</v>
      </c>
      <c r="AF69" s="88">
        <f>ROUND(AF68+AG69-MIN(N(Crédits!$E$8),AF68+AG69),2)</f>
        <v>0</v>
      </c>
      <c r="AG69" s="89">
        <f>AF68*N(Crédits!$D$8)/12</f>
        <v>0</v>
      </c>
      <c r="AH69" s="99">
        <f t="shared" si="20"/>
        <v>0</v>
      </c>
      <c r="AI69" s="99">
        <f>AH69*N(Crédits!$D$9)/12</f>
        <v>0</v>
      </c>
      <c r="AJ69" s="99">
        <f>MIN(N(Crédits!$E$9),AH69+AI69)</f>
        <v>0</v>
      </c>
      <c r="AK69" s="99">
        <f t="shared" si="8"/>
        <v>0</v>
      </c>
      <c r="AL69" s="100">
        <f>IF(Crédits!$K$9="",0,MAX(0,MIN(AK69,Plan!$L$71-(IF(Crédits!$K$5="",0,IF(Crédits!$K$5&lt;Crédits!$K$9,E69,0))+IF(Crédits!$K$6="",0,IF(Crédits!$K$6&lt;Crédits!$K$9,M69,0))+IF(Crédits!$K$7="",0,IF(Crédits!$K$7&lt;Crédits!$K$9,U69,0))+IF(Crédits!$K$8="",0,IF(Crédits!$K$8&lt;Crédits!$K$9,AC69,0))+IF(Crédits!$K$10="",0,IF(Crédits!$K$10&lt;Crédits!$K$9,AS69,0))))))</f>
        <v>0</v>
      </c>
      <c r="AM69" s="101">
        <f t="shared" si="9"/>
        <v>0</v>
      </c>
      <c r="AN69" s="88">
        <f>ROUND(AN68+AO69-MIN(N(Crédits!$E$9),AN68+AO69),2)</f>
        <v>0</v>
      </c>
      <c r="AO69" s="89">
        <f>AN68*N(Crédits!$D$9)/12</f>
        <v>0</v>
      </c>
      <c r="AP69" s="102">
        <f t="shared" si="21"/>
        <v>0</v>
      </c>
      <c r="AQ69" s="102">
        <f>AP69*N(Crédits!$D$10)/12</f>
        <v>0</v>
      </c>
      <c r="AR69" s="102">
        <f>MIN(N(Crédits!$E$10),AP69+AQ69)</f>
        <v>0</v>
      </c>
      <c r="AS69" s="102">
        <f t="shared" si="10"/>
        <v>0</v>
      </c>
      <c r="AT69" s="103">
        <f>IF(Crédits!$K$10="",0,MAX(0,MIN(AS69,Plan!$L$71-(IF(Crédits!$K$5="",0,IF(Crédits!$K$5&lt;Crédits!$K$10,E69,0))+IF(Crédits!$K$6="",0,IF(Crédits!$K$6&lt;Crédits!$K$10,M69,0))+IF(Crédits!$K$7="",0,IF(Crédits!$K$7&lt;Crédits!$K$10,U69,0))+IF(Crédits!$K$8="",0,IF(Crédits!$K$8&lt;Crédits!$K$10,AC69,0))+IF(Crédits!$K$9="",0,IF(Crédits!$K$9&lt;Crédits!$K$10,AK69,0))))))</f>
        <v>0</v>
      </c>
      <c r="AU69" s="104">
        <f t="shared" si="11"/>
        <v>0</v>
      </c>
      <c r="AV69" s="88">
        <f>ROUND(AV68+AW69-MIN(N(Crédits!$E$10),AV68+AW69),2)</f>
        <v>0</v>
      </c>
      <c r="AW69" s="89">
        <f>AV68*N(Crédits!$D$10)/12</f>
        <v>0</v>
      </c>
      <c r="AX69" s="105">
        <f t="shared" si="12"/>
        <v>0</v>
      </c>
      <c r="AY69" s="105">
        <f t="shared" ref="AY69:AZ69" si="87">F69+N69+V69+AD69+AL69+AT69</f>
        <v>0</v>
      </c>
      <c r="AZ69" s="105">
        <f t="shared" si="87"/>
        <v>0</v>
      </c>
      <c r="BA69" s="105">
        <f t="shared" si="14"/>
        <v>0</v>
      </c>
      <c r="BB69" s="105">
        <f t="shared" si="15"/>
        <v>0</v>
      </c>
    </row>
    <row r="70" spans="1:54" ht="15" customHeight="1" x14ac:dyDescent="0.25">
      <c r="A70" s="2">
        <v>68</v>
      </c>
      <c r="B70" s="83">
        <f t="shared" si="16"/>
        <v>0</v>
      </c>
      <c r="C70" s="83">
        <f>B70*N(Crédits!$D$5)/12</f>
        <v>0</v>
      </c>
      <c r="D70" s="83">
        <f>MIN(N(Crédits!$E$5),B70+C70)</f>
        <v>0</v>
      </c>
      <c r="E70" s="83">
        <f t="shared" si="0"/>
        <v>0</v>
      </c>
      <c r="F70" s="86">
        <f>IF(Crédits!$K$5="",0,MAX(0,MIN(E70,Plan!$L$72-(IF(Crédits!$K$6="",0,IF(Crédits!$K$6&lt;Crédits!$K$5,M70,0))+IF(Crédits!$K$7="",0,IF(Crédits!$K$7&lt;Crédits!$K$5,U70,0))+IF(Crédits!$K$8="",0,IF(Crédits!$K$8&lt;Crédits!$K$5,AC70,0))+IF(Crédits!$K$9="",0,IF(Crédits!$K$9&lt;Crédits!$K$5,AK70,0))+IF(Crédits!$K$10="",0,IF(Crédits!$K$10&lt;Crédits!$K$5,AS70,0))))))</f>
        <v>0</v>
      </c>
      <c r="G70" s="87">
        <f t="shared" si="1"/>
        <v>0</v>
      </c>
      <c r="H70" s="88">
        <f>ROUND(H69+I70-MIN(N(Crédits!$E$5),H69+I70),2)</f>
        <v>0</v>
      </c>
      <c r="I70" s="89">
        <f>H69*N(Crédits!$D$5)/12</f>
        <v>0</v>
      </c>
      <c r="J70" s="90">
        <f t="shared" si="17"/>
        <v>0</v>
      </c>
      <c r="K70" s="90">
        <f>J70*N(Crédits!$D$6)/12</f>
        <v>0</v>
      </c>
      <c r="L70" s="90">
        <f>MIN(N(Crédits!$E$6),J70+K70)</f>
        <v>0</v>
      </c>
      <c r="M70" s="90">
        <f t="shared" si="2"/>
        <v>0</v>
      </c>
      <c r="N70" s="91">
        <f>IF(Crédits!$K$6="",0,MAX(0,MIN(M70,Plan!$L$72-(IF(Crédits!$K$5="",0,IF(Crédits!$K$5&lt;Crédits!$K$6,E70,0))+IF(Crédits!$K$7="",0,IF(Crédits!$K$7&lt;Crédits!$K$6,U70,0))+IF(Crédits!$K$8="",0,IF(Crédits!$K$8&lt;Crédits!$K$6,AC70,0))+IF(Crédits!$K$9="",0,IF(Crédits!$K$9&lt;Crédits!$K$6,AK70,0))+IF(Crédits!$K$10="",0,IF(Crédits!$K$10&lt;Crédits!$K$6,AS70,0))))))</f>
        <v>0</v>
      </c>
      <c r="O70" s="92">
        <f t="shared" si="3"/>
        <v>0</v>
      </c>
      <c r="P70" s="88">
        <f>ROUND(P69+Q70-MIN(N(Crédits!$E$6),P69+Q70),2)</f>
        <v>0</v>
      </c>
      <c r="Q70" s="89">
        <f>P69*N(Crédits!$D$6)/12</f>
        <v>0</v>
      </c>
      <c r="R70" s="93">
        <f t="shared" si="18"/>
        <v>0</v>
      </c>
      <c r="S70" s="93">
        <f>R70*N(Crédits!$D$7)/12</f>
        <v>0</v>
      </c>
      <c r="T70" s="93">
        <f>MIN(N(Crédits!$E$7),R70+S70)</f>
        <v>0</v>
      </c>
      <c r="U70" s="93">
        <f t="shared" si="4"/>
        <v>0</v>
      </c>
      <c r="V70" s="94">
        <f>IF(Crédits!$K$7="",0,MAX(0,MIN(U70,Plan!$L$72-(IF(Crédits!$K$5="",0,IF(Crédits!$K$5&lt;Crédits!$K$7,E70,0))+IF(Crédits!$K$6="",0,IF(Crédits!$K$6&lt;Crédits!$K$7,M70,0))+IF(Crédits!$K$8="",0,IF(Crédits!$K$8&lt;Crédits!$K$7,AC70,0))+IF(Crédits!$K$9="",0,IF(Crédits!$K$9&lt;Crédits!$K$7,AK70,0))+IF(Crédits!$K$10="",0,IF(Crédits!$K$10&lt;Crédits!$K$7,AS70,0))))))</f>
        <v>0</v>
      </c>
      <c r="W70" s="95">
        <f t="shared" si="5"/>
        <v>0</v>
      </c>
      <c r="X70" s="88">
        <f>ROUND(X69+Y70-MIN(N(Crédits!$E$7),X69+Y70),2)</f>
        <v>0</v>
      </c>
      <c r="Y70" s="89">
        <f>X69*N(Crédits!$D$7)/12</f>
        <v>0</v>
      </c>
      <c r="Z70" s="96">
        <f t="shared" si="19"/>
        <v>0</v>
      </c>
      <c r="AA70" s="96">
        <f>Z70*N(Crédits!$D$8)/12</f>
        <v>0</v>
      </c>
      <c r="AB70" s="96">
        <f>MIN(N(Crédits!$E$8),Z70+AA70)</f>
        <v>0</v>
      </c>
      <c r="AC70" s="96">
        <f t="shared" si="6"/>
        <v>0</v>
      </c>
      <c r="AD70" s="97">
        <f>IF(Crédits!$K$8="",0,MAX(0,MIN(AC70,Plan!$L$72-(IF(Crédits!$K$5="",0,IF(Crédits!$K$5&lt;Crédits!$K$8,E70,0))+IF(Crédits!$K$6="",0,IF(Crédits!$K$6&lt;Crédits!$K$8,M70,0))+IF(Crédits!$K$7="",0,IF(Crédits!$K$7&lt;Crédits!$K$8,U70,0))+IF(Crédits!$K$9="",0,IF(Crédits!$K$9&lt;Crédits!$K$8,AK70,0))+IF(Crédits!$K$10="",0,IF(Crédits!$K$10&lt;Crédits!$K$8,AS70,0))))))</f>
        <v>0</v>
      </c>
      <c r="AE70" s="98">
        <f t="shared" si="7"/>
        <v>0</v>
      </c>
      <c r="AF70" s="88">
        <f>ROUND(AF69+AG70-MIN(N(Crédits!$E$8),AF69+AG70),2)</f>
        <v>0</v>
      </c>
      <c r="AG70" s="89">
        <f>AF69*N(Crédits!$D$8)/12</f>
        <v>0</v>
      </c>
      <c r="AH70" s="99">
        <f t="shared" si="20"/>
        <v>0</v>
      </c>
      <c r="AI70" s="99">
        <f>AH70*N(Crédits!$D$9)/12</f>
        <v>0</v>
      </c>
      <c r="AJ70" s="99">
        <f>MIN(N(Crédits!$E$9),AH70+AI70)</f>
        <v>0</v>
      </c>
      <c r="AK70" s="99">
        <f t="shared" si="8"/>
        <v>0</v>
      </c>
      <c r="AL70" s="100">
        <f>IF(Crédits!$K$9="",0,MAX(0,MIN(AK70,Plan!$L$72-(IF(Crédits!$K$5="",0,IF(Crédits!$K$5&lt;Crédits!$K$9,E70,0))+IF(Crédits!$K$6="",0,IF(Crédits!$K$6&lt;Crédits!$K$9,M70,0))+IF(Crédits!$K$7="",0,IF(Crédits!$K$7&lt;Crédits!$K$9,U70,0))+IF(Crédits!$K$8="",0,IF(Crédits!$K$8&lt;Crédits!$K$9,AC70,0))+IF(Crédits!$K$10="",0,IF(Crédits!$K$10&lt;Crédits!$K$9,AS70,0))))))</f>
        <v>0</v>
      </c>
      <c r="AM70" s="101">
        <f t="shared" si="9"/>
        <v>0</v>
      </c>
      <c r="AN70" s="88">
        <f>ROUND(AN69+AO70-MIN(N(Crédits!$E$9),AN69+AO70),2)</f>
        <v>0</v>
      </c>
      <c r="AO70" s="89">
        <f>AN69*N(Crédits!$D$9)/12</f>
        <v>0</v>
      </c>
      <c r="AP70" s="102">
        <f t="shared" si="21"/>
        <v>0</v>
      </c>
      <c r="AQ70" s="102">
        <f>AP70*N(Crédits!$D$10)/12</f>
        <v>0</v>
      </c>
      <c r="AR70" s="102">
        <f>MIN(N(Crédits!$E$10),AP70+AQ70)</f>
        <v>0</v>
      </c>
      <c r="AS70" s="102">
        <f t="shared" si="10"/>
        <v>0</v>
      </c>
      <c r="AT70" s="103">
        <f>IF(Crédits!$K$10="",0,MAX(0,MIN(AS70,Plan!$L$72-(IF(Crédits!$K$5="",0,IF(Crédits!$K$5&lt;Crédits!$K$10,E70,0))+IF(Crédits!$K$6="",0,IF(Crédits!$K$6&lt;Crédits!$K$10,M70,0))+IF(Crédits!$K$7="",0,IF(Crédits!$K$7&lt;Crédits!$K$10,U70,0))+IF(Crédits!$K$8="",0,IF(Crédits!$K$8&lt;Crédits!$K$10,AC70,0))+IF(Crédits!$K$9="",0,IF(Crédits!$K$9&lt;Crédits!$K$10,AK70,0))))))</f>
        <v>0</v>
      </c>
      <c r="AU70" s="104">
        <f t="shared" si="11"/>
        <v>0</v>
      </c>
      <c r="AV70" s="88">
        <f>ROUND(AV69+AW70-MIN(N(Crédits!$E$10),AV69+AW70),2)</f>
        <v>0</v>
      </c>
      <c r="AW70" s="89">
        <f>AV69*N(Crédits!$D$10)/12</f>
        <v>0</v>
      </c>
      <c r="AX70" s="105">
        <f t="shared" si="12"/>
        <v>0</v>
      </c>
      <c r="AY70" s="105">
        <f t="shared" ref="AY70:AZ70" si="88">F70+N70+V70+AD70+AL70+AT70</f>
        <v>0</v>
      </c>
      <c r="AZ70" s="105">
        <f t="shared" si="88"/>
        <v>0</v>
      </c>
      <c r="BA70" s="105">
        <f t="shared" si="14"/>
        <v>0</v>
      </c>
      <c r="BB70" s="105">
        <f t="shared" si="15"/>
        <v>0</v>
      </c>
    </row>
    <row r="71" spans="1:54" ht="15" customHeight="1" x14ac:dyDescent="0.25">
      <c r="A71" s="2">
        <v>69</v>
      </c>
      <c r="B71" s="83">
        <f t="shared" si="16"/>
        <v>0</v>
      </c>
      <c r="C71" s="83">
        <f>B71*N(Crédits!$D$5)/12</f>
        <v>0</v>
      </c>
      <c r="D71" s="83">
        <f>MIN(N(Crédits!$E$5),B71+C71)</f>
        <v>0</v>
      </c>
      <c r="E71" s="83">
        <f t="shared" si="0"/>
        <v>0</v>
      </c>
      <c r="F71" s="86">
        <f>IF(Crédits!$K$5="",0,MAX(0,MIN(E71,Plan!$L$73-(IF(Crédits!$K$6="",0,IF(Crédits!$K$6&lt;Crédits!$K$5,M71,0))+IF(Crédits!$K$7="",0,IF(Crédits!$K$7&lt;Crédits!$K$5,U71,0))+IF(Crédits!$K$8="",0,IF(Crédits!$K$8&lt;Crédits!$K$5,AC71,0))+IF(Crédits!$K$9="",0,IF(Crédits!$K$9&lt;Crédits!$K$5,AK71,0))+IF(Crédits!$K$10="",0,IF(Crédits!$K$10&lt;Crédits!$K$5,AS71,0))))))</f>
        <v>0</v>
      </c>
      <c r="G71" s="87">
        <f t="shared" si="1"/>
        <v>0</v>
      </c>
      <c r="H71" s="88">
        <f>ROUND(H70+I71-MIN(N(Crédits!$E$5),H70+I71),2)</f>
        <v>0</v>
      </c>
      <c r="I71" s="89">
        <f>H70*N(Crédits!$D$5)/12</f>
        <v>0</v>
      </c>
      <c r="J71" s="90">
        <f t="shared" si="17"/>
        <v>0</v>
      </c>
      <c r="K71" s="90">
        <f>J71*N(Crédits!$D$6)/12</f>
        <v>0</v>
      </c>
      <c r="L71" s="90">
        <f>MIN(N(Crédits!$E$6),J71+K71)</f>
        <v>0</v>
      </c>
      <c r="M71" s="90">
        <f t="shared" si="2"/>
        <v>0</v>
      </c>
      <c r="N71" s="91">
        <f>IF(Crédits!$K$6="",0,MAX(0,MIN(M71,Plan!$L$73-(IF(Crédits!$K$5="",0,IF(Crédits!$K$5&lt;Crédits!$K$6,E71,0))+IF(Crédits!$K$7="",0,IF(Crédits!$K$7&lt;Crédits!$K$6,U71,0))+IF(Crédits!$K$8="",0,IF(Crédits!$K$8&lt;Crédits!$K$6,AC71,0))+IF(Crédits!$K$9="",0,IF(Crédits!$K$9&lt;Crédits!$K$6,AK71,0))+IF(Crédits!$K$10="",0,IF(Crédits!$K$10&lt;Crédits!$K$6,AS71,0))))))</f>
        <v>0</v>
      </c>
      <c r="O71" s="92">
        <f t="shared" si="3"/>
        <v>0</v>
      </c>
      <c r="P71" s="88">
        <f>ROUND(P70+Q71-MIN(N(Crédits!$E$6),P70+Q71),2)</f>
        <v>0</v>
      </c>
      <c r="Q71" s="89">
        <f>P70*N(Crédits!$D$6)/12</f>
        <v>0</v>
      </c>
      <c r="R71" s="93">
        <f t="shared" si="18"/>
        <v>0</v>
      </c>
      <c r="S71" s="93">
        <f>R71*N(Crédits!$D$7)/12</f>
        <v>0</v>
      </c>
      <c r="T71" s="93">
        <f>MIN(N(Crédits!$E$7),R71+S71)</f>
        <v>0</v>
      </c>
      <c r="U71" s="93">
        <f t="shared" si="4"/>
        <v>0</v>
      </c>
      <c r="V71" s="94">
        <f>IF(Crédits!$K$7="",0,MAX(0,MIN(U71,Plan!$L$73-(IF(Crédits!$K$5="",0,IF(Crédits!$K$5&lt;Crédits!$K$7,E71,0))+IF(Crédits!$K$6="",0,IF(Crédits!$K$6&lt;Crédits!$K$7,M71,0))+IF(Crédits!$K$8="",0,IF(Crédits!$K$8&lt;Crédits!$K$7,AC71,0))+IF(Crédits!$K$9="",0,IF(Crédits!$K$9&lt;Crédits!$K$7,AK71,0))+IF(Crédits!$K$10="",0,IF(Crédits!$K$10&lt;Crédits!$K$7,AS71,0))))))</f>
        <v>0</v>
      </c>
      <c r="W71" s="95">
        <f t="shared" si="5"/>
        <v>0</v>
      </c>
      <c r="X71" s="88">
        <f>ROUND(X70+Y71-MIN(N(Crédits!$E$7),X70+Y71),2)</f>
        <v>0</v>
      </c>
      <c r="Y71" s="89">
        <f>X70*N(Crédits!$D$7)/12</f>
        <v>0</v>
      </c>
      <c r="Z71" s="96">
        <f t="shared" si="19"/>
        <v>0</v>
      </c>
      <c r="AA71" s="96">
        <f>Z71*N(Crédits!$D$8)/12</f>
        <v>0</v>
      </c>
      <c r="AB71" s="96">
        <f>MIN(N(Crédits!$E$8),Z71+AA71)</f>
        <v>0</v>
      </c>
      <c r="AC71" s="96">
        <f t="shared" si="6"/>
        <v>0</v>
      </c>
      <c r="AD71" s="97">
        <f>IF(Crédits!$K$8="",0,MAX(0,MIN(AC71,Plan!$L$73-(IF(Crédits!$K$5="",0,IF(Crédits!$K$5&lt;Crédits!$K$8,E71,0))+IF(Crédits!$K$6="",0,IF(Crédits!$K$6&lt;Crédits!$K$8,M71,0))+IF(Crédits!$K$7="",0,IF(Crédits!$K$7&lt;Crédits!$K$8,U71,0))+IF(Crédits!$K$9="",0,IF(Crédits!$K$9&lt;Crédits!$K$8,AK71,0))+IF(Crédits!$K$10="",0,IF(Crédits!$K$10&lt;Crédits!$K$8,AS71,0))))))</f>
        <v>0</v>
      </c>
      <c r="AE71" s="98">
        <f t="shared" si="7"/>
        <v>0</v>
      </c>
      <c r="AF71" s="88">
        <f>ROUND(AF70+AG71-MIN(N(Crédits!$E$8),AF70+AG71),2)</f>
        <v>0</v>
      </c>
      <c r="AG71" s="89">
        <f>AF70*N(Crédits!$D$8)/12</f>
        <v>0</v>
      </c>
      <c r="AH71" s="99">
        <f t="shared" si="20"/>
        <v>0</v>
      </c>
      <c r="AI71" s="99">
        <f>AH71*N(Crédits!$D$9)/12</f>
        <v>0</v>
      </c>
      <c r="AJ71" s="99">
        <f>MIN(N(Crédits!$E$9),AH71+AI71)</f>
        <v>0</v>
      </c>
      <c r="AK71" s="99">
        <f t="shared" si="8"/>
        <v>0</v>
      </c>
      <c r="AL71" s="100">
        <f>IF(Crédits!$K$9="",0,MAX(0,MIN(AK71,Plan!$L$73-(IF(Crédits!$K$5="",0,IF(Crédits!$K$5&lt;Crédits!$K$9,E71,0))+IF(Crédits!$K$6="",0,IF(Crédits!$K$6&lt;Crédits!$K$9,M71,0))+IF(Crédits!$K$7="",0,IF(Crédits!$K$7&lt;Crédits!$K$9,U71,0))+IF(Crédits!$K$8="",0,IF(Crédits!$K$8&lt;Crédits!$K$9,AC71,0))+IF(Crédits!$K$10="",0,IF(Crédits!$K$10&lt;Crédits!$K$9,AS71,0))))))</f>
        <v>0</v>
      </c>
      <c r="AM71" s="101">
        <f t="shared" si="9"/>
        <v>0</v>
      </c>
      <c r="AN71" s="88">
        <f>ROUND(AN70+AO71-MIN(N(Crédits!$E$9),AN70+AO71),2)</f>
        <v>0</v>
      </c>
      <c r="AO71" s="89">
        <f>AN70*N(Crédits!$D$9)/12</f>
        <v>0</v>
      </c>
      <c r="AP71" s="102">
        <f t="shared" si="21"/>
        <v>0</v>
      </c>
      <c r="AQ71" s="102">
        <f>AP71*N(Crédits!$D$10)/12</f>
        <v>0</v>
      </c>
      <c r="AR71" s="102">
        <f>MIN(N(Crédits!$E$10),AP71+AQ71)</f>
        <v>0</v>
      </c>
      <c r="AS71" s="102">
        <f t="shared" si="10"/>
        <v>0</v>
      </c>
      <c r="AT71" s="103">
        <f>IF(Crédits!$K$10="",0,MAX(0,MIN(AS71,Plan!$L$73-(IF(Crédits!$K$5="",0,IF(Crédits!$K$5&lt;Crédits!$K$10,E71,0))+IF(Crédits!$K$6="",0,IF(Crédits!$K$6&lt;Crédits!$K$10,M71,0))+IF(Crédits!$K$7="",0,IF(Crédits!$K$7&lt;Crédits!$K$10,U71,0))+IF(Crédits!$K$8="",0,IF(Crédits!$K$8&lt;Crédits!$K$10,AC71,0))+IF(Crédits!$K$9="",0,IF(Crédits!$K$9&lt;Crédits!$K$10,AK71,0))))))</f>
        <v>0</v>
      </c>
      <c r="AU71" s="104">
        <f t="shared" si="11"/>
        <v>0</v>
      </c>
      <c r="AV71" s="88">
        <f>ROUND(AV70+AW71-MIN(N(Crédits!$E$10),AV70+AW71),2)</f>
        <v>0</v>
      </c>
      <c r="AW71" s="89">
        <f>AV70*N(Crédits!$D$10)/12</f>
        <v>0</v>
      </c>
      <c r="AX71" s="105">
        <f t="shared" si="12"/>
        <v>0</v>
      </c>
      <c r="AY71" s="105">
        <f t="shared" ref="AY71:AZ71" si="89">F71+N71+V71+AD71+AL71+AT71</f>
        <v>0</v>
      </c>
      <c r="AZ71" s="105">
        <f t="shared" si="89"/>
        <v>0</v>
      </c>
      <c r="BA71" s="105">
        <f t="shared" si="14"/>
        <v>0</v>
      </c>
      <c r="BB71" s="105">
        <f t="shared" si="15"/>
        <v>0</v>
      </c>
    </row>
    <row r="72" spans="1:54" ht="15" customHeight="1" x14ac:dyDescent="0.25">
      <c r="A72" s="2">
        <v>70</v>
      </c>
      <c r="B72" s="83">
        <f t="shared" si="16"/>
        <v>0</v>
      </c>
      <c r="C72" s="83">
        <f>B72*N(Crédits!$D$5)/12</f>
        <v>0</v>
      </c>
      <c r="D72" s="83">
        <f>MIN(N(Crédits!$E$5),B72+C72)</f>
        <v>0</v>
      </c>
      <c r="E72" s="83">
        <f t="shared" si="0"/>
        <v>0</v>
      </c>
      <c r="F72" s="86">
        <f>IF(Crédits!$K$5="",0,MAX(0,MIN(E72,Plan!$L$74-(IF(Crédits!$K$6="",0,IF(Crédits!$K$6&lt;Crédits!$K$5,M72,0))+IF(Crédits!$K$7="",0,IF(Crédits!$K$7&lt;Crédits!$K$5,U72,0))+IF(Crédits!$K$8="",0,IF(Crédits!$K$8&lt;Crédits!$K$5,AC72,0))+IF(Crédits!$K$9="",0,IF(Crédits!$K$9&lt;Crédits!$K$5,AK72,0))+IF(Crédits!$K$10="",0,IF(Crédits!$K$10&lt;Crédits!$K$5,AS72,0))))))</f>
        <v>0</v>
      </c>
      <c r="G72" s="87">
        <f t="shared" si="1"/>
        <v>0</v>
      </c>
      <c r="H72" s="88">
        <f>ROUND(H71+I72-MIN(N(Crédits!$E$5),H71+I72),2)</f>
        <v>0</v>
      </c>
      <c r="I72" s="89">
        <f>H71*N(Crédits!$D$5)/12</f>
        <v>0</v>
      </c>
      <c r="J72" s="90">
        <f t="shared" si="17"/>
        <v>0</v>
      </c>
      <c r="K72" s="90">
        <f>J72*N(Crédits!$D$6)/12</f>
        <v>0</v>
      </c>
      <c r="L72" s="90">
        <f>MIN(N(Crédits!$E$6),J72+K72)</f>
        <v>0</v>
      </c>
      <c r="M72" s="90">
        <f t="shared" si="2"/>
        <v>0</v>
      </c>
      <c r="N72" s="91">
        <f>IF(Crédits!$K$6="",0,MAX(0,MIN(M72,Plan!$L$74-(IF(Crédits!$K$5="",0,IF(Crédits!$K$5&lt;Crédits!$K$6,E72,0))+IF(Crédits!$K$7="",0,IF(Crédits!$K$7&lt;Crédits!$K$6,U72,0))+IF(Crédits!$K$8="",0,IF(Crédits!$K$8&lt;Crédits!$K$6,AC72,0))+IF(Crédits!$K$9="",0,IF(Crédits!$K$9&lt;Crédits!$K$6,AK72,0))+IF(Crédits!$K$10="",0,IF(Crédits!$K$10&lt;Crédits!$K$6,AS72,0))))))</f>
        <v>0</v>
      </c>
      <c r="O72" s="92">
        <f t="shared" si="3"/>
        <v>0</v>
      </c>
      <c r="P72" s="88">
        <f>ROUND(P71+Q72-MIN(N(Crédits!$E$6),P71+Q72),2)</f>
        <v>0</v>
      </c>
      <c r="Q72" s="89">
        <f>P71*N(Crédits!$D$6)/12</f>
        <v>0</v>
      </c>
      <c r="R72" s="93">
        <f t="shared" si="18"/>
        <v>0</v>
      </c>
      <c r="S72" s="93">
        <f>R72*N(Crédits!$D$7)/12</f>
        <v>0</v>
      </c>
      <c r="T72" s="93">
        <f>MIN(N(Crédits!$E$7),R72+S72)</f>
        <v>0</v>
      </c>
      <c r="U72" s="93">
        <f t="shared" si="4"/>
        <v>0</v>
      </c>
      <c r="V72" s="94">
        <f>IF(Crédits!$K$7="",0,MAX(0,MIN(U72,Plan!$L$74-(IF(Crédits!$K$5="",0,IF(Crédits!$K$5&lt;Crédits!$K$7,E72,0))+IF(Crédits!$K$6="",0,IF(Crédits!$K$6&lt;Crédits!$K$7,M72,0))+IF(Crédits!$K$8="",0,IF(Crédits!$K$8&lt;Crédits!$K$7,AC72,0))+IF(Crédits!$K$9="",0,IF(Crédits!$K$9&lt;Crédits!$K$7,AK72,0))+IF(Crédits!$K$10="",0,IF(Crédits!$K$10&lt;Crédits!$K$7,AS72,0))))))</f>
        <v>0</v>
      </c>
      <c r="W72" s="95">
        <f t="shared" si="5"/>
        <v>0</v>
      </c>
      <c r="X72" s="88">
        <f>ROUND(X71+Y72-MIN(N(Crédits!$E$7),X71+Y72),2)</f>
        <v>0</v>
      </c>
      <c r="Y72" s="89">
        <f>X71*N(Crédits!$D$7)/12</f>
        <v>0</v>
      </c>
      <c r="Z72" s="96">
        <f t="shared" si="19"/>
        <v>0</v>
      </c>
      <c r="AA72" s="96">
        <f>Z72*N(Crédits!$D$8)/12</f>
        <v>0</v>
      </c>
      <c r="AB72" s="96">
        <f>MIN(N(Crédits!$E$8),Z72+AA72)</f>
        <v>0</v>
      </c>
      <c r="AC72" s="96">
        <f t="shared" si="6"/>
        <v>0</v>
      </c>
      <c r="AD72" s="97">
        <f>IF(Crédits!$K$8="",0,MAX(0,MIN(AC72,Plan!$L$74-(IF(Crédits!$K$5="",0,IF(Crédits!$K$5&lt;Crédits!$K$8,E72,0))+IF(Crédits!$K$6="",0,IF(Crédits!$K$6&lt;Crédits!$K$8,M72,0))+IF(Crédits!$K$7="",0,IF(Crédits!$K$7&lt;Crédits!$K$8,U72,0))+IF(Crédits!$K$9="",0,IF(Crédits!$K$9&lt;Crédits!$K$8,AK72,0))+IF(Crédits!$K$10="",0,IF(Crédits!$K$10&lt;Crédits!$K$8,AS72,0))))))</f>
        <v>0</v>
      </c>
      <c r="AE72" s="98">
        <f t="shared" si="7"/>
        <v>0</v>
      </c>
      <c r="AF72" s="88">
        <f>ROUND(AF71+AG72-MIN(N(Crédits!$E$8),AF71+AG72),2)</f>
        <v>0</v>
      </c>
      <c r="AG72" s="89">
        <f>AF71*N(Crédits!$D$8)/12</f>
        <v>0</v>
      </c>
      <c r="AH72" s="99">
        <f t="shared" si="20"/>
        <v>0</v>
      </c>
      <c r="AI72" s="99">
        <f>AH72*N(Crédits!$D$9)/12</f>
        <v>0</v>
      </c>
      <c r="AJ72" s="99">
        <f>MIN(N(Crédits!$E$9),AH72+AI72)</f>
        <v>0</v>
      </c>
      <c r="AK72" s="99">
        <f t="shared" si="8"/>
        <v>0</v>
      </c>
      <c r="AL72" s="100">
        <f>IF(Crédits!$K$9="",0,MAX(0,MIN(AK72,Plan!$L$74-(IF(Crédits!$K$5="",0,IF(Crédits!$K$5&lt;Crédits!$K$9,E72,0))+IF(Crédits!$K$6="",0,IF(Crédits!$K$6&lt;Crédits!$K$9,M72,0))+IF(Crédits!$K$7="",0,IF(Crédits!$K$7&lt;Crédits!$K$9,U72,0))+IF(Crédits!$K$8="",0,IF(Crédits!$K$8&lt;Crédits!$K$9,AC72,0))+IF(Crédits!$K$10="",0,IF(Crédits!$K$10&lt;Crédits!$K$9,AS72,0))))))</f>
        <v>0</v>
      </c>
      <c r="AM72" s="101">
        <f t="shared" si="9"/>
        <v>0</v>
      </c>
      <c r="AN72" s="88">
        <f>ROUND(AN71+AO72-MIN(N(Crédits!$E$9),AN71+AO72),2)</f>
        <v>0</v>
      </c>
      <c r="AO72" s="89">
        <f>AN71*N(Crédits!$D$9)/12</f>
        <v>0</v>
      </c>
      <c r="AP72" s="102">
        <f t="shared" si="21"/>
        <v>0</v>
      </c>
      <c r="AQ72" s="102">
        <f>AP72*N(Crédits!$D$10)/12</f>
        <v>0</v>
      </c>
      <c r="AR72" s="102">
        <f>MIN(N(Crédits!$E$10),AP72+AQ72)</f>
        <v>0</v>
      </c>
      <c r="AS72" s="102">
        <f t="shared" si="10"/>
        <v>0</v>
      </c>
      <c r="AT72" s="103">
        <f>IF(Crédits!$K$10="",0,MAX(0,MIN(AS72,Plan!$L$74-(IF(Crédits!$K$5="",0,IF(Crédits!$K$5&lt;Crédits!$K$10,E72,0))+IF(Crédits!$K$6="",0,IF(Crédits!$K$6&lt;Crédits!$K$10,M72,0))+IF(Crédits!$K$7="",0,IF(Crédits!$K$7&lt;Crédits!$K$10,U72,0))+IF(Crédits!$K$8="",0,IF(Crédits!$K$8&lt;Crédits!$K$10,AC72,0))+IF(Crédits!$K$9="",0,IF(Crédits!$K$9&lt;Crédits!$K$10,AK72,0))))))</f>
        <v>0</v>
      </c>
      <c r="AU72" s="104">
        <f t="shared" si="11"/>
        <v>0</v>
      </c>
      <c r="AV72" s="88">
        <f>ROUND(AV71+AW72-MIN(N(Crédits!$E$10),AV71+AW72),2)</f>
        <v>0</v>
      </c>
      <c r="AW72" s="89">
        <f>AV71*N(Crédits!$D$10)/12</f>
        <v>0</v>
      </c>
      <c r="AX72" s="105">
        <f t="shared" si="12"/>
        <v>0</v>
      </c>
      <c r="AY72" s="105">
        <f t="shared" ref="AY72:AZ72" si="90">F72+N72+V72+AD72+AL72+AT72</f>
        <v>0</v>
      </c>
      <c r="AZ72" s="105">
        <f t="shared" si="90"/>
        <v>0</v>
      </c>
      <c r="BA72" s="105">
        <f t="shared" si="14"/>
        <v>0</v>
      </c>
      <c r="BB72" s="105">
        <f t="shared" si="15"/>
        <v>0</v>
      </c>
    </row>
    <row r="73" spans="1:54" ht="15" customHeight="1" x14ac:dyDescent="0.25">
      <c r="A73" s="2">
        <v>71</v>
      </c>
      <c r="B73" s="83">
        <f t="shared" si="16"/>
        <v>0</v>
      </c>
      <c r="C73" s="83">
        <f>B73*N(Crédits!$D$5)/12</f>
        <v>0</v>
      </c>
      <c r="D73" s="83">
        <f>MIN(N(Crédits!$E$5),B73+C73)</f>
        <v>0</v>
      </c>
      <c r="E73" s="83">
        <f t="shared" si="0"/>
        <v>0</v>
      </c>
      <c r="F73" s="86">
        <f>IF(Crédits!$K$5="",0,MAX(0,MIN(E73,Plan!$L$75-(IF(Crédits!$K$6="",0,IF(Crédits!$K$6&lt;Crédits!$K$5,M73,0))+IF(Crédits!$K$7="",0,IF(Crédits!$K$7&lt;Crédits!$K$5,U73,0))+IF(Crédits!$K$8="",0,IF(Crédits!$K$8&lt;Crédits!$K$5,AC73,0))+IF(Crédits!$K$9="",0,IF(Crédits!$K$9&lt;Crédits!$K$5,AK73,0))+IF(Crédits!$K$10="",0,IF(Crédits!$K$10&lt;Crédits!$K$5,AS73,0))))))</f>
        <v>0</v>
      </c>
      <c r="G73" s="87">
        <f t="shared" si="1"/>
        <v>0</v>
      </c>
      <c r="H73" s="88">
        <f>ROUND(H72+I73-MIN(N(Crédits!$E$5),H72+I73),2)</f>
        <v>0</v>
      </c>
      <c r="I73" s="89">
        <f>H72*N(Crédits!$D$5)/12</f>
        <v>0</v>
      </c>
      <c r="J73" s="90">
        <f t="shared" si="17"/>
        <v>0</v>
      </c>
      <c r="K73" s="90">
        <f>J73*N(Crédits!$D$6)/12</f>
        <v>0</v>
      </c>
      <c r="L73" s="90">
        <f>MIN(N(Crédits!$E$6),J73+K73)</f>
        <v>0</v>
      </c>
      <c r="M73" s="90">
        <f t="shared" si="2"/>
        <v>0</v>
      </c>
      <c r="N73" s="91">
        <f>IF(Crédits!$K$6="",0,MAX(0,MIN(M73,Plan!$L$75-(IF(Crédits!$K$5="",0,IF(Crédits!$K$5&lt;Crédits!$K$6,E73,0))+IF(Crédits!$K$7="",0,IF(Crédits!$K$7&lt;Crédits!$K$6,U73,0))+IF(Crédits!$K$8="",0,IF(Crédits!$K$8&lt;Crédits!$K$6,AC73,0))+IF(Crédits!$K$9="",0,IF(Crédits!$K$9&lt;Crédits!$K$6,AK73,0))+IF(Crédits!$K$10="",0,IF(Crédits!$K$10&lt;Crédits!$K$6,AS73,0))))))</f>
        <v>0</v>
      </c>
      <c r="O73" s="92">
        <f t="shared" si="3"/>
        <v>0</v>
      </c>
      <c r="P73" s="88">
        <f>ROUND(P72+Q73-MIN(N(Crédits!$E$6),P72+Q73),2)</f>
        <v>0</v>
      </c>
      <c r="Q73" s="89">
        <f>P72*N(Crédits!$D$6)/12</f>
        <v>0</v>
      </c>
      <c r="R73" s="93">
        <f t="shared" si="18"/>
        <v>0</v>
      </c>
      <c r="S73" s="93">
        <f>R73*N(Crédits!$D$7)/12</f>
        <v>0</v>
      </c>
      <c r="T73" s="93">
        <f>MIN(N(Crédits!$E$7),R73+S73)</f>
        <v>0</v>
      </c>
      <c r="U73" s="93">
        <f t="shared" si="4"/>
        <v>0</v>
      </c>
      <c r="V73" s="94">
        <f>IF(Crédits!$K$7="",0,MAX(0,MIN(U73,Plan!$L$75-(IF(Crédits!$K$5="",0,IF(Crédits!$K$5&lt;Crédits!$K$7,E73,0))+IF(Crédits!$K$6="",0,IF(Crédits!$K$6&lt;Crédits!$K$7,M73,0))+IF(Crédits!$K$8="",0,IF(Crédits!$K$8&lt;Crédits!$K$7,AC73,0))+IF(Crédits!$K$9="",0,IF(Crédits!$K$9&lt;Crédits!$K$7,AK73,0))+IF(Crédits!$K$10="",0,IF(Crédits!$K$10&lt;Crédits!$K$7,AS73,0))))))</f>
        <v>0</v>
      </c>
      <c r="W73" s="95">
        <f t="shared" si="5"/>
        <v>0</v>
      </c>
      <c r="X73" s="88">
        <f>ROUND(X72+Y73-MIN(N(Crédits!$E$7),X72+Y73),2)</f>
        <v>0</v>
      </c>
      <c r="Y73" s="89">
        <f>X72*N(Crédits!$D$7)/12</f>
        <v>0</v>
      </c>
      <c r="Z73" s="96">
        <f t="shared" si="19"/>
        <v>0</v>
      </c>
      <c r="AA73" s="96">
        <f>Z73*N(Crédits!$D$8)/12</f>
        <v>0</v>
      </c>
      <c r="AB73" s="96">
        <f>MIN(N(Crédits!$E$8),Z73+AA73)</f>
        <v>0</v>
      </c>
      <c r="AC73" s="96">
        <f t="shared" si="6"/>
        <v>0</v>
      </c>
      <c r="AD73" s="97">
        <f>IF(Crédits!$K$8="",0,MAX(0,MIN(AC73,Plan!$L$75-(IF(Crédits!$K$5="",0,IF(Crédits!$K$5&lt;Crédits!$K$8,E73,0))+IF(Crédits!$K$6="",0,IF(Crédits!$K$6&lt;Crédits!$K$8,M73,0))+IF(Crédits!$K$7="",0,IF(Crédits!$K$7&lt;Crédits!$K$8,U73,0))+IF(Crédits!$K$9="",0,IF(Crédits!$K$9&lt;Crédits!$K$8,AK73,0))+IF(Crédits!$K$10="",0,IF(Crédits!$K$10&lt;Crédits!$K$8,AS73,0))))))</f>
        <v>0</v>
      </c>
      <c r="AE73" s="98">
        <f t="shared" si="7"/>
        <v>0</v>
      </c>
      <c r="AF73" s="88">
        <f>ROUND(AF72+AG73-MIN(N(Crédits!$E$8),AF72+AG73),2)</f>
        <v>0</v>
      </c>
      <c r="AG73" s="89">
        <f>AF72*N(Crédits!$D$8)/12</f>
        <v>0</v>
      </c>
      <c r="AH73" s="99">
        <f t="shared" si="20"/>
        <v>0</v>
      </c>
      <c r="AI73" s="99">
        <f>AH73*N(Crédits!$D$9)/12</f>
        <v>0</v>
      </c>
      <c r="AJ73" s="99">
        <f>MIN(N(Crédits!$E$9),AH73+AI73)</f>
        <v>0</v>
      </c>
      <c r="AK73" s="99">
        <f t="shared" si="8"/>
        <v>0</v>
      </c>
      <c r="AL73" s="100">
        <f>IF(Crédits!$K$9="",0,MAX(0,MIN(AK73,Plan!$L$75-(IF(Crédits!$K$5="",0,IF(Crédits!$K$5&lt;Crédits!$K$9,E73,0))+IF(Crédits!$K$6="",0,IF(Crédits!$K$6&lt;Crédits!$K$9,M73,0))+IF(Crédits!$K$7="",0,IF(Crédits!$K$7&lt;Crédits!$K$9,U73,0))+IF(Crédits!$K$8="",0,IF(Crédits!$K$8&lt;Crédits!$K$9,AC73,0))+IF(Crédits!$K$10="",0,IF(Crédits!$K$10&lt;Crédits!$K$9,AS73,0))))))</f>
        <v>0</v>
      </c>
      <c r="AM73" s="101">
        <f t="shared" si="9"/>
        <v>0</v>
      </c>
      <c r="AN73" s="88">
        <f>ROUND(AN72+AO73-MIN(N(Crédits!$E$9),AN72+AO73),2)</f>
        <v>0</v>
      </c>
      <c r="AO73" s="89">
        <f>AN72*N(Crédits!$D$9)/12</f>
        <v>0</v>
      </c>
      <c r="AP73" s="102">
        <f t="shared" si="21"/>
        <v>0</v>
      </c>
      <c r="AQ73" s="102">
        <f>AP73*N(Crédits!$D$10)/12</f>
        <v>0</v>
      </c>
      <c r="AR73" s="102">
        <f>MIN(N(Crédits!$E$10),AP73+AQ73)</f>
        <v>0</v>
      </c>
      <c r="AS73" s="102">
        <f t="shared" si="10"/>
        <v>0</v>
      </c>
      <c r="AT73" s="103">
        <f>IF(Crédits!$K$10="",0,MAX(0,MIN(AS73,Plan!$L$75-(IF(Crédits!$K$5="",0,IF(Crédits!$K$5&lt;Crédits!$K$10,E73,0))+IF(Crédits!$K$6="",0,IF(Crédits!$K$6&lt;Crédits!$K$10,M73,0))+IF(Crédits!$K$7="",0,IF(Crédits!$K$7&lt;Crédits!$K$10,U73,0))+IF(Crédits!$K$8="",0,IF(Crédits!$K$8&lt;Crédits!$K$10,AC73,0))+IF(Crédits!$K$9="",0,IF(Crédits!$K$9&lt;Crédits!$K$10,AK73,0))))))</f>
        <v>0</v>
      </c>
      <c r="AU73" s="104">
        <f t="shared" si="11"/>
        <v>0</v>
      </c>
      <c r="AV73" s="88">
        <f>ROUND(AV72+AW73-MIN(N(Crédits!$E$10),AV72+AW73),2)</f>
        <v>0</v>
      </c>
      <c r="AW73" s="89">
        <f>AV72*N(Crédits!$D$10)/12</f>
        <v>0</v>
      </c>
      <c r="AX73" s="105">
        <f t="shared" si="12"/>
        <v>0</v>
      </c>
      <c r="AY73" s="105">
        <f t="shared" ref="AY73:AZ73" si="91">F73+N73+V73+AD73+AL73+AT73</f>
        <v>0</v>
      </c>
      <c r="AZ73" s="105">
        <f t="shared" si="91"/>
        <v>0</v>
      </c>
      <c r="BA73" s="105">
        <f t="shared" si="14"/>
        <v>0</v>
      </c>
      <c r="BB73" s="105">
        <f t="shared" si="15"/>
        <v>0</v>
      </c>
    </row>
    <row r="74" spans="1:54" ht="15" customHeight="1" x14ac:dyDescent="0.25">
      <c r="A74" s="2">
        <v>72</v>
      </c>
      <c r="B74" s="83">
        <f t="shared" si="16"/>
        <v>0</v>
      </c>
      <c r="C74" s="83">
        <f>B74*N(Crédits!$D$5)/12</f>
        <v>0</v>
      </c>
      <c r="D74" s="83">
        <f>MIN(N(Crédits!$E$5),B74+C74)</f>
        <v>0</v>
      </c>
      <c r="E74" s="83">
        <f t="shared" si="0"/>
        <v>0</v>
      </c>
      <c r="F74" s="86">
        <f>IF(Crédits!$K$5="",0,MAX(0,MIN(E74,Plan!$L$76-(IF(Crédits!$K$6="",0,IF(Crédits!$K$6&lt;Crédits!$K$5,M74,0))+IF(Crédits!$K$7="",0,IF(Crédits!$K$7&lt;Crédits!$K$5,U74,0))+IF(Crédits!$K$8="",0,IF(Crédits!$K$8&lt;Crédits!$K$5,AC74,0))+IF(Crédits!$K$9="",0,IF(Crédits!$K$9&lt;Crédits!$K$5,AK74,0))+IF(Crédits!$K$10="",0,IF(Crédits!$K$10&lt;Crédits!$K$5,AS74,0))))))</f>
        <v>0</v>
      </c>
      <c r="G74" s="87">
        <f t="shared" si="1"/>
        <v>0</v>
      </c>
      <c r="H74" s="88">
        <f>ROUND(H73+I74-MIN(N(Crédits!$E$5),H73+I74),2)</f>
        <v>0</v>
      </c>
      <c r="I74" s="89">
        <f>H73*N(Crédits!$D$5)/12</f>
        <v>0</v>
      </c>
      <c r="J74" s="90">
        <f t="shared" si="17"/>
        <v>0</v>
      </c>
      <c r="K74" s="90">
        <f>J74*N(Crédits!$D$6)/12</f>
        <v>0</v>
      </c>
      <c r="L74" s="90">
        <f>MIN(N(Crédits!$E$6),J74+K74)</f>
        <v>0</v>
      </c>
      <c r="M74" s="90">
        <f t="shared" si="2"/>
        <v>0</v>
      </c>
      <c r="N74" s="91">
        <f>IF(Crédits!$K$6="",0,MAX(0,MIN(M74,Plan!$L$76-(IF(Crédits!$K$5="",0,IF(Crédits!$K$5&lt;Crédits!$K$6,E74,0))+IF(Crédits!$K$7="",0,IF(Crédits!$K$7&lt;Crédits!$K$6,U74,0))+IF(Crédits!$K$8="",0,IF(Crédits!$K$8&lt;Crédits!$K$6,AC74,0))+IF(Crédits!$K$9="",0,IF(Crédits!$K$9&lt;Crédits!$K$6,AK74,0))+IF(Crédits!$K$10="",0,IF(Crédits!$K$10&lt;Crédits!$K$6,AS74,0))))))</f>
        <v>0</v>
      </c>
      <c r="O74" s="92">
        <f t="shared" si="3"/>
        <v>0</v>
      </c>
      <c r="P74" s="88">
        <f>ROUND(P73+Q74-MIN(N(Crédits!$E$6),P73+Q74),2)</f>
        <v>0</v>
      </c>
      <c r="Q74" s="89">
        <f>P73*N(Crédits!$D$6)/12</f>
        <v>0</v>
      </c>
      <c r="R74" s="93">
        <f t="shared" si="18"/>
        <v>0</v>
      </c>
      <c r="S74" s="93">
        <f>R74*N(Crédits!$D$7)/12</f>
        <v>0</v>
      </c>
      <c r="T74" s="93">
        <f>MIN(N(Crédits!$E$7),R74+S74)</f>
        <v>0</v>
      </c>
      <c r="U74" s="93">
        <f t="shared" si="4"/>
        <v>0</v>
      </c>
      <c r="V74" s="94">
        <f>IF(Crédits!$K$7="",0,MAX(0,MIN(U74,Plan!$L$76-(IF(Crédits!$K$5="",0,IF(Crédits!$K$5&lt;Crédits!$K$7,E74,0))+IF(Crédits!$K$6="",0,IF(Crédits!$K$6&lt;Crédits!$K$7,M74,0))+IF(Crédits!$K$8="",0,IF(Crédits!$K$8&lt;Crédits!$K$7,AC74,0))+IF(Crédits!$K$9="",0,IF(Crédits!$K$9&lt;Crédits!$K$7,AK74,0))+IF(Crédits!$K$10="",0,IF(Crédits!$K$10&lt;Crédits!$K$7,AS74,0))))))</f>
        <v>0</v>
      </c>
      <c r="W74" s="95">
        <f t="shared" si="5"/>
        <v>0</v>
      </c>
      <c r="X74" s="88">
        <f>ROUND(X73+Y74-MIN(N(Crédits!$E$7),X73+Y74),2)</f>
        <v>0</v>
      </c>
      <c r="Y74" s="89">
        <f>X73*N(Crédits!$D$7)/12</f>
        <v>0</v>
      </c>
      <c r="Z74" s="96">
        <f t="shared" si="19"/>
        <v>0</v>
      </c>
      <c r="AA74" s="96">
        <f>Z74*N(Crédits!$D$8)/12</f>
        <v>0</v>
      </c>
      <c r="AB74" s="96">
        <f>MIN(N(Crédits!$E$8),Z74+AA74)</f>
        <v>0</v>
      </c>
      <c r="AC74" s="96">
        <f t="shared" si="6"/>
        <v>0</v>
      </c>
      <c r="AD74" s="97">
        <f>IF(Crédits!$K$8="",0,MAX(0,MIN(AC74,Plan!$L$76-(IF(Crédits!$K$5="",0,IF(Crédits!$K$5&lt;Crédits!$K$8,E74,0))+IF(Crédits!$K$6="",0,IF(Crédits!$K$6&lt;Crédits!$K$8,M74,0))+IF(Crédits!$K$7="",0,IF(Crédits!$K$7&lt;Crédits!$K$8,U74,0))+IF(Crédits!$K$9="",0,IF(Crédits!$K$9&lt;Crédits!$K$8,AK74,0))+IF(Crédits!$K$10="",0,IF(Crédits!$K$10&lt;Crédits!$K$8,AS74,0))))))</f>
        <v>0</v>
      </c>
      <c r="AE74" s="98">
        <f t="shared" si="7"/>
        <v>0</v>
      </c>
      <c r="AF74" s="88">
        <f>ROUND(AF73+AG74-MIN(N(Crédits!$E$8),AF73+AG74),2)</f>
        <v>0</v>
      </c>
      <c r="AG74" s="89">
        <f>AF73*N(Crédits!$D$8)/12</f>
        <v>0</v>
      </c>
      <c r="AH74" s="99">
        <f t="shared" si="20"/>
        <v>0</v>
      </c>
      <c r="AI74" s="99">
        <f>AH74*N(Crédits!$D$9)/12</f>
        <v>0</v>
      </c>
      <c r="AJ74" s="99">
        <f>MIN(N(Crédits!$E$9),AH74+AI74)</f>
        <v>0</v>
      </c>
      <c r="AK74" s="99">
        <f t="shared" si="8"/>
        <v>0</v>
      </c>
      <c r="AL74" s="100">
        <f>IF(Crédits!$K$9="",0,MAX(0,MIN(AK74,Plan!$L$76-(IF(Crédits!$K$5="",0,IF(Crédits!$K$5&lt;Crédits!$K$9,E74,0))+IF(Crédits!$K$6="",0,IF(Crédits!$K$6&lt;Crédits!$K$9,M74,0))+IF(Crédits!$K$7="",0,IF(Crédits!$K$7&lt;Crédits!$K$9,U74,0))+IF(Crédits!$K$8="",0,IF(Crédits!$K$8&lt;Crédits!$K$9,AC74,0))+IF(Crédits!$K$10="",0,IF(Crédits!$K$10&lt;Crédits!$K$9,AS74,0))))))</f>
        <v>0</v>
      </c>
      <c r="AM74" s="101">
        <f t="shared" si="9"/>
        <v>0</v>
      </c>
      <c r="AN74" s="88">
        <f>ROUND(AN73+AO74-MIN(N(Crédits!$E$9),AN73+AO74),2)</f>
        <v>0</v>
      </c>
      <c r="AO74" s="89">
        <f>AN73*N(Crédits!$D$9)/12</f>
        <v>0</v>
      </c>
      <c r="AP74" s="102">
        <f t="shared" si="21"/>
        <v>0</v>
      </c>
      <c r="AQ74" s="102">
        <f>AP74*N(Crédits!$D$10)/12</f>
        <v>0</v>
      </c>
      <c r="AR74" s="102">
        <f>MIN(N(Crédits!$E$10),AP74+AQ74)</f>
        <v>0</v>
      </c>
      <c r="AS74" s="102">
        <f t="shared" si="10"/>
        <v>0</v>
      </c>
      <c r="AT74" s="103">
        <f>IF(Crédits!$K$10="",0,MAX(0,MIN(AS74,Plan!$L$76-(IF(Crédits!$K$5="",0,IF(Crédits!$K$5&lt;Crédits!$K$10,E74,0))+IF(Crédits!$K$6="",0,IF(Crédits!$K$6&lt;Crédits!$K$10,M74,0))+IF(Crédits!$K$7="",0,IF(Crédits!$K$7&lt;Crédits!$K$10,U74,0))+IF(Crédits!$K$8="",0,IF(Crédits!$K$8&lt;Crédits!$K$10,AC74,0))+IF(Crédits!$K$9="",0,IF(Crédits!$K$9&lt;Crédits!$K$10,AK74,0))))))</f>
        <v>0</v>
      </c>
      <c r="AU74" s="104">
        <f t="shared" si="11"/>
        <v>0</v>
      </c>
      <c r="AV74" s="88">
        <f>ROUND(AV73+AW74-MIN(N(Crédits!$E$10),AV73+AW74),2)</f>
        <v>0</v>
      </c>
      <c r="AW74" s="89">
        <f>AV73*N(Crédits!$D$10)/12</f>
        <v>0</v>
      </c>
      <c r="AX74" s="105">
        <f t="shared" si="12"/>
        <v>0</v>
      </c>
      <c r="AY74" s="105">
        <f t="shared" ref="AY74:AZ74" si="92">F74+N74+V74+AD74+AL74+AT74</f>
        <v>0</v>
      </c>
      <c r="AZ74" s="105">
        <f t="shared" si="92"/>
        <v>0</v>
      </c>
      <c r="BA74" s="105">
        <f t="shared" si="14"/>
        <v>0</v>
      </c>
      <c r="BB74" s="105">
        <f t="shared" si="15"/>
        <v>0</v>
      </c>
    </row>
    <row r="75" spans="1:54" ht="15" customHeight="1" x14ac:dyDescent="0.25">
      <c r="A75" s="2">
        <v>73</v>
      </c>
      <c r="B75" s="83">
        <f t="shared" si="16"/>
        <v>0</v>
      </c>
      <c r="C75" s="83">
        <f>B75*N(Crédits!$D$5)/12</f>
        <v>0</v>
      </c>
      <c r="D75" s="83">
        <f>MIN(N(Crédits!$E$5),B75+C75)</f>
        <v>0</v>
      </c>
      <c r="E75" s="83">
        <f t="shared" si="0"/>
        <v>0</v>
      </c>
      <c r="F75" s="86">
        <f>IF(Crédits!$K$5="",0,MAX(0,MIN(E75,Plan!$L$77-(IF(Crédits!$K$6="",0,IF(Crédits!$K$6&lt;Crédits!$K$5,M75,0))+IF(Crédits!$K$7="",0,IF(Crédits!$K$7&lt;Crédits!$K$5,U75,0))+IF(Crédits!$K$8="",0,IF(Crédits!$K$8&lt;Crédits!$K$5,AC75,0))+IF(Crédits!$K$9="",0,IF(Crédits!$K$9&lt;Crédits!$K$5,AK75,0))+IF(Crédits!$K$10="",0,IF(Crédits!$K$10&lt;Crédits!$K$5,AS75,0))))))</f>
        <v>0</v>
      </c>
      <c r="G75" s="87">
        <f t="shared" si="1"/>
        <v>0</v>
      </c>
      <c r="H75" s="88">
        <f>ROUND(H74+I75-MIN(N(Crédits!$E$5),H74+I75),2)</f>
        <v>0</v>
      </c>
      <c r="I75" s="89">
        <f>H74*N(Crédits!$D$5)/12</f>
        <v>0</v>
      </c>
      <c r="J75" s="90">
        <f t="shared" si="17"/>
        <v>0</v>
      </c>
      <c r="K75" s="90">
        <f>J75*N(Crédits!$D$6)/12</f>
        <v>0</v>
      </c>
      <c r="L75" s="90">
        <f>MIN(N(Crédits!$E$6),J75+K75)</f>
        <v>0</v>
      </c>
      <c r="M75" s="90">
        <f t="shared" si="2"/>
        <v>0</v>
      </c>
      <c r="N75" s="91">
        <f>IF(Crédits!$K$6="",0,MAX(0,MIN(M75,Plan!$L$77-(IF(Crédits!$K$5="",0,IF(Crédits!$K$5&lt;Crédits!$K$6,E75,0))+IF(Crédits!$K$7="",0,IF(Crédits!$K$7&lt;Crédits!$K$6,U75,0))+IF(Crédits!$K$8="",0,IF(Crédits!$K$8&lt;Crédits!$K$6,AC75,0))+IF(Crédits!$K$9="",0,IF(Crédits!$K$9&lt;Crédits!$K$6,AK75,0))+IF(Crédits!$K$10="",0,IF(Crédits!$K$10&lt;Crédits!$K$6,AS75,0))))))</f>
        <v>0</v>
      </c>
      <c r="O75" s="92">
        <f t="shared" si="3"/>
        <v>0</v>
      </c>
      <c r="P75" s="88">
        <f>ROUND(P74+Q75-MIN(N(Crédits!$E$6),P74+Q75),2)</f>
        <v>0</v>
      </c>
      <c r="Q75" s="89">
        <f>P74*N(Crédits!$D$6)/12</f>
        <v>0</v>
      </c>
      <c r="R75" s="93">
        <f t="shared" si="18"/>
        <v>0</v>
      </c>
      <c r="S75" s="93">
        <f>R75*N(Crédits!$D$7)/12</f>
        <v>0</v>
      </c>
      <c r="T75" s="93">
        <f>MIN(N(Crédits!$E$7),R75+S75)</f>
        <v>0</v>
      </c>
      <c r="U75" s="93">
        <f t="shared" si="4"/>
        <v>0</v>
      </c>
      <c r="V75" s="94">
        <f>IF(Crédits!$K$7="",0,MAX(0,MIN(U75,Plan!$L$77-(IF(Crédits!$K$5="",0,IF(Crédits!$K$5&lt;Crédits!$K$7,E75,0))+IF(Crédits!$K$6="",0,IF(Crédits!$K$6&lt;Crédits!$K$7,M75,0))+IF(Crédits!$K$8="",0,IF(Crédits!$K$8&lt;Crédits!$K$7,AC75,0))+IF(Crédits!$K$9="",0,IF(Crédits!$K$9&lt;Crédits!$K$7,AK75,0))+IF(Crédits!$K$10="",0,IF(Crédits!$K$10&lt;Crédits!$K$7,AS75,0))))))</f>
        <v>0</v>
      </c>
      <c r="W75" s="95">
        <f t="shared" si="5"/>
        <v>0</v>
      </c>
      <c r="X75" s="88">
        <f>ROUND(X74+Y75-MIN(N(Crédits!$E$7),X74+Y75),2)</f>
        <v>0</v>
      </c>
      <c r="Y75" s="89">
        <f>X74*N(Crédits!$D$7)/12</f>
        <v>0</v>
      </c>
      <c r="Z75" s="96">
        <f t="shared" si="19"/>
        <v>0</v>
      </c>
      <c r="AA75" s="96">
        <f>Z75*N(Crédits!$D$8)/12</f>
        <v>0</v>
      </c>
      <c r="AB75" s="96">
        <f>MIN(N(Crédits!$E$8),Z75+AA75)</f>
        <v>0</v>
      </c>
      <c r="AC75" s="96">
        <f t="shared" si="6"/>
        <v>0</v>
      </c>
      <c r="AD75" s="97">
        <f>IF(Crédits!$K$8="",0,MAX(0,MIN(AC75,Plan!$L$77-(IF(Crédits!$K$5="",0,IF(Crédits!$K$5&lt;Crédits!$K$8,E75,0))+IF(Crédits!$K$6="",0,IF(Crédits!$K$6&lt;Crédits!$K$8,M75,0))+IF(Crédits!$K$7="",0,IF(Crédits!$K$7&lt;Crédits!$K$8,U75,0))+IF(Crédits!$K$9="",0,IF(Crédits!$K$9&lt;Crédits!$K$8,AK75,0))+IF(Crédits!$K$10="",0,IF(Crédits!$K$10&lt;Crédits!$K$8,AS75,0))))))</f>
        <v>0</v>
      </c>
      <c r="AE75" s="98">
        <f t="shared" si="7"/>
        <v>0</v>
      </c>
      <c r="AF75" s="88">
        <f>ROUND(AF74+AG75-MIN(N(Crédits!$E$8),AF74+AG75),2)</f>
        <v>0</v>
      </c>
      <c r="AG75" s="89">
        <f>AF74*N(Crédits!$D$8)/12</f>
        <v>0</v>
      </c>
      <c r="AH75" s="99">
        <f t="shared" si="20"/>
        <v>0</v>
      </c>
      <c r="AI75" s="99">
        <f>AH75*N(Crédits!$D$9)/12</f>
        <v>0</v>
      </c>
      <c r="AJ75" s="99">
        <f>MIN(N(Crédits!$E$9),AH75+AI75)</f>
        <v>0</v>
      </c>
      <c r="AK75" s="99">
        <f t="shared" si="8"/>
        <v>0</v>
      </c>
      <c r="AL75" s="100">
        <f>IF(Crédits!$K$9="",0,MAX(0,MIN(AK75,Plan!$L$77-(IF(Crédits!$K$5="",0,IF(Crédits!$K$5&lt;Crédits!$K$9,E75,0))+IF(Crédits!$K$6="",0,IF(Crédits!$K$6&lt;Crédits!$K$9,M75,0))+IF(Crédits!$K$7="",0,IF(Crédits!$K$7&lt;Crédits!$K$9,U75,0))+IF(Crédits!$K$8="",0,IF(Crédits!$K$8&lt;Crédits!$K$9,AC75,0))+IF(Crédits!$K$10="",0,IF(Crédits!$K$10&lt;Crédits!$K$9,AS75,0))))))</f>
        <v>0</v>
      </c>
      <c r="AM75" s="101">
        <f t="shared" si="9"/>
        <v>0</v>
      </c>
      <c r="AN75" s="88">
        <f>ROUND(AN74+AO75-MIN(N(Crédits!$E$9),AN74+AO75),2)</f>
        <v>0</v>
      </c>
      <c r="AO75" s="89">
        <f>AN74*N(Crédits!$D$9)/12</f>
        <v>0</v>
      </c>
      <c r="AP75" s="102">
        <f t="shared" si="21"/>
        <v>0</v>
      </c>
      <c r="AQ75" s="102">
        <f>AP75*N(Crédits!$D$10)/12</f>
        <v>0</v>
      </c>
      <c r="AR75" s="102">
        <f>MIN(N(Crédits!$E$10),AP75+AQ75)</f>
        <v>0</v>
      </c>
      <c r="AS75" s="102">
        <f t="shared" si="10"/>
        <v>0</v>
      </c>
      <c r="AT75" s="103">
        <f>IF(Crédits!$K$10="",0,MAX(0,MIN(AS75,Plan!$L$77-(IF(Crédits!$K$5="",0,IF(Crédits!$K$5&lt;Crédits!$K$10,E75,0))+IF(Crédits!$K$6="",0,IF(Crédits!$K$6&lt;Crédits!$K$10,M75,0))+IF(Crédits!$K$7="",0,IF(Crédits!$K$7&lt;Crédits!$K$10,U75,0))+IF(Crédits!$K$8="",0,IF(Crédits!$K$8&lt;Crédits!$K$10,AC75,0))+IF(Crédits!$K$9="",0,IF(Crédits!$K$9&lt;Crédits!$K$10,AK75,0))))))</f>
        <v>0</v>
      </c>
      <c r="AU75" s="104">
        <f t="shared" si="11"/>
        <v>0</v>
      </c>
      <c r="AV75" s="88">
        <f>ROUND(AV74+AW75-MIN(N(Crédits!$E$10),AV74+AW75),2)</f>
        <v>0</v>
      </c>
      <c r="AW75" s="89">
        <f>AV74*N(Crédits!$D$10)/12</f>
        <v>0</v>
      </c>
      <c r="AX75" s="105">
        <f t="shared" si="12"/>
        <v>0</v>
      </c>
      <c r="AY75" s="105">
        <f t="shared" ref="AY75:AZ75" si="93">F75+N75+V75+AD75+AL75+AT75</f>
        <v>0</v>
      </c>
      <c r="AZ75" s="105">
        <f t="shared" si="93"/>
        <v>0</v>
      </c>
      <c r="BA75" s="105">
        <f t="shared" si="14"/>
        <v>0</v>
      </c>
      <c r="BB75" s="105">
        <f t="shared" si="15"/>
        <v>0</v>
      </c>
    </row>
    <row r="76" spans="1:54" ht="15" customHeight="1" x14ac:dyDescent="0.25">
      <c r="A76" s="2">
        <v>74</v>
      </c>
      <c r="B76" s="83">
        <f t="shared" si="16"/>
        <v>0</v>
      </c>
      <c r="C76" s="83">
        <f>B76*N(Crédits!$D$5)/12</f>
        <v>0</v>
      </c>
      <c r="D76" s="83">
        <f>MIN(N(Crédits!$E$5),B76+C76)</f>
        <v>0</v>
      </c>
      <c r="E76" s="83">
        <f t="shared" si="0"/>
        <v>0</v>
      </c>
      <c r="F76" s="86">
        <f>IF(Crédits!$K$5="",0,MAX(0,MIN(E76,Plan!$L$78-(IF(Crédits!$K$6="",0,IF(Crédits!$K$6&lt;Crédits!$K$5,M76,0))+IF(Crédits!$K$7="",0,IF(Crédits!$K$7&lt;Crédits!$K$5,U76,0))+IF(Crédits!$K$8="",0,IF(Crédits!$K$8&lt;Crédits!$K$5,AC76,0))+IF(Crédits!$K$9="",0,IF(Crédits!$K$9&lt;Crédits!$K$5,AK76,0))+IF(Crédits!$K$10="",0,IF(Crédits!$K$10&lt;Crédits!$K$5,AS76,0))))))</f>
        <v>0</v>
      </c>
      <c r="G76" s="87">
        <f t="shared" si="1"/>
        <v>0</v>
      </c>
      <c r="H76" s="88">
        <f>ROUND(H75+I76-MIN(N(Crédits!$E$5),H75+I76),2)</f>
        <v>0</v>
      </c>
      <c r="I76" s="89">
        <f>H75*N(Crédits!$D$5)/12</f>
        <v>0</v>
      </c>
      <c r="J76" s="90">
        <f t="shared" si="17"/>
        <v>0</v>
      </c>
      <c r="K76" s="90">
        <f>J76*N(Crédits!$D$6)/12</f>
        <v>0</v>
      </c>
      <c r="L76" s="90">
        <f>MIN(N(Crédits!$E$6),J76+K76)</f>
        <v>0</v>
      </c>
      <c r="M76" s="90">
        <f t="shared" si="2"/>
        <v>0</v>
      </c>
      <c r="N76" s="91">
        <f>IF(Crédits!$K$6="",0,MAX(0,MIN(M76,Plan!$L$78-(IF(Crédits!$K$5="",0,IF(Crédits!$K$5&lt;Crédits!$K$6,E76,0))+IF(Crédits!$K$7="",0,IF(Crédits!$K$7&lt;Crédits!$K$6,U76,0))+IF(Crédits!$K$8="",0,IF(Crédits!$K$8&lt;Crédits!$K$6,AC76,0))+IF(Crédits!$K$9="",0,IF(Crédits!$K$9&lt;Crédits!$K$6,AK76,0))+IF(Crédits!$K$10="",0,IF(Crédits!$K$10&lt;Crédits!$K$6,AS76,0))))))</f>
        <v>0</v>
      </c>
      <c r="O76" s="92">
        <f t="shared" si="3"/>
        <v>0</v>
      </c>
      <c r="P76" s="88">
        <f>ROUND(P75+Q76-MIN(N(Crédits!$E$6),P75+Q76),2)</f>
        <v>0</v>
      </c>
      <c r="Q76" s="89">
        <f>P75*N(Crédits!$D$6)/12</f>
        <v>0</v>
      </c>
      <c r="R76" s="93">
        <f t="shared" si="18"/>
        <v>0</v>
      </c>
      <c r="S76" s="93">
        <f>R76*N(Crédits!$D$7)/12</f>
        <v>0</v>
      </c>
      <c r="T76" s="93">
        <f>MIN(N(Crédits!$E$7),R76+S76)</f>
        <v>0</v>
      </c>
      <c r="U76" s="93">
        <f t="shared" si="4"/>
        <v>0</v>
      </c>
      <c r="V76" s="94">
        <f>IF(Crédits!$K$7="",0,MAX(0,MIN(U76,Plan!$L$78-(IF(Crédits!$K$5="",0,IF(Crédits!$K$5&lt;Crédits!$K$7,E76,0))+IF(Crédits!$K$6="",0,IF(Crédits!$K$6&lt;Crédits!$K$7,M76,0))+IF(Crédits!$K$8="",0,IF(Crédits!$K$8&lt;Crédits!$K$7,AC76,0))+IF(Crédits!$K$9="",0,IF(Crédits!$K$9&lt;Crédits!$K$7,AK76,0))+IF(Crédits!$K$10="",0,IF(Crédits!$K$10&lt;Crédits!$K$7,AS76,0))))))</f>
        <v>0</v>
      </c>
      <c r="W76" s="95">
        <f t="shared" si="5"/>
        <v>0</v>
      </c>
      <c r="X76" s="88">
        <f>ROUND(X75+Y76-MIN(N(Crédits!$E$7),X75+Y76),2)</f>
        <v>0</v>
      </c>
      <c r="Y76" s="89">
        <f>X75*N(Crédits!$D$7)/12</f>
        <v>0</v>
      </c>
      <c r="Z76" s="96">
        <f t="shared" si="19"/>
        <v>0</v>
      </c>
      <c r="AA76" s="96">
        <f>Z76*N(Crédits!$D$8)/12</f>
        <v>0</v>
      </c>
      <c r="AB76" s="96">
        <f>MIN(N(Crédits!$E$8),Z76+AA76)</f>
        <v>0</v>
      </c>
      <c r="AC76" s="96">
        <f t="shared" si="6"/>
        <v>0</v>
      </c>
      <c r="AD76" s="97">
        <f>IF(Crédits!$K$8="",0,MAX(0,MIN(AC76,Plan!$L$78-(IF(Crédits!$K$5="",0,IF(Crédits!$K$5&lt;Crédits!$K$8,E76,0))+IF(Crédits!$K$6="",0,IF(Crédits!$K$6&lt;Crédits!$K$8,M76,0))+IF(Crédits!$K$7="",0,IF(Crédits!$K$7&lt;Crédits!$K$8,U76,0))+IF(Crédits!$K$9="",0,IF(Crédits!$K$9&lt;Crédits!$K$8,AK76,0))+IF(Crédits!$K$10="",0,IF(Crédits!$K$10&lt;Crédits!$K$8,AS76,0))))))</f>
        <v>0</v>
      </c>
      <c r="AE76" s="98">
        <f t="shared" si="7"/>
        <v>0</v>
      </c>
      <c r="AF76" s="88">
        <f>ROUND(AF75+AG76-MIN(N(Crédits!$E$8),AF75+AG76),2)</f>
        <v>0</v>
      </c>
      <c r="AG76" s="89">
        <f>AF75*N(Crédits!$D$8)/12</f>
        <v>0</v>
      </c>
      <c r="AH76" s="99">
        <f t="shared" si="20"/>
        <v>0</v>
      </c>
      <c r="AI76" s="99">
        <f>AH76*N(Crédits!$D$9)/12</f>
        <v>0</v>
      </c>
      <c r="AJ76" s="99">
        <f>MIN(N(Crédits!$E$9),AH76+AI76)</f>
        <v>0</v>
      </c>
      <c r="AK76" s="99">
        <f t="shared" si="8"/>
        <v>0</v>
      </c>
      <c r="AL76" s="100">
        <f>IF(Crédits!$K$9="",0,MAX(0,MIN(AK76,Plan!$L$78-(IF(Crédits!$K$5="",0,IF(Crédits!$K$5&lt;Crédits!$K$9,E76,0))+IF(Crédits!$K$6="",0,IF(Crédits!$K$6&lt;Crédits!$K$9,M76,0))+IF(Crédits!$K$7="",0,IF(Crédits!$K$7&lt;Crédits!$K$9,U76,0))+IF(Crédits!$K$8="",0,IF(Crédits!$K$8&lt;Crédits!$K$9,AC76,0))+IF(Crédits!$K$10="",0,IF(Crédits!$K$10&lt;Crédits!$K$9,AS76,0))))))</f>
        <v>0</v>
      </c>
      <c r="AM76" s="101">
        <f t="shared" si="9"/>
        <v>0</v>
      </c>
      <c r="AN76" s="88">
        <f>ROUND(AN75+AO76-MIN(N(Crédits!$E$9),AN75+AO76),2)</f>
        <v>0</v>
      </c>
      <c r="AO76" s="89">
        <f>AN75*N(Crédits!$D$9)/12</f>
        <v>0</v>
      </c>
      <c r="AP76" s="102">
        <f t="shared" si="21"/>
        <v>0</v>
      </c>
      <c r="AQ76" s="102">
        <f>AP76*N(Crédits!$D$10)/12</f>
        <v>0</v>
      </c>
      <c r="AR76" s="102">
        <f>MIN(N(Crédits!$E$10),AP76+AQ76)</f>
        <v>0</v>
      </c>
      <c r="AS76" s="102">
        <f t="shared" si="10"/>
        <v>0</v>
      </c>
      <c r="AT76" s="103">
        <f>IF(Crédits!$K$10="",0,MAX(0,MIN(AS76,Plan!$L$78-(IF(Crédits!$K$5="",0,IF(Crédits!$K$5&lt;Crédits!$K$10,E76,0))+IF(Crédits!$K$6="",0,IF(Crédits!$K$6&lt;Crédits!$K$10,M76,0))+IF(Crédits!$K$7="",0,IF(Crédits!$K$7&lt;Crédits!$K$10,U76,0))+IF(Crédits!$K$8="",0,IF(Crédits!$K$8&lt;Crédits!$K$10,AC76,0))+IF(Crédits!$K$9="",0,IF(Crédits!$K$9&lt;Crédits!$K$10,AK76,0))))))</f>
        <v>0</v>
      </c>
      <c r="AU76" s="104">
        <f t="shared" si="11"/>
        <v>0</v>
      </c>
      <c r="AV76" s="88">
        <f>ROUND(AV75+AW76-MIN(N(Crédits!$E$10),AV75+AW76),2)</f>
        <v>0</v>
      </c>
      <c r="AW76" s="89">
        <f>AV75*N(Crédits!$D$10)/12</f>
        <v>0</v>
      </c>
      <c r="AX76" s="105">
        <f t="shared" si="12"/>
        <v>0</v>
      </c>
      <c r="AY76" s="105">
        <f t="shared" ref="AY76:AZ76" si="94">F76+N76+V76+AD76+AL76+AT76</f>
        <v>0</v>
      </c>
      <c r="AZ76" s="105">
        <f t="shared" si="94"/>
        <v>0</v>
      </c>
      <c r="BA76" s="105">
        <f t="shared" si="14"/>
        <v>0</v>
      </c>
      <c r="BB76" s="105">
        <f t="shared" si="15"/>
        <v>0</v>
      </c>
    </row>
    <row r="77" spans="1:54" ht="15" customHeight="1" x14ac:dyDescent="0.25">
      <c r="A77" s="2">
        <v>75</v>
      </c>
      <c r="B77" s="83">
        <f t="shared" si="16"/>
        <v>0</v>
      </c>
      <c r="C77" s="83">
        <f>B77*N(Crédits!$D$5)/12</f>
        <v>0</v>
      </c>
      <c r="D77" s="83">
        <f>MIN(N(Crédits!$E$5),B77+C77)</f>
        <v>0</v>
      </c>
      <c r="E77" s="83">
        <f t="shared" si="0"/>
        <v>0</v>
      </c>
      <c r="F77" s="86">
        <f>IF(Crédits!$K$5="",0,MAX(0,MIN(E77,Plan!$L$79-(IF(Crédits!$K$6="",0,IF(Crédits!$K$6&lt;Crédits!$K$5,M77,0))+IF(Crédits!$K$7="",0,IF(Crédits!$K$7&lt;Crédits!$K$5,U77,0))+IF(Crédits!$K$8="",0,IF(Crédits!$K$8&lt;Crédits!$K$5,AC77,0))+IF(Crédits!$K$9="",0,IF(Crédits!$K$9&lt;Crédits!$K$5,AK77,0))+IF(Crédits!$K$10="",0,IF(Crédits!$K$10&lt;Crédits!$K$5,AS77,0))))))</f>
        <v>0</v>
      </c>
      <c r="G77" s="87">
        <f t="shared" si="1"/>
        <v>0</v>
      </c>
      <c r="H77" s="88">
        <f>ROUND(H76+I77-MIN(N(Crédits!$E$5),H76+I77),2)</f>
        <v>0</v>
      </c>
      <c r="I77" s="89">
        <f>H76*N(Crédits!$D$5)/12</f>
        <v>0</v>
      </c>
      <c r="J77" s="90">
        <f t="shared" si="17"/>
        <v>0</v>
      </c>
      <c r="K77" s="90">
        <f>J77*N(Crédits!$D$6)/12</f>
        <v>0</v>
      </c>
      <c r="L77" s="90">
        <f>MIN(N(Crédits!$E$6),J77+K77)</f>
        <v>0</v>
      </c>
      <c r="M77" s="90">
        <f t="shared" si="2"/>
        <v>0</v>
      </c>
      <c r="N77" s="91">
        <f>IF(Crédits!$K$6="",0,MAX(0,MIN(M77,Plan!$L$79-(IF(Crédits!$K$5="",0,IF(Crédits!$K$5&lt;Crédits!$K$6,E77,0))+IF(Crédits!$K$7="",0,IF(Crédits!$K$7&lt;Crédits!$K$6,U77,0))+IF(Crédits!$K$8="",0,IF(Crédits!$K$8&lt;Crédits!$K$6,AC77,0))+IF(Crédits!$K$9="",0,IF(Crédits!$K$9&lt;Crédits!$K$6,AK77,0))+IF(Crédits!$K$10="",0,IF(Crédits!$K$10&lt;Crédits!$K$6,AS77,0))))))</f>
        <v>0</v>
      </c>
      <c r="O77" s="92">
        <f t="shared" si="3"/>
        <v>0</v>
      </c>
      <c r="P77" s="88">
        <f>ROUND(P76+Q77-MIN(N(Crédits!$E$6),P76+Q77),2)</f>
        <v>0</v>
      </c>
      <c r="Q77" s="89">
        <f>P76*N(Crédits!$D$6)/12</f>
        <v>0</v>
      </c>
      <c r="R77" s="93">
        <f t="shared" si="18"/>
        <v>0</v>
      </c>
      <c r="S77" s="93">
        <f>R77*N(Crédits!$D$7)/12</f>
        <v>0</v>
      </c>
      <c r="T77" s="93">
        <f>MIN(N(Crédits!$E$7),R77+S77)</f>
        <v>0</v>
      </c>
      <c r="U77" s="93">
        <f t="shared" si="4"/>
        <v>0</v>
      </c>
      <c r="V77" s="94">
        <f>IF(Crédits!$K$7="",0,MAX(0,MIN(U77,Plan!$L$79-(IF(Crédits!$K$5="",0,IF(Crédits!$K$5&lt;Crédits!$K$7,E77,0))+IF(Crédits!$K$6="",0,IF(Crédits!$K$6&lt;Crédits!$K$7,M77,0))+IF(Crédits!$K$8="",0,IF(Crédits!$K$8&lt;Crédits!$K$7,AC77,0))+IF(Crédits!$K$9="",0,IF(Crédits!$K$9&lt;Crédits!$K$7,AK77,0))+IF(Crédits!$K$10="",0,IF(Crédits!$K$10&lt;Crédits!$K$7,AS77,0))))))</f>
        <v>0</v>
      </c>
      <c r="W77" s="95">
        <f t="shared" si="5"/>
        <v>0</v>
      </c>
      <c r="X77" s="88">
        <f>ROUND(X76+Y77-MIN(N(Crédits!$E$7),X76+Y77),2)</f>
        <v>0</v>
      </c>
      <c r="Y77" s="89">
        <f>X76*N(Crédits!$D$7)/12</f>
        <v>0</v>
      </c>
      <c r="Z77" s="96">
        <f t="shared" si="19"/>
        <v>0</v>
      </c>
      <c r="AA77" s="96">
        <f>Z77*N(Crédits!$D$8)/12</f>
        <v>0</v>
      </c>
      <c r="AB77" s="96">
        <f>MIN(N(Crédits!$E$8),Z77+AA77)</f>
        <v>0</v>
      </c>
      <c r="AC77" s="96">
        <f t="shared" si="6"/>
        <v>0</v>
      </c>
      <c r="AD77" s="97">
        <f>IF(Crédits!$K$8="",0,MAX(0,MIN(AC77,Plan!$L$79-(IF(Crédits!$K$5="",0,IF(Crédits!$K$5&lt;Crédits!$K$8,E77,0))+IF(Crédits!$K$6="",0,IF(Crédits!$K$6&lt;Crédits!$K$8,M77,0))+IF(Crédits!$K$7="",0,IF(Crédits!$K$7&lt;Crédits!$K$8,U77,0))+IF(Crédits!$K$9="",0,IF(Crédits!$K$9&lt;Crédits!$K$8,AK77,0))+IF(Crédits!$K$10="",0,IF(Crédits!$K$10&lt;Crédits!$K$8,AS77,0))))))</f>
        <v>0</v>
      </c>
      <c r="AE77" s="98">
        <f t="shared" si="7"/>
        <v>0</v>
      </c>
      <c r="AF77" s="88">
        <f>ROUND(AF76+AG77-MIN(N(Crédits!$E$8),AF76+AG77),2)</f>
        <v>0</v>
      </c>
      <c r="AG77" s="89">
        <f>AF76*N(Crédits!$D$8)/12</f>
        <v>0</v>
      </c>
      <c r="AH77" s="99">
        <f t="shared" si="20"/>
        <v>0</v>
      </c>
      <c r="AI77" s="99">
        <f>AH77*N(Crédits!$D$9)/12</f>
        <v>0</v>
      </c>
      <c r="AJ77" s="99">
        <f>MIN(N(Crédits!$E$9),AH77+AI77)</f>
        <v>0</v>
      </c>
      <c r="AK77" s="99">
        <f t="shared" si="8"/>
        <v>0</v>
      </c>
      <c r="AL77" s="100">
        <f>IF(Crédits!$K$9="",0,MAX(0,MIN(AK77,Plan!$L$79-(IF(Crédits!$K$5="",0,IF(Crédits!$K$5&lt;Crédits!$K$9,E77,0))+IF(Crédits!$K$6="",0,IF(Crédits!$K$6&lt;Crédits!$K$9,M77,0))+IF(Crédits!$K$7="",0,IF(Crédits!$K$7&lt;Crédits!$K$9,U77,0))+IF(Crédits!$K$8="",0,IF(Crédits!$K$8&lt;Crédits!$K$9,AC77,0))+IF(Crédits!$K$10="",0,IF(Crédits!$K$10&lt;Crédits!$K$9,AS77,0))))))</f>
        <v>0</v>
      </c>
      <c r="AM77" s="101">
        <f t="shared" si="9"/>
        <v>0</v>
      </c>
      <c r="AN77" s="88">
        <f>ROUND(AN76+AO77-MIN(N(Crédits!$E$9),AN76+AO77),2)</f>
        <v>0</v>
      </c>
      <c r="AO77" s="89">
        <f>AN76*N(Crédits!$D$9)/12</f>
        <v>0</v>
      </c>
      <c r="AP77" s="102">
        <f t="shared" si="21"/>
        <v>0</v>
      </c>
      <c r="AQ77" s="102">
        <f>AP77*N(Crédits!$D$10)/12</f>
        <v>0</v>
      </c>
      <c r="AR77" s="102">
        <f>MIN(N(Crédits!$E$10),AP77+AQ77)</f>
        <v>0</v>
      </c>
      <c r="AS77" s="102">
        <f t="shared" si="10"/>
        <v>0</v>
      </c>
      <c r="AT77" s="103">
        <f>IF(Crédits!$K$10="",0,MAX(0,MIN(AS77,Plan!$L$79-(IF(Crédits!$K$5="",0,IF(Crédits!$K$5&lt;Crédits!$K$10,E77,0))+IF(Crédits!$K$6="",0,IF(Crédits!$K$6&lt;Crédits!$K$10,M77,0))+IF(Crédits!$K$7="",0,IF(Crédits!$K$7&lt;Crédits!$K$10,U77,0))+IF(Crédits!$K$8="",0,IF(Crédits!$K$8&lt;Crédits!$K$10,AC77,0))+IF(Crédits!$K$9="",0,IF(Crédits!$K$9&lt;Crédits!$K$10,AK77,0))))))</f>
        <v>0</v>
      </c>
      <c r="AU77" s="104">
        <f t="shared" si="11"/>
        <v>0</v>
      </c>
      <c r="AV77" s="88">
        <f>ROUND(AV76+AW77-MIN(N(Crédits!$E$10),AV76+AW77),2)</f>
        <v>0</v>
      </c>
      <c r="AW77" s="89">
        <f>AV76*N(Crédits!$D$10)/12</f>
        <v>0</v>
      </c>
      <c r="AX77" s="105">
        <f t="shared" si="12"/>
        <v>0</v>
      </c>
      <c r="AY77" s="105">
        <f t="shared" ref="AY77:AZ77" si="95">F77+N77+V77+AD77+AL77+AT77</f>
        <v>0</v>
      </c>
      <c r="AZ77" s="105">
        <f t="shared" si="95"/>
        <v>0</v>
      </c>
      <c r="BA77" s="105">
        <f t="shared" si="14"/>
        <v>0</v>
      </c>
      <c r="BB77" s="105">
        <f t="shared" si="15"/>
        <v>0</v>
      </c>
    </row>
    <row r="78" spans="1:54" ht="15" customHeight="1" x14ac:dyDescent="0.25">
      <c r="A78" s="2">
        <v>76</v>
      </c>
      <c r="B78" s="83">
        <f t="shared" si="16"/>
        <v>0</v>
      </c>
      <c r="C78" s="83">
        <f>B78*N(Crédits!$D$5)/12</f>
        <v>0</v>
      </c>
      <c r="D78" s="83">
        <f>MIN(N(Crédits!$E$5),B78+C78)</f>
        <v>0</v>
      </c>
      <c r="E78" s="83">
        <f t="shared" si="0"/>
        <v>0</v>
      </c>
      <c r="F78" s="86">
        <f>IF(Crédits!$K$5="",0,MAX(0,MIN(E78,Plan!$L$80-(IF(Crédits!$K$6="",0,IF(Crédits!$K$6&lt;Crédits!$K$5,M78,0))+IF(Crédits!$K$7="",0,IF(Crédits!$K$7&lt;Crédits!$K$5,U78,0))+IF(Crédits!$K$8="",0,IF(Crédits!$K$8&lt;Crédits!$K$5,AC78,0))+IF(Crédits!$K$9="",0,IF(Crédits!$K$9&lt;Crédits!$K$5,AK78,0))+IF(Crédits!$K$10="",0,IF(Crédits!$K$10&lt;Crédits!$K$5,AS78,0))))))</f>
        <v>0</v>
      </c>
      <c r="G78" s="87">
        <f t="shared" si="1"/>
        <v>0</v>
      </c>
      <c r="H78" s="88">
        <f>ROUND(H77+I78-MIN(N(Crédits!$E$5),H77+I78),2)</f>
        <v>0</v>
      </c>
      <c r="I78" s="89">
        <f>H77*N(Crédits!$D$5)/12</f>
        <v>0</v>
      </c>
      <c r="J78" s="90">
        <f t="shared" si="17"/>
        <v>0</v>
      </c>
      <c r="K78" s="90">
        <f>J78*N(Crédits!$D$6)/12</f>
        <v>0</v>
      </c>
      <c r="L78" s="90">
        <f>MIN(N(Crédits!$E$6),J78+K78)</f>
        <v>0</v>
      </c>
      <c r="M78" s="90">
        <f t="shared" si="2"/>
        <v>0</v>
      </c>
      <c r="N78" s="91">
        <f>IF(Crédits!$K$6="",0,MAX(0,MIN(M78,Plan!$L$80-(IF(Crédits!$K$5="",0,IF(Crédits!$K$5&lt;Crédits!$K$6,E78,0))+IF(Crédits!$K$7="",0,IF(Crédits!$K$7&lt;Crédits!$K$6,U78,0))+IF(Crédits!$K$8="",0,IF(Crédits!$K$8&lt;Crédits!$K$6,AC78,0))+IF(Crédits!$K$9="",0,IF(Crédits!$K$9&lt;Crédits!$K$6,AK78,0))+IF(Crédits!$K$10="",0,IF(Crédits!$K$10&lt;Crédits!$K$6,AS78,0))))))</f>
        <v>0</v>
      </c>
      <c r="O78" s="92">
        <f t="shared" si="3"/>
        <v>0</v>
      </c>
      <c r="P78" s="88">
        <f>ROUND(P77+Q78-MIN(N(Crédits!$E$6),P77+Q78),2)</f>
        <v>0</v>
      </c>
      <c r="Q78" s="89">
        <f>P77*N(Crédits!$D$6)/12</f>
        <v>0</v>
      </c>
      <c r="R78" s="93">
        <f t="shared" si="18"/>
        <v>0</v>
      </c>
      <c r="S78" s="93">
        <f>R78*N(Crédits!$D$7)/12</f>
        <v>0</v>
      </c>
      <c r="T78" s="93">
        <f>MIN(N(Crédits!$E$7),R78+S78)</f>
        <v>0</v>
      </c>
      <c r="U78" s="93">
        <f t="shared" si="4"/>
        <v>0</v>
      </c>
      <c r="V78" s="94">
        <f>IF(Crédits!$K$7="",0,MAX(0,MIN(U78,Plan!$L$80-(IF(Crédits!$K$5="",0,IF(Crédits!$K$5&lt;Crédits!$K$7,E78,0))+IF(Crédits!$K$6="",0,IF(Crédits!$K$6&lt;Crédits!$K$7,M78,0))+IF(Crédits!$K$8="",0,IF(Crédits!$K$8&lt;Crédits!$K$7,AC78,0))+IF(Crédits!$K$9="",0,IF(Crédits!$K$9&lt;Crédits!$K$7,AK78,0))+IF(Crédits!$K$10="",0,IF(Crédits!$K$10&lt;Crédits!$K$7,AS78,0))))))</f>
        <v>0</v>
      </c>
      <c r="W78" s="95">
        <f t="shared" si="5"/>
        <v>0</v>
      </c>
      <c r="X78" s="88">
        <f>ROUND(X77+Y78-MIN(N(Crédits!$E$7),X77+Y78),2)</f>
        <v>0</v>
      </c>
      <c r="Y78" s="89">
        <f>X77*N(Crédits!$D$7)/12</f>
        <v>0</v>
      </c>
      <c r="Z78" s="96">
        <f t="shared" si="19"/>
        <v>0</v>
      </c>
      <c r="AA78" s="96">
        <f>Z78*N(Crédits!$D$8)/12</f>
        <v>0</v>
      </c>
      <c r="AB78" s="96">
        <f>MIN(N(Crédits!$E$8),Z78+AA78)</f>
        <v>0</v>
      </c>
      <c r="AC78" s="96">
        <f t="shared" si="6"/>
        <v>0</v>
      </c>
      <c r="AD78" s="97">
        <f>IF(Crédits!$K$8="",0,MAX(0,MIN(AC78,Plan!$L$80-(IF(Crédits!$K$5="",0,IF(Crédits!$K$5&lt;Crédits!$K$8,E78,0))+IF(Crédits!$K$6="",0,IF(Crédits!$K$6&lt;Crédits!$K$8,M78,0))+IF(Crédits!$K$7="",0,IF(Crédits!$K$7&lt;Crédits!$K$8,U78,0))+IF(Crédits!$K$9="",0,IF(Crédits!$K$9&lt;Crédits!$K$8,AK78,0))+IF(Crédits!$K$10="",0,IF(Crédits!$K$10&lt;Crédits!$K$8,AS78,0))))))</f>
        <v>0</v>
      </c>
      <c r="AE78" s="98">
        <f t="shared" si="7"/>
        <v>0</v>
      </c>
      <c r="AF78" s="88">
        <f>ROUND(AF77+AG78-MIN(N(Crédits!$E$8),AF77+AG78),2)</f>
        <v>0</v>
      </c>
      <c r="AG78" s="89">
        <f>AF77*N(Crédits!$D$8)/12</f>
        <v>0</v>
      </c>
      <c r="AH78" s="99">
        <f t="shared" si="20"/>
        <v>0</v>
      </c>
      <c r="AI78" s="99">
        <f>AH78*N(Crédits!$D$9)/12</f>
        <v>0</v>
      </c>
      <c r="AJ78" s="99">
        <f>MIN(N(Crédits!$E$9),AH78+AI78)</f>
        <v>0</v>
      </c>
      <c r="AK78" s="99">
        <f t="shared" si="8"/>
        <v>0</v>
      </c>
      <c r="AL78" s="100">
        <f>IF(Crédits!$K$9="",0,MAX(0,MIN(AK78,Plan!$L$80-(IF(Crédits!$K$5="",0,IF(Crédits!$K$5&lt;Crédits!$K$9,E78,0))+IF(Crédits!$K$6="",0,IF(Crédits!$K$6&lt;Crédits!$K$9,M78,0))+IF(Crédits!$K$7="",0,IF(Crédits!$K$7&lt;Crédits!$K$9,U78,0))+IF(Crédits!$K$8="",0,IF(Crédits!$K$8&lt;Crédits!$K$9,AC78,0))+IF(Crédits!$K$10="",0,IF(Crédits!$K$10&lt;Crédits!$K$9,AS78,0))))))</f>
        <v>0</v>
      </c>
      <c r="AM78" s="101">
        <f t="shared" si="9"/>
        <v>0</v>
      </c>
      <c r="AN78" s="88">
        <f>ROUND(AN77+AO78-MIN(N(Crédits!$E$9),AN77+AO78),2)</f>
        <v>0</v>
      </c>
      <c r="AO78" s="89">
        <f>AN77*N(Crédits!$D$9)/12</f>
        <v>0</v>
      </c>
      <c r="AP78" s="102">
        <f t="shared" si="21"/>
        <v>0</v>
      </c>
      <c r="AQ78" s="102">
        <f>AP78*N(Crédits!$D$10)/12</f>
        <v>0</v>
      </c>
      <c r="AR78" s="102">
        <f>MIN(N(Crédits!$E$10),AP78+AQ78)</f>
        <v>0</v>
      </c>
      <c r="AS78" s="102">
        <f t="shared" si="10"/>
        <v>0</v>
      </c>
      <c r="AT78" s="103">
        <f>IF(Crédits!$K$10="",0,MAX(0,MIN(AS78,Plan!$L$80-(IF(Crédits!$K$5="",0,IF(Crédits!$K$5&lt;Crédits!$K$10,E78,0))+IF(Crédits!$K$6="",0,IF(Crédits!$K$6&lt;Crédits!$K$10,M78,0))+IF(Crédits!$K$7="",0,IF(Crédits!$K$7&lt;Crédits!$K$10,U78,0))+IF(Crédits!$K$8="",0,IF(Crédits!$K$8&lt;Crédits!$K$10,AC78,0))+IF(Crédits!$K$9="",0,IF(Crédits!$K$9&lt;Crédits!$K$10,AK78,0))))))</f>
        <v>0</v>
      </c>
      <c r="AU78" s="104">
        <f t="shared" si="11"/>
        <v>0</v>
      </c>
      <c r="AV78" s="88">
        <f>ROUND(AV77+AW78-MIN(N(Crédits!$E$10),AV77+AW78),2)</f>
        <v>0</v>
      </c>
      <c r="AW78" s="89">
        <f>AV77*N(Crédits!$D$10)/12</f>
        <v>0</v>
      </c>
      <c r="AX78" s="105">
        <f t="shared" si="12"/>
        <v>0</v>
      </c>
      <c r="AY78" s="105">
        <f t="shared" ref="AY78:AZ78" si="96">F78+N78+V78+AD78+AL78+AT78</f>
        <v>0</v>
      </c>
      <c r="AZ78" s="105">
        <f t="shared" si="96"/>
        <v>0</v>
      </c>
      <c r="BA78" s="105">
        <f t="shared" si="14"/>
        <v>0</v>
      </c>
      <c r="BB78" s="105">
        <f t="shared" si="15"/>
        <v>0</v>
      </c>
    </row>
    <row r="79" spans="1:54" ht="15" customHeight="1" x14ac:dyDescent="0.25">
      <c r="A79" s="2">
        <v>77</v>
      </c>
      <c r="B79" s="83">
        <f t="shared" si="16"/>
        <v>0</v>
      </c>
      <c r="C79" s="83">
        <f>B79*N(Crédits!$D$5)/12</f>
        <v>0</v>
      </c>
      <c r="D79" s="83">
        <f>MIN(N(Crédits!$E$5),B79+C79)</f>
        <v>0</v>
      </c>
      <c r="E79" s="83">
        <f t="shared" si="0"/>
        <v>0</v>
      </c>
      <c r="F79" s="86">
        <f>IF(Crédits!$K$5="",0,MAX(0,MIN(E79,Plan!$L$81-(IF(Crédits!$K$6="",0,IF(Crédits!$K$6&lt;Crédits!$K$5,M79,0))+IF(Crédits!$K$7="",0,IF(Crédits!$K$7&lt;Crédits!$K$5,U79,0))+IF(Crédits!$K$8="",0,IF(Crédits!$K$8&lt;Crédits!$K$5,AC79,0))+IF(Crédits!$K$9="",0,IF(Crédits!$K$9&lt;Crédits!$K$5,AK79,0))+IF(Crédits!$K$10="",0,IF(Crédits!$K$10&lt;Crédits!$K$5,AS79,0))))))</f>
        <v>0</v>
      </c>
      <c r="G79" s="87">
        <f t="shared" si="1"/>
        <v>0</v>
      </c>
      <c r="H79" s="88">
        <f>ROUND(H78+I79-MIN(N(Crédits!$E$5),H78+I79),2)</f>
        <v>0</v>
      </c>
      <c r="I79" s="89">
        <f>H78*N(Crédits!$D$5)/12</f>
        <v>0</v>
      </c>
      <c r="J79" s="90">
        <f t="shared" si="17"/>
        <v>0</v>
      </c>
      <c r="K79" s="90">
        <f>J79*N(Crédits!$D$6)/12</f>
        <v>0</v>
      </c>
      <c r="L79" s="90">
        <f>MIN(N(Crédits!$E$6),J79+K79)</f>
        <v>0</v>
      </c>
      <c r="M79" s="90">
        <f t="shared" si="2"/>
        <v>0</v>
      </c>
      <c r="N79" s="91">
        <f>IF(Crédits!$K$6="",0,MAX(0,MIN(M79,Plan!$L$81-(IF(Crédits!$K$5="",0,IF(Crédits!$K$5&lt;Crédits!$K$6,E79,0))+IF(Crédits!$K$7="",0,IF(Crédits!$K$7&lt;Crédits!$K$6,U79,0))+IF(Crédits!$K$8="",0,IF(Crédits!$K$8&lt;Crédits!$K$6,AC79,0))+IF(Crédits!$K$9="",0,IF(Crédits!$K$9&lt;Crédits!$K$6,AK79,0))+IF(Crédits!$K$10="",0,IF(Crédits!$K$10&lt;Crédits!$K$6,AS79,0))))))</f>
        <v>0</v>
      </c>
      <c r="O79" s="92">
        <f t="shared" si="3"/>
        <v>0</v>
      </c>
      <c r="P79" s="88">
        <f>ROUND(P78+Q79-MIN(N(Crédits!$E$6),P78+Q79),2)</f>
        <v>0</v>
      </c>
      <c r="Q79" s="89">
        <f>P78*N(Crédits!$D$6)/12</f>
        <v>0</v>
      </c>
      <c r="R79" s="93">
        <f t="shared" si="18"/>
        <v>0</v>
      </c>
      <c r="S79" s="93">
        <f>R79*N(Crédits!$D$7)/12</f>
        <v>0</v>
      </c>
      <c r="T79" s="93">
        <f>MIN(N(Crédits!$E$7),R79+S79)</f>
        <v>0</v>
      </c>
      <c r="U79" s="93">
        <f t="shared" si="4"/>
        <v>0</v>
      </c>
      <c r="V79" s="94">
        <f>IF(Crédits!$K$7="",0,MAX(0,MIN(U79,Plan!$L$81-(IF(Crédits!$K$5="",0,IF(Crédits!$K$5&lt;Crédits!$K$7,E79,0))+IF(Crédits!$K$6="",0,IF(Crédits!$K$6&lt;Crédits!$K$7,M79,0))+IF(Crédits!$K$8="",0,IF(Crédits!$K$8&lt;Crédits!$K$7,AC79,0))+IF(Crédits!$K$9="",0,IF(Crédits!$K$9&lt;Crédits!$K$7,AK79,0))+IF(Crédits!$K$10="",0,IF(Crédits!$K$10&lt;Crédits!$K$7,AS79,0))))))</f>
        <v>0</v>
      </c>
      <c r="W79" s="95">
        <f t="shared" si="5"/>
        <v>0</v>
      </c>
      <c r="X79" s="88">
        <f>ROUND(X78+Y79-MIN(N(Crédits!$E$7),X78+Y79),2)</f>
        <v>0</v>
      </c>
      <c r="Y79" s="89">
        <f>X78*N(Crédits!$D$7)/12</f>
        <v>0</v>
      </c>
      <c r="Z79" s="96">
        <f t="shared" si="19"/>
        <v>0</v>
      </c>
      <c r="AA79" s="96">
        <f>Z79*N(Crédits!$D$8)/12</f>
        <v>0</v>
      </c>
      <c r="AB79" s="96">
        <f>MIN(N(Crédits!$E$8),Z79+AA79)</f>
        <v>0</v>
      </c>
      <c r="AC79" s="96">
        <f t="shared" si="6"/>
        <v>0</v>
      </c>
      <c r="AD79" s="97">
        <f>IF(Crédits!$K$8="",0,MAX(0,MIN(AC79,Plan!$L$81-(IF(Crédits!$K$5="",0,IF(Crédits!$K$5&lt;Crédits!$K$8,E79,0))+IF(Crédits!$K$6="",0,IF(Crédits!$K$6&lt;Crédits!$K$8,M79,0))+IF(Crédits!$K$7="",0,IF(Crédits!$K$7&lt;Crédits!$K$8,U79,0))+IF(Crédits!$K$9="",0,IF(Crédits!$K$9&lt;Crédits!$K$8,AK79,0))+IF(Crédits!$K$10="",0,IF(Crédits!$K$10&lt;Crédits!$K$8,AS79,0))))))</f>
        <v>0</v>
      </c>
      <c r="AE79" s="98">
        <f t="shared" si="7"/>
        <v>0</v>
      </c>
      <c r="AF79" s="88">
        <f>ROUND(AF78+AG79-MIN(N(Crédits!$E$8),AF78+AG79),2)</f>
        <v>0</v>
      </c>
      <c r="AG79" s="89">
        <f>AF78*N(Crédits!$D$8)/12</f>
        <v>0</v>
      </c>
      <c r="AH79" s="99">
        <f t="shared" si="20"/>
        <v>0</v>
      </c>
      <c r="AI79" s="99">
        <f>AH79*N(Crédits!$D$9)/12</f>
        <v>0</v>
      </c>
      <c r="AJ79" s="99">
        <f>MIN(N(Crédits!$E$9),AH79+AI79)</f>
        <v>0</v>
      </c>
      <c r="AK79" s="99">
        <f t="shared" si="8"/>
        <v>0</v>
      </c>
      <c r="AL79" s="100">
        <f>IF(Crédits!$K$9="",0,MAX(0,MIN(AK79,Plan!$L$81-(IF(Crédits!$K$5="",0,IF(Crédits!$K$5&lt;Crédits!$K$9,E79,0))+IF(Crédits!$K$6="",0,IF(Crédits!$K$6&lt;Crédits!$K$9,M79,0))+IF(Crédits!$K$7="",0,IF(Crédits!$K$7&lt;Crédits!$K$9,U79,0))+IF(Crédits!$K$8="",0,IF(Crédits!$K$8&lt;Crédits!$K$9,AC79,0))+IF(Crédits!$K$10="",0,IF(Crédits!$K$10&lt;Crédits!$K$9,AS79,0))))))</f>
        <v>0</v>
      </c>
      <c r="AM79" s="101">
        <f t="shared" si="9"/>
        <v>0</v>
      </c>
      <c r="AN79" s="88">
        <f>ROUND(AN78+AO79-MIN(N(Crédits!$E$9),AN78+AO79),2)</f>
        <v>0</v>
      </c>
      <c r="AO79" s="89">
        <f>AN78*N(Crédits!$D$9)/12</f>
        <v>0</v>
      </c>
      <c r="AP79" s="102">
        <f t="shared" si="21"/>
        <v>0</v>
      </c>
      <c r="AQ79" s="102">
        <f>AP79*N(Crédits!$D$10)/12</f>
        <v>0</v>
      </c>
      <c r="AR79" s="102">
        <f>MIN(N(Crédits!$E$10),AP79+AQ79)</f>
        <v>0</v>
      </c>
      <c r="AS79" s="102">
        <f t="shared" si="10"/>
        <v>0</v>
      </c>
      <c r="AT79" s="103">
        <f>IF(Crédits!$K$10="",0,MAX(0,MIN(AS79,Plan!$L$81-(IF(Crédits!$K$5="",0,IF(Crédits!$K$5&lt;Crédits!$K$10,E79,0))+IF(Crédits!$K$6="",0,IF(Crédits!$K$6&lt;Crédits!$K$10,M79,0))+IF(Crédits!$K$7="",0,IF(Crédits!$K$7&lt;Crédits!$K$10,U79,0))+IF(Crédits!$K$8="",0,IF(Crédits!$K$8&lt;Crédits!$K$10,AC79,0))+IF(Crédits!$K$9="",0,IF(Crédits!$K$9&lt;Crédits!$K$10,AK79,0))))))</f>
        <v>0</v>
      </c>
      <c r="AU79" s="104">
        <f t="shared" si="11"/>
        <v>0</v>
      </c>
      <c r="AV79" s="88">
        <f>ROUND(AV78+AW79-MIN(N(Crédits!$E$10),AV78+AW79),2)</f>
        <v>0</v>
      </c>
      <c r="AW79" s="89">
        <f>AV78*N(Crédits!$D$10)/12</f>
        <v>0</v>
      </c>
      <c r="AX79" s="105">
        <f t="shared" si="12"/>
        <v>0</v>
      </c>
      <c r="AY79" s="105">
        <f t="shared" ref="AY79:AZ79" si="97">F79+N79+V79+AD79+AL79+AT79</f>
        <v>0</v>
      </c>
      <c r="AZ79" s="105">
        <f t="shared" si="97"/>
        <v>0</v>
      </c>
      <c r="BA79" s="105">
        <f t="shared" si="14"/>
        <v>0</v>
      </c>
      <c r="BB79" s="105">
        <f t="shared" si="15"/>
        <v>0</v>
      </c>
    </row>
    <row r="80" spans="1:54" ht="15" customHeight="1" x14ac:dyDescent="0.25">
      <c r="A80" s="2">
        <v>78</v>
      </c>
      <c r="B80" s="83">
        <f t="shared" si="16"/>
        <v>0</v>
      </c>
      <c r="C80" s="83">
        <f>B80*N(Crédits!$D$5)/12</f>
        <v>0</v>
      </c>
      <c r="D80" s="83">
        <f>MIN(N(Crédits!$E$5),B80+C80)</f>
        <v>0</v>
      </c>
      <c r="E80" s="83">
        <f t="shared" si="0"/>
        <v>0</v>
      </c>
      <c r="F80" s="86">
        <f>IF(Crédits!$K$5="",0,MAX(0,MIN(E80,Plan!$L$82-(IF(Crédits!$K$6="",0,IF(Crédits!$K$6&lt;Crédits!$K$5,M80,0))+IF(Crédits!$K$7="",0,IF(Crédits!$K$7&lt;Crédits!$K$5,U80,0))+IF(Crédits!$K$8="",0,IF(Crédits!$K$8&lt;Crédits!$K$5,AC80,0))+IF(Crédits!$K$9="",0,IF(Crédits!$K$9&lt;Crédits!$K$5,AK80,0))+IF(Crédits!$K$10="",0,IF(Crédits!$K$10&lt;Crédits!$K$5,AS80,0))))))</f>
        <v>0</v>
      </c>
      <c r="G80" s="87">
        <f t="shared" si="1"/>
        <v>0</v>
      </c>
      <c r="H80" s="88">
        <f>ROUND(H79+I80-MIN(N(Crédits!$E$5),H79+I80),2)</f>
        <v>0</v>
      </c>
      <c r="I80" s="89">
        <f>H79*N(Crédits!$D$5)/12</f>
        <v>0</v>
      </c>
      <c r="J80" s="90">
        <f t="shared" si="17"/>
        <v>0</v>
      </c>
      <c r="K80" s="90">
        <f>J80*N(Crédits!$D$6)/12</f>
        <v>0</v>
      </c>
      <c r="L80" s="90">
        <f>MIN(N(Crédits!$E$6),J80+K80)</f>
        <v>0</v>
      </c>
      <c r="M80" s="90">
        <f t="shared" si="2"/>
        <v>0</v>
      </c>
      <c r="N80" s="91">
        <f>IF(Crédits!$K$6="",0,MAX(0,MIN(M80,Plan!$L$82-(IF(Crédits!$K$5="",0,IF(Crédits!$K$5&lt;Crédits!$K$6,E80,0))+IF(Crédits!$K$7="",0,IF(Crédits!$K$7&lt;Crédits!$K$6,U80,0))+IF(Crédits!$K$8="",0,IF(Crédits!$K$8&lt;Crédits!$K$6,AC80,0))+IF(Crédits!$K$9="",0,IF(Crédits!$K$9&lt;Crédits!$K$6,AK80,0))+IF(Crédits!$K$10="",0,IF(Crédits!$K$10&lt;Crédits!$K$6,AS80,0))))))</f>
        <v>0</v>
      </c>
      <c r="O80" s="92">
        <f t="shared" si="3"/>
        <v>0</v>
      </c>
      <c r="P80" s="88">
        <f>ROUND(P79+Q80-MIN(N(Crédits!$E$6),P79+Q80),2)</f>
        <v>0</v>
      </c>
      <c r="Q80" s="89">
        <f>P79*N(Crédits!$D$6)/12</f>
        <v>0</v>
      </c>
      <c r="R80" s="93">
        <f t="shared" si="18"/>
        <v>0</v>
      </c>
      <c r="S80" s="93">
        <f>R80*N(Crédits!$D$7)/12</f>
        <v>0</v>
      </c>
      <c r="T80" s="93">
        <f>MIN(N(Crédits!$E$7),R80+S80)</f>
        <v>0</v>
      </c>
      <c r="U80" s="93">
        <f t="shared" si="4"/>
        <v>0</v>
      </c>
      <c r="V80" s="94">
        <f>IF(Crédits!$K$7="",0,MAX(0,MIN(U80,Plan!$L$82-(IF(Crédits!$K$5="",0,IF(Crédits!$K$5&lt;Crédits!$K$7,E80,0))+IF(Crédits!$K$6="",0,IF(Crédits!$K$6&lt;Crédits!$K$7,M80,0))+IF(Crédits!$K$8="",0,IF(Crédits!$K$8&lt;Crédits!$K$7,AC80,0))+IF(Crédits!$K$9="",0,IF(Crédits!$K$9&lt;Crédits!$K$7,AK80,0))+IF(Crédits!$K$10="",0,IF(Crédits!$K$10&lt;Crédits!$K$7,AS80,0))))))</f>
        <v>0</v>
      </c>
      <c r="W80" s="95">
        <f t="shared" si="5"/>
        <v>0</v>
      </c>
      <c r="X80" s="88">
        <f>ROUND(X79+Y80-MIN(N(Crédits!$E$7),X79+Y80),2)</f>
        <v>0</v>
      </c>
      <c r="Y80" s="89">
        <f>X79*N(Crédits!$D$7)/12</f>
        <v>0</v>
      </c>
      <c r="Z80" s="96">
        <f t="shared" si="19"/>
        <v>0</v>
      </c>
      <c r="AA80" s="96">
        <f>Z80*N(Crédits!$D$8)/12</f>
        <v>0</v>
      </c>
      <c r="AB80" s="96">
        <f>MIN(N(Crédits!$E$8),Z80+AA80)</f>
        <v>0</v>
      </c>
      <c r="AC80" s="96">
        <f t="shared" si="6"/>
        <v>0</v>
      </c>
      <c r="AD80" s="97">
        <f>IF(Crédits!$K$8="",0,MAX(0,MIN(AC80,Plan!$L$82-(IF(Crédits!$K$5="",0,IF(Crédits!$K$5&lt;Crédits!$K$8,E80,0))+IF(Crédits!$K$6="",0,IF(Crédits!$K$6&lt;Crédits!$K$8,M80,0))+IF(Crédits!$K$7="",0,IF(Crédits!$K$7&lt;Crédits!$K$8,U80,0))+IF(Crédits!$K$9="",0,IF(Crédits!$K$9&lt;Crédits!$K$8,AK80,0))+IF(Crédits!$K$10="",0,IF(Crédits!$K$10&lt;Crédits!$K$8,AS80,0))))))</f>
        <v>0</v>
      </c>
      <c r="AE80" s="98">
        <f t="shared" si="7"/>
        <v>0</v>
      </c>
      <c r="AF80" s="88">
        <f>ROUND(AF79+AG80-MIN(N(Crédits!$E$8),AF79+AG80),2)</f>
        <v>0</v>
      </c>
      <c r="AG80" s="89">
        <f>AF79*N(Crédits!$D$8)/12</f>
        <v>0</v>
      </c>
      <c r="AH80" s="99">
        <f t="shared" si="20"/>
        <v>0</v>
      </c>
      <c r="AI80" s="99">
        <f>AH80*N(Crédits!$D$9)/12</f>
        <v>0</v>
      </c>
      <c r="AJ80" s="99">
        <f>MIN(N(Crédits!$E$9),AH80+AI80)</f>
        <v>0</v>
      </c>
      <c r="AK80" s="99">
        <f t="shared" si="8"/>
        <v>0</v>
      </c>
      <c r="AL80" s="100">
        <f>IF(Crédits!$K$9="",0,MAX(0,MIN(AK80,Plan!$L$82-(IF(Crédits!$K$5="",0,IF(Crédits!$K$5&lt;Crédits!$K$9,E80,0))+IF(Crédits!$K$6="",0,IF(Crédits!$K$6&lt;Crédits!$K$9,M80,0))+IF(Crédits!$K$7="",0,IF(Crédits!$K$7&lt;Crédits!$K$9,U80,0))+IF(Crédits!$K$8="",0,IF(Crédits!$K$8&lt;Crédits!$K$9,AC80,0))+IF(Crédits!$K$10="",0,IF(Crédits!$K$10&lt;Crédits!$K$9,AS80,0))))))</f>
        <v>0</v>
      </c>
      <c r="AM80" s="101">
        <f t="shared" si="9"/>
        <v>0</v>
      </c>
      <c r="AN80" s="88">
        <f>ROUND(AN79+AO80-MIN(N(Crédits!$E$9),AN79+AO80),2)</f>
        <v>0</v>
      </c>
      <c r="AO80" s="89">
        <f>AN79*N(Crédits!$D$9)/12</f>
        <v>0</v>
      </c>
      <c r="AP80" s="102">
        <f t="shared" si="21"/>
        <v>0</v>
      </c>
      <c r="AQ80" s="102">
        <f>AP80*N(Crédits!$D$10)/12</f>
        <v>0</v>
      </c>
      <c r="AR80" s="102">
        <f>MIN(N(Crédits!$E$10),AP80+AQ80)</f>
        <v>0</v>
      </c>
      <c r="AS80" s="102">
        <f t="shared" si="10"/>
        <v>0</v>
      </c>
      <c r="AT80" s="103">
        <f>IF(Crédits!$K$10="",0,MAX(0,MIN(AS80,Plan!$L$82-(IF(Crédits!$K$5="",0,IF(Crédits!$K$5&lt;Crédits!$K$10,E80,0))+IF(Crédits!$K$6="",0,IF(Crédits!$K$6&lt;Crédits!$K$10,M80,0))+IF(Crédits!$K$7="",0,IF(Crédits!$K$7&lt;Crédits!$K$10,U80,0))+IF(Crédits!$K$8="",0,IF(Crédits!$K$8&lt;Crédits!$K$10,AC80,0))+IF(Crédits!$K$9="",0,IF(Crédits!$K$9&lt;Crédits!$K$10,AK80,0))))))</f>
        <v>0</v>
      </c>
      <c r="AU80" s="104">
        <f t="shared" si="11"/>
        <v>0</v>
      </c>
      <c r="AV80" s="88">
        <f>ROUND(AV79+AW80-MIN(N(Crédits!$E$10),AV79+AW80),2)</f>
        <v>0</v>
      </c>
      <c r="AW80" s="89">
        <f>AV79*N(Crédits!$D$10)/12</f>
        <v>0</v>
      </c>
      <c r="AX80" s="105">
        <f t="shared" si="12"/>
        <v>0</v>
      </c>
      <c r="AY80" s="105">
        <f t="shared" ref="AY80:AZ80" si="98">F80+N80+V80+AD80+AL80+AT80</f>
        <v>0</v>
      </c>
      <c r="AZ80" s="105">
        <f t="shared" si="98"/>
        <v>0</v>
      </c>
      <c r="BA80" s="105">
        <f t="shared" si="14"/>
        <v>0</v>
      </c>
      <c r="BB80" s="105">
        <f t="shared" si="15"/>
        <v>0</v>
      </c>
    </row>
    <row r="81" spans="1:54" ht="15" customHeight="1" x14ac:dyDescent="0.25">
      <c r="A81" s="2">
        <v>79</v>
      </c>
      <c r="B81" s="83">
        <f t="shared" si="16"/>
        <v>0</v>
      </c>
      <c r="C81" s="83">
        <f>B81*N(Crédits!$D$5)/12</f>
        <v>0</v>
      </c>
      <c r="D81" s="83">
        <f>MIN(N(Crédits!$E$5),B81+C81)</f>
        <v>0</v>
      </c>
      <c r="E81" s="83">
        <f t="shared" si="0"/>
        <v>0</v>
      </c>
      <c r="F81" s="86">
        <f>IF(Crédits!$K$5="",0,MAX(0,MIN(E81,Plan!$L$83-(IF(Crédits!$K$6="",0,IF(Crédits!$K$6&lt;Crédits!$K$5,M81,0))+IF(Crédits!$K$7="",0,IF(Crédits!$K$7&lt;Crédits!$K$5,U81,0))+IF(Crédits!$K$8="",0,IF(Crédits!$K$8&lt;Crédits!$K$5,AC81,0))+IF(Crédits!$K$9="",0,IF(Crédits!$K$9&lt;Crédits!$K$5,AK81,0))+IF(Crédits!$K$10="",0,IF(Crédits!$K$10&lt;Crédits!$K$5,AS81,0))))))</f>
        <v>0</v>
      </c>
      <c r="G81" s="87">
        <f t="shared" si="1"/>
        <v>0</v>
      </c>
      <c r="H81" s="88">
        <f>ROUND(H80+I81-MIN(N(Crédits!$E$5),H80+I81),2)</f>
        <v>0</v>
      </c>
      <c r="I81" s="89">
        <f>H80*N(Crédits!$D$5)/12</f>
        <v>0</v>
      </c>
      <c r="J81" s="90">
        <f t="shared" si="17"/>
        <v>0</v>
      </c>
      <c r="K81" s="90">
        <f>J81*N(Crédits!$D$6)/12</f>
        <v>0</v>
      </c>
      <c r="L81" s="90">
        <f>MIN(N(Crédits!$E$6),J81+K81)</f>
        <v>0</v>
      </c>
      <c r="M81" s="90">
        <f t="shared" si="2"/>
        <v>0</v>
      </c>
      <c r="N81" s="91">
        <f>IF(Crédits!$K$6="",0,MAX(0,MIN(M81,Plan!$L$83-(IF(Crédits!$K$5="",0,IF(Crédits!$K$5&lt;Crédits!$K$6,E81,0))+IF(Crédits!$K$7="",0,IF(Crédits!$K$7&lt;Crédits!$K$6,U81,0))+IF(Crédits!$K$8="",0,IF(Crédits!$K$8&lt;Crédits!$K$6,AC81,0))+IF(Crédits!$K$9="",0,IF(Crédits!$K$9&lt;Crédits!$K$6,AK81,0))+IF(Crédits!$K$10="",0,IF(Crédits!$K$10&lt;Crédits!$K$6,AS81,0))))))</f>
        <v>0</v>
      </c>
      <c r="O81" s="92">
        <f t="shared" si="3"/>
        <v>0</v>
      </c>
      <c r="P81" s="88">
        <f>ROUND(P80+Q81-MIN(N(Crédits!$E$6),P80+Q81),2)</f>
        <v>0</v>
      </c>
      <c r="Q81" s="89">
        <f>P80*N(Crédits!$D$6)/12</f>
        <v>0</v>
      </c>
      <c r="R81" s="93">
        <f t="shared" si="18"/>
        <v>0</v>
      </c>
      <c r="S81" s="93">
        <f>R81*N(Crédits!$D$7)/12</f>
        <v>0</v>
      </c>
      <c r="T81" s="93">
        <f>MIN(N(Crédits!$E$7),R81+S81)</f>
        <v>0</v>
      </c>
      <c r="U81" s="93">
        <f t="shared" si="4"/>
        <v>0</v>
      </c>
      <c r="V81" s="94">
        <f>IF(Crédits!$K$7="",0,MAX(0,MIN(U81,Plan!$L$83-(IF(Crédits!$K$5="",0,IF(Crédits!$K$5&lt;Crédits!$K$7,E81,0))+IF(Crédits!$K$6="",0,IF(Crédits!$K$6&lt;Crédits!$K$7,M81,0))+IF(Crédits!$K$8="",0,IF(Crédits!$K$8&lt;Crédits!$K$7,AC81,0))+IF(Crédits!$K$9="",0,IF(Crédits!$K$9&lt;Crédits!$K$7,AK81,0))+IF(Crédits!$K$10="",0,IF(Crédits!$K$10&lt;Crédits!$K$7,AS81,0))))))</f>
        <v>0</v>
      </c>
      <c r="W81" s="95">
        <f t="shared" si="5"/>
        <v>0</v>
      </c>
      <c r="X81" s="88">
        <f>ROUND(X80+Y81-MIN(N(Crédits!$E$7),X80+Y81),2)</f>
        <v>0</v>
      </c>
      <c r="Y81" s="89">
        <f>X80*N(Crédits!$D$7)/12</f>
        <v>0</v>
      </c>
      <c r="Z81" s="96">
        <f t="shared" si="19"/>
        <v>0</v>
      </c>
      <c r="AA81" s="96">
        <f>Z81*N(Crédits!$D$8)/12</f>
        <v>0</v>
      </c>
      <c r="AB81" s="96">
        <f>MIN(N(Crédits!$E$8),Z81+AA81)</f>
        <v>0</v>
      </c>
      <c r="AC81" s="96">
        <f t="shared" si="6"/>
        <v>0</v>
      </c>
      <c r="AD81" s="97">
        <f>IF(Crédits!$K$8="",0,MAX(0,MIN(AC81,Plan!$L$83-(IF(Crédits!$K$5="",0,IF(Crédits!$K$5&lt;Crédits!$K$8,E81,0))+IF(Crédits!$K$6="",0,IF(Crédits!$K$6&lt;Crédits!$K$8,M81,0))+IF(Crédits!$K$7="",0,IF(Crédits!$K$7&lt;Crédits!$K$8,U81,0))+IF(Crédits!$K$9="",0,IF(Crédits!$K$9&lt;Crédits!$K$8,AK81,0))+IF(Crédits!$K$10="",0,IF(Crédits!$K$10&lt;Crédits!$K$8,AS81,0))))))</f>
        <v>0</v>
      </c>
      <c r="AE81" s="98">
        <f t="shared" si="7"/>
        <v>0</v>
      </c>
      <c r="AF81" s="88">
        <f>ROUND(AF80+AG81-MIN(N(Crédits!$E$8),AF80+AG81),2)</f>
        <v>0</v>
      </c>
      <c r="AG81" s="89">
        <f>AF80*N(Crédits!$D$8)/12</f>
        <v>0</v>
      </c>
      <c r="AH81" s="99">
        <f t="shared" si="20"/>
        <v>0</v>
      </c>
      <c r="AI81" s="99">
        <f>AH81*N(Crédits!$D$9)/12</f>
        <v>0</v>
      </c>
      <c r="AJ81" s="99">
        <f>MIN(N(Crédits!$E$9),AH81+AI81)</f>
        <v>0</v>
      </c>
      <c r="AK81" s="99">
        <f t="shared" si="8"/>
        <v>0</v>
      </c>
      <c r="AL81" s="100">
        <f>IF(Crédits!$K$9="",0,MAX(0,MIN(AK81,Plan!$L$83-(IF(Crédits!$K$5="",0,IF(Crédits!$K$5&lt;Crédits!$K$9,E81,0))+IF(Crédits!$K$6="",0,IF(Crédits!$K$6&lt;Crédits!$K$9,M81,0))+IF(Crédits!$K$7="",0,IF(Crédits!$K$7&lt;Crédits!$K$9,U81,0))+IF(Crédits!$K$8="",0,IF(Crédits!$K$8&lt;Crédits!$K$9,AC81,0))+IF(Crédits!$K$10="",0,IF(Crédits!$K$10&lt;Crédits!$K$9,AS81,0))))))</f>
        <v>0</v>
      </c>
      <c r="AM81" s="101">
        <f t="shared" si="9"/>
        <v>0</v>
      </c>
      <c r="AN81" s="88">
        <f>ROUND(AN80+AO81-MIN(N(Crédits!$E$9),AN80+AO81),2)</f>
        <v>0</v>
      </c>
      <c r="AO81" s="89">
        <f>AN80*N(Crédits!$D$9)/12</f>
        <v>0</v>
      </c>
      <c r="AP81" s="102">
        <f t="shared" si="21"/>
        <v>0</v>
      </c>
      <c r="AQ81" s="102">
        <f>AP81*N(Crédits!$D$10)/12</f>
        <v>0</v>
      </c>
      <c r="AR81" s="102">
        <f>MIN(N(Crédits!$E$10),AP81+AQ81)</f>
        <v>0</v>
      </c>
      <c r="AS81" s="102">
        <f t="shared" si="10"/>
        <v>0</v>
      </c>
      <c r="AT81" s="103">
        <f>IF(Crédits!$K$10="",0,MAX(0,MIN(AS81,Plan!$L$83-(IF(Crédits!$K$5="",0,IF(Crédits!$K$5&lt;Crédits!$K$10,E81,0))+IF(Crédits!$K$6="",0,IF(Crédits!$K$6&lt;Crédits!$K$10,M81,0))+IF(Crédits!$K$7="",0,IF(Crédits!$K$7&lt;Crédits!$K$10,U81,0))+IF(Crédits!$K$8="",0,IF(Crédits!$K$8&lt;Crédits!$K$10,AC81,0))+IF(Crédits!$K$9="",0,IF(Crédits!$K$9&lt;Crédits!$K$10,AK81,0))))))</f>
        <v>0</v>
      </c>
      <c r="AU81" s="104">
        <f t="shared" si="11"/>
        <v>0</v>
      </c>
      <c r="AV81" s="88">
        <f>ROUND(AV80+AW81-MIN(N(Crédits!$E$10),AV80+AW81),2)</f>
        <v>0</v>
      </c>
      <c r="AW81" s="89">
        <f>AV80*N(Crédits!$D$10)/12</f>
        <v>0</v>
      </c>
      <c r="AX81" s="105">
        <f t="shared" si="12"/>
        <v>0</v>
      </c>
      <c r="AY81" s="105">
        <f t="shared" ref="AY81:AZ81" si="99">F81+N81+V81+AD81+AL81+AT81</f>
        <v>0</v>
      </c>
      <c r="AZ81" s="105">
        <f t="shared" si="99"/>
        <v>0</v>
      </c>
      <c r="BA81" s="105">
        <f t="shared" si="14"/>
        <v>0</v>
      </c>
      <c r="BB81" s="105">
        <f t="shared" si="15"/>
        <v>0</v>
      </c>
    </row>
    <row r="82" spans="1:54" ht="15" customHeight="1" x14ac:dyDescent="0.25">
      <c r="A82" s="2">
        <v>80</v>
      </c>
      <c r="B82" s="83">
        <f t="shared" si="16"/>
        <v>0</v>
      </c>
      <c r="C82" s="83">
        <f>B82*N(Crédits!$D$5)/12</f>
        <v>0</v>
      </c>
      <c r="D82" s="83">
        <f>MIN(N(Crédits!$E$5),B82+C82)</f>
        <v>0</v>
      </c>
      <c r="E82" s="83">
        <f t="shared" si="0"/>
        <v>0</v>
      </c>
      <c r="F82" s="86">
        <f>IF(Crédits!$K$5="",0,MAX(0,MIN(E82,Plan!$L$84-(IF(Crédits!$K$6="",0,IF(Crédits!$K$6&lt;Crédits!$K$5,M82,0))+IF(Crédits!$K$7="",0,IF(Crédits!$K$7&lt;Crédits!$K$5,U82,0))+IF(Crédits!$K$8="",0,IF(Crédits!$K$8&lt;Crédits!$K$5,AC82,0))+IF(Crédits!$K$9="",0,IF(Crédits!$K$9&lt;Crédits!$K$5,AK82,0))+IF(Crédits!$K$10="",0,IF(Crédits!$K$10&lt;Crédits!$K$5,AS82,0))))))</f>
        <v>0</v>
      </c>
      <c r="G82" s="87">
        <f t="shared" si="1"/>
        <v>0</v>
      </c>
      <c r="H82" s="88">
        <f>ROUND(H81+I82-MIN(N(Crédits!$E$5),H81+I82),2)</f>
        <v>0</v>
      </c>
      <c r="I82" s="89">
        <f>H81*N(Crédits!$D$5)/12</f>
        <v>0</v>
      </c>
      <c r="J82" s="90">
        <f t="shared" si="17"/>
        <v>0</v>
      </c>
      <c r="K82" s="90">
        <f>J82*N(Crédits!$D$6)/12</f>
        <v>0</v>
      </c>
      <c r="L82" s="90">
        <f>MIN(N(Crédits!$E$6),J82+K82)</f>
        <v>0</v>
      </c>
      <c r="M82" s="90">
        <f t="shared" si="2"/>
        <v>0</v>
      </c>
      <c r="N82" s="91">
        <f>IF(Crédits!$K$6="",0,MAX(0,MIN(M82,Plan!$L$84-(IF(Crédits!$K$5="",0,IF(Crédits!$K$5&lt;Crédits!$K$6,E82,0))+IF(Crédits!$K$7="",0,IF(Crédits!$K$7&lt;Crédits!$K$6,U82,0))+IF(Crédits!$K$8="",0,IF(Crédits!$K$8&lt;Crédits!$K$6,AC82,0))+IF(Crédits!$K$9="",0,IF(Crédits!$K$9&lt;Crédits!$K$6,AK82,0))+IF(Crédits!$K$10="",0,IF(Crédits!$K$10&lt;Crédits!$K$6,AS82,0))))))</f>
        <v>0</v>
      </c>
      <c r="O82" s="92">
        <f t="shared" si="3"/>
        <v>0</v>
      </c>
      <c r="P82" s="88">
        <f>ROUND(P81+Q82-MIN(N(Crédits!$E$6),P81+Q82),2)</f>
        <v>0</v>
      </c>
      <c r="Q82" s="89">
        <f>P81*N(Crédits!$D$6)/12</f>
        <v>0</v>
      </c>
      <c r="R82" s="93">
        <f t="shared" si="18"/>
        <v>0</v>
      </c>
      <c r="S82" s="93">
        <f>R82*N(Crédits!$D$7)/12</f>
        <v>0</v>
      </c>
      <c r="T82" s="93">
        <f>MIN(N(Crédits!$E$7),R82+S82)</f>
        <v>0</v>
      </c>
      <c r="U82" s="93">
        <f t="shared" si="4"/>
        <v>0</v>
      </c>
      <c r="V82" s="94">
        <f>IF(Crédits!$K$7="",0,MAX(0,MIN(U82,Plan!$L$84-(IF(Crédits!$K$5="",0,IF(Crédits!$K$5&lt;Crédits!$K$7,E82,0))+IF(Crédits!$K$6="",0,IF(Crédits!$K$6&lt;Crédits!$K$7,M82,0))+IF(Crédits!$K$8="",0,IF(Crédits!$K$8&lt;Crédits!$K$7,AC82,0))+IF(Crédits!$K$9="",0,IF(Crédits!$K$9&lt;Crédits!$K$7,AK82,0))+IF(Crédits!$K$10="",0,IF(Crédits!$K$10&lt;Crédits!$K$7,AS82,0))))))</f>
        <v>0</v>
      </c>
      <c r="W82" s="95">
        <f t="shared" si="5"/>
        <v>0</v>
      </c>
      <c r="X82" s="88">
        <f>ROUND(X81+Y82-MIN(N(Crédits!$E$7),X81+Y82),2)</f>
        <v>0</v>
      </c>
      <c r="Y82" s="89">
        <f>X81*N(Crédits!$D$7)/12</f>
        <v>0</v>
      </c>
      <c r="Z82" s="96">
        <f t="shared" si="19"/>
        <v>0</v>
      </c>
      <c r="AA82" s="96">
        <f>Z82*N(Crédits!$D$8)/12</f>
        <v>0</v>
      </c>
      <c r="AB82" s="96">
        <f>MIN(N(Crédits!$E$8),Z82+AA82)</f>
        <v>0</v>
      </c>
      <c r="AC82" s="96">
        <f t="shared" si="6"/>
        <v>0</v>
      </c>
      <c r="AD82" s="97">
        <f>IF(Crédits!$K$8="",0,MAX(0,MIN(AC82,Plan!$L$84-(IF(Crédits!$K$5="",0,IF(Crédits!$K$5&lt;Crédits!$K$8,E82,0))+IF(Crédits!$K$6="",0,IF(Crédits!$K$6&lt;Crédits!$K$8,M82,0))+IF(Crédits!$K$7="",0,IF(Crédits!$K$7&lt;Crédits!$K$8,U82,0))+IF(Crédits!$K$9="",0,IF(Crédits!$K$9&lt;Crédits!$K$8,AK82,0))+IF(Crédits!$K$10="",0,IF(Crédits!$K$10&lt;Crédits!$K$8,AS82,0))))))</f>
        <v>0</v>
      </c>
      <c r="AE82" s="98">
        <f t="shared" si="7"/>
        <v>0</v>
      </c>
      <c r="AF82" s="88">
        <f>ROUND(AF81+AG82-MIN(N(Crédits!$E$8),AF81+AG82),2)</f>
        <v>0</v>
      </c>
      <c r="AG82" s="89">
        <f>AF81*N(Crédits!$D$8)/12</f>
        <v>0</v>
      </c>
      <c r="AH82" s="99">
        <f t="shared" si="20"/>
        <v>0</v>
      </c>
      <c r="AI82" s="99">
        <f>AH82*N(Crédits!$D$9)/12</f>
        <v>0</v>
      </c>
      <c r="AJ82" s="99">
        <f>MIN(N(Crédits!$E$9),AH82+AI82)</f>
        <v>0</v>
      </c>
      <c r="AK82" s="99">
        <f t="shared" si="8"/>
        <v>0</v>
      </c>
      <c r="AL82" s="100">
        <f>IF(Crédits!$K$9="",0,MAX(0,MIN(AK82,Plan!$L$84-(IF(Crédits!$K$5="",0,IF(Crédits!$K$5&lt;Crédits!$K$9,E82,0))+IF(Crédits!$K$6="",0,IF(Crédits!$K$6&lt;Crédits!$K$9,M82,0))+IF(Crédits!$K$7="",0,IF(Crédits!$K$7&lt;Crédits!$K$9,U82,0))+IF(Crédits!$K$8="",0,IF(Crédits!$K$8&lt;Crédits!$K$9,AC82,0))+IF(Crédits!$K$10="",0,IF(Crédits!$K$10&lt;Crédits!$K$9,AS82,0))))))</f>
        <v>0</v>
      </c>
      <c r="AM82" s="101">
        <f t="shared" si="9"/>
        <v>0</v>
      </c>
      <c r="AN82" s="88">
        <f>ROUND(AN81+AO82-MIN(N(Crédits!$E$9),AN81+AO82),2)</f>
        <v>0</v>
      </c>
      <c r="AO82" s="89">
        <f>AN81*N(Crédits!$D$9)/12</f>
        <v>0</v>
      </c>
      <c r="AP82" s="102">
        <f t="shared" si="21"/>
        <v>0</v>
      </c>
      <c r="AQ82" s="102">
        <f>AP82*N(Crédits!$D$10)/12</f>
        <v>0</v>
      </c>
      <c r="AR82" s="102">
        <f>MIN(N(Crédits!$E$10),AP82+AQ82)</f>
        <v>0</v>
      </c>
      <c r="AS82" s="102">
        <f t="shared" si="10"/>
        <v>0</v>
      </c>
      <c r="AT82" s="103">
        <f>IF(Crédits!$K$10="",0,MAX(0,MIN(AS82,Plan!$L$84-(IF(Crédits!$K$5="",0,IF(Crédits!$K$5&lt;Crédits!$K$10,E82,0))+IF(Crédits!$K$6="",0,IF(Crédits!$K$6&lt;Crédits!$K$10,M82,0))+IF(Crédits!$K$7="",0,IF(Crédits!$K$7&lt;Crédits!$K$10,U82,0))+IF(Crédits!$K$8="",0,IF(Crédits!$K$8&lt;Crédits!$K$10,AC82,0))+IF(Crédits!$K$9="",0,IF(Crédits!$K$9&lt;Crédits!$K$10,AK82,0))))))</f>
        <v>0</v>
      </c>
      <c r="AU82" s="104">
        <f t="shared" si="11"/>
        <v>0</v>
      </c>
      <c r="AV82" s="88">
        <f>ROUND(AV81+AW82-MIN(N(Crédits!$E$10),AV81+AW82),2)</f>
        <v>0</v>
      </c>
      <c r="AW82" s="89">
        <f>AV81*N(Crédits!$D$10)/12</f>
        <v>0</v>
      </c>
      <c r="AX82" s="105">
        <f t="shared" si="12"/>
        <v>0</v>
      </c>
      <c r="AY82" s="105">
        <f t="shared" ref="AY82:AZ82" si="100">F82+N82+V82+AD82+AL82+AT82</f>
        <v>0</v>
      </c>
      <c r="AZ82" s="105">
        <f t="shared" si="100"/>
        <v>0</v>
      </c>
      <c r="BA82" s="105">
        <f t="shared" si="14"/>
        <v>0</v>
      </c>
      <c r="BB82" s="105">
        <f t="shared" si="15"/>
        <v>0</v>
      </c>
    </row>
    <row r="83" spans="1:54" ht="15" customHeight="1" x14ac:dyDescent="0.25">
      <c r="A83" s="2">
        <v>81</v>
      </c>
      <c r="B83" s="83">
        <f t="shared" si="16"/>
        <v>0</v>
      </c>
      <c r="C83" s="83">
        <f>B83*N(Crédits!$D$5)/12</f>
        <v>0</v>
      </c>
      <c r="D83" s="83">
        <f>MIN(N(Crédits!$E$5),B83+C83)</f>
        <v>0</v>
      </c>
      <c r="E83" s="83">
        <f t="shared" si="0"/>
        <v>0</v>
      </c>
      <c r="F83" s="86">
        <f>IF(Crédits!$K$5="",0,MAX(0,MIN(E83,Plan!$L$85-(IF(Crédits!$K$6="",0,IF(Crédits!$K$6&lt;Crédits!$K$5,M83,0))+IF(Crédits!$K$7="",0,IF(Crédits!$K$7&lt;Crédits!$K$5,U83,0))+IF(Crédits!$K$8="",0,IF(Crédits!$K$8&lt;Crédits!$K$5,AC83,0))+IF(Crédits!$K$9="",0,IF(Crédits!$K$9&lt;Crédits!$K$5,AK83,0))+IF(Crédits!$K$10="",0,IF(Crédits!$K$10&lt;Crédits!$K$5,AS83,0))))))</f>
        <v>0</v>
      </c>
      <c r="G83" s="87">
        <f t="shared" si="1"/>
        <v>0</v>
      </c>
      <c r="H83" s="88">
        <f>ROUND(H82+I83-MIN(N(Crédits!$E$5),H82+I83),2)</f>
        <v>0</v>
      </c>
      <c r="I83" s="89">
        <f>H82*N(Crédits!$D$5)/12</f>
        <v>0</v>
      </c>
      <c r="J83" s="90">
        <f t="shared" si="17"/>
        <v>0</v>
      </c>
      <c r="K83" s="90">
        <f>J83*N(Crédits!$D$6)/12</f>
        <v>0</v>
      </c>
      <c r="L83" s="90">
        <f>MIN(N(Crédits!$E$6),J83+K83)</f>
        <v>0</v>
      </c>
      <c r="M83" s="90">
        <f t="shared" si="2"/>
        <v>0</v>
      </c>
      <c r="N83" s="91">
        <f>IF(Crédits!$K$6="",0,MAX(0,MIN(M83,Plan!$L$85-(IF(Crédits!$K$5="",0,IF(Crédits!$K$5&lt;Crédits!$K$6,E83,0))+IF(Crédits!$K$7="",0,IF(Crédits!$K$7&lt;Crédits!$K$6,U83,0))+IF(Crédits!$K$8="",0,IF(Crédits!$K$8&lt;Crédits!$K$6,AC83,0))+IF(Crédits!$K$9="",0,IF(Crédits!$K$9&lt;Crédits!$K$6,AK83,0))+IF(Crédits!$K$10="",0,IF(Crédits!$K$10&lt;Crédits!$K$6,AS83,0))))))</f>
        <v>0</v>
      </c>
      <c r="O83" s="92">
        <f t="shared" si="3"/>
        <v>0</v>
      </c>
      <c r="P83" s="88">
        <f>ROUND(P82+Q83-MIN(N(Crédits!$E$6),P82+Q83),2)</f>
        <v>0</v>
      </c>
      <c r="Q83" s="89">
        <f>P82*N(Crédits!$D$6)/12</f>
        <v>0</v>
      </c>
      <c r="R83" s="93">
        <f t="shared" si="18"/>
        <v>0</v>
      </c>
      <c r="S83" s="93">
        <f>R83*N(Crédits!$D$7)/12</f>
        <v>0</v>
      </c>
      <c r="T83" s="93">
        <f>MIN(N(Crédits!$E$7),R83+S83)</f>
        <v>0</v>
      </c>
      <c r="U83" s="93">
        <f t="shared" si="4"/>
        <v>0</v>
      </c>
      <c r="V83" s="94">
        <f>IF(Crédits!$K$7="",0,MAX(0,MIN(U83,Plan!$L$85-(IF(Crédits!$K$5="",0,IF(Crédits!$K$5&lt;Crédits!$K$7,E83,0))+IF(Crédits!$K$6="",0,IF(Crédits!$K$6&lt;Crédits!$K$7,M83,0))+IF(Crédits!$K$8="",0,IF(Crédits!$K$8&lt;Crédits!$K$7,AC83,0))+IF(Crédits!$K$9="",0,IF(Crédits!$K$9&lt;Crédits!$K$7,AK83,0))+IF(Crédits!$K$10="",0,IF(Crédits!$K$10&lt;Crédits!$K$7,AS83,0))))))</f>
        <v>0</v>
      </c>
      <c r="W83" s="95">
        <f t="shared" si="5"/>
        <v>0</v>
      </c>
      <c r="X83" s="88">
        <f>ROUND(X82+Y83-MIN(N(Crédits!$E$7),X82+Y83),2)</f>
        <v>0</v>
      </c>
      <c r="Y83" s="89">
        <f>X82*N(Crédits!$D$7)/12</f>
        <v>0</v>
      </c>
      <c r="Z83" s="96">
        <f t="shared" si="19"/>
        <v>0</v>
      </c>
      <c r="AA83" s="96">
        <f>Z83*N(Crédits!$D$8)/12</f>
        <v>0</v>
      </c>
      <c r="AB83" s="96">
        <f>MIN(N(Crédits!$E$8),Z83+AA83)</f>
        <v>0</v>
      </c>
      <c r="AC83" s="96">
        <f t="shared" si="6"/>
        <v>0</v>
      </c>
      <c r="AD83" s="97">
        <f>IF(Crédits!$K$8="",0,MAX(0,MIN(AC83,Plan!$L$85-(IF(Crédits!$K$5="",0,IF(Crédits!$K$5&lt;Crédits!$K$8,E83,0))+IF(Crédits!$K$6="",0,IF(Crédits!$K$6&lt;Crédits!$K$8,M83,0))+IF(Crédits!$K$7="",0,IF(Crédits!$K$7&lt;Crédits!$K$8,U83,0))+IF(Crédits!$K$9="",0,IF(Crédits!$K$9&lt;Crédits!$K$8,AK83,0))+IF(Crédits!$K$10="",0,IF(Crédits!$K$10&lt;Crédits!$K$8,AS83,0))))))</f>
        <v>0</v>
      </c>
      <c r="AE83" s="98">
        <f t="shared" si="7"/>
        <v>0</v>
      </c>
      <c r="AF83" s="88">
        <f>ROUND(AF82+AG83-MIN(N(Crédits!$E$8),AF82+AG83),2)</f>
        <v>0</v>
      </c>
      <c r="AG83" s="89">
        <f>AF82*N(Crédits!$D$8)/12</f>
        <v>0</v>
      </c>
      <c r="AH83" s="99">
        <f t="shared" si="20"/>
        <v>0</v>
      </c>
      <c r="AI83" s="99">
        <f>AH83*N(Crédits!$D$9)/12</f>
        <v>0</v>
      </c>
      <c r="AJ83" s="99">
        <f>MIN(N(Crédits!$E$9),AH83+AI83)</f>
        <v>0</v>
      </c>
      <c r="AK83" s="99">
        <f t="shared" si="8"/>
        <v>0</v>
      </c>
      <c r="AL83" s="100">
        <f>IF(Crédits!$K$9="",0,MAX(0,MIN(AK83,Plan!$L$85-(IF(Crédits!$K$5="",0,IF(Crédits!$K$5&lt;Crédits!$K$9,E83,0))+IF(Crédits!$K$6="",0,IF(Crédits!$K$6&lt;Crédits!$K$9,M83,0))+IF(Crédits!$K$7="",0,IF(Crédits!$K$7&lt;Crédits!$K$9,U83,0))+IF(Crédits!$K$8="",0,IF(Crédits!$K$8&lt;Crédits!$K$9,AC83,0))+IF(Crédits!$K$10="",0,IF(Crédits!$K$10&lt;Crédits!$K$9,AS83,0))))))</f>
        <v>0</v>
      </c>
      <c r="AM83" s="101">
        <f t="shared" si="9"/>
        <v>0</v>
      </c>
      <c r="AN83" s="88">
        <f>ROUND(AN82+AO83-MIN(N(Crédits!$E$9),AN82+AO83),2)</f>
        <v>0</v>
      </c>
      <c r="AO83" s="89">
        <f>AN82*N(Crédits!$D$9)/12</f>
        <v>0</v>
      </c>
      <c r="AP83" s="102">
        <f t="shared" si="21"/>
        <v>0</v>
      </c>
      <c r="AQ83" s="102">
        <f>AP83*N(Crédits!$D$10)/12</f>
        <v>0</v>
      </c>
      <c r="AR83" s="102">
        <f>MIN(N(Crédits!$E$10),AP83+AQ83)</f>
        <v>0</v>
      </c>
      <c r="AS83" s="102">
        <f t="shared" si="10"/>
        <v>0</v>
      </c>
      <c r="AT83" s="103">
        <f>IF(Crédits!$K$10="",0,MAX(0,MIN(AS83,Plan!$L$85-(IF(Crédits!$K$5="",0,IF(Crédits!$K$5&lt;Crédits!$K$10,E83,0))+IF(Crédits!$K$6="",0,IF(Crédits!$K$6&lt;Crédits!$K$10,M83,0))+IF(Crédits!$K$7="",0,IF(Crédits!$K$7&lt;Crédits!$K$10,U83,0))+IF(Crédits!$K$8="",0,IF(Crédits!$K$8&lt;Crédits!$K$10,AC83,0))+IF(Crédits!$K$9="",0,IF(Crédits!$K$9&lt;Crédits!$K$10,AK83,0))))))</f>
        <v>0</v>
      </c>
      <c r="AU83" s="104">
        <f t="shared" si="11"/>
        <v>0</v>
      </c>
      <c r="AV83" s="88">
        <f>ROUND(AV82+AW83-MIN(N(Crédits!$E$10),AV82+AW83),2)</f>
        <v>0</v>
      </c>
      <c r="AW83" s="89">
        <f>AV82*N(Crédits!$D$10)/12</f>
        <v>0</v>
      </c>
      <c r="AX83" s="105">
        <f t="shared" si="12"/>
        <v>0</v>
      </c>
      <c r="AY83" s="105">
        <f t="shared" ref="AY83:AZ83" si="101">F83+N83+V83+AD83+AL83+AT83</f>
        <v>0</v>
      </c>
      <c r="AZ83" s="105">
        <f t="shared" si="101"/>
        <v>0</v>
      </c>
      <c r="BA83" s="105">
        <f t="shared" si="14"/>
        <v>0</v>
      </c>
      <c r="BB83" s="105">
        <f t="shared" si="15"/>
        <v>0</v>
      </c>
    </row>
    <row r="84" spans="1:54" ht="15" customHeight="1" x14ac:dyDescent="0.25">
      <c r="A84" s="2">
        <v>82</v>
      </c>
      <c r="B84" s="83">
        <f t="shared" si="16"/>
        <v>0</v>
      </c>
      <c r="C84" s="83">
        <f>B84*N(Crédits!$D$5)/12</f>
        <v>0</v>
      </c>
      <c r="D84" s="83">
        <f>MIN(N(Crédits!$E$5),B84+C84)</f>
        <v>0</v>
      </c>
      <c r="E84" s="83">
        <f t="shared" si="0"/>
        <v>0</v>
      </c>
      <c r="F84" s="86">
        <f>IF(Crédits!$K$5="",0,MAX(0,MIN(E84,Plan!$L$86-(IF(Crédits!$K$6="",0,IF(Crédits!$K$6&lt;Crédits!$K$5,M84,0))+IF(Crédits!$K$7="",0,IF(Crédits!$K$7&lt;Crédits!$K$5,U84,0))+IF(Crédits!$K$8="",0,IF(Crédits!$K$8&lt;Crédits!$K$5,AC84,0))+IF(Crédits!$K$9="",0,IF(Crédits!$K$9&lt;Crédits!$K$5,AK84,0))+IF(Crédits!$K$10="",0,IF(Crédits!$K$10&lt;Crédits!$K$5,AS84,0))))))</f>
        <v>0</v>
      </c>
      <c r="G84" s="87">
        <f t="shared" si="1"/>
        <v>0</v>
      </c>
      <c r="H84" s="88">
        <f>ROUND(H83+I84-MIN(N(Crédits!$E$5),H83+I84),2)</f>
        <v>0</v>
      </c>
      <c r="I84" s="89">
        <f>H83*N(Crédits!$D$5)/12</f>
        <v>0</v>
      </c>
      <c r="J84" s="90">
        <f t="shared" si="17"/>
        <v>0</v>
      </c>
      <c r="K84" s="90">
        <f>J84*N(Crédits!$D$6)/12</f>
        <v>0</v>
      </c>
      <c r="L84" s="90">
        <f>MIN(N(Crédits!$E$6),J84+K84)</f>
        <v>0</v>
      </c>
      <c r="M84" s="90">
        <f t="shared" si="2"/>
        <v>0</v>
      </c>
      <c r="N84" s="91">
        <f>IF(Crédits!$K$6="",0,MAX(0,MIN(M84,Plan!$L$86-(IF(Crédits!$K$5="",0,IF(Crédits!$K$5&lt;Crédits!$K$6,E84,0))+IF(Crédits!$K$7="",0,IF(Crédits!$K$7&lt;Crédits!$K$6,U84,0))+IF(Crédits!$K$8="",0,IF(Crédits!$K$8&lt;Crédits!$K$6,AC84,0))+IF(Crédits!$K$9="",0,IF(Crédits!$K$9&lt;Crédits!$K$6,AK84,0))+IF(Crédits!$K$10="",0,IF(Crédits!$K$10&lt;Crédits!$K$6,AS84,0))))))</f>
        <v>0</v>
      </c>
      <c r="O84" s="92">
        <f t="shared" si="3"/>
        <v>0</v>
      </c>
      <c r="P84" s="88">
        <f>ROUND(P83+Q84-MIN(N(Crédits!$E$6),P83+Q84),2)</f>
        <v>0</v>
      </c>
      <c r="Q84" s="89">
        <f>P83*N(Crédits!$D$6)/12</f>
        <v>0</v>
      </c>
      <c r="R84" s="93">
        <f t="shared" si="18"/>
        <v>0</v>
      </c>
      <c r="S84" s="93">
        <f>R84*N(Crédits!$D$7)/12</f>
        <v>0</v>
      </c>
      <c r="T84" s="93">
        <f>MIN(N(Crédits!$E$7),R84+S84)</f>
        <v>0</v>
      </c>
      <c r="U84" s="93">
        <f t="shared" si="4"/>
        <v>0</v>
      </c>
      <c r="V84" s="94">
        <f>IF(Crédits!$K$7="",0,MAX(0,MIN(U84,Plan!$L$86-(IF(Crédits!$K$5="",0,IF(Crédits!$K$5&lt;Crédits!$K$7,E84,0))+IF(Crédits!$K$6="",0,IF(Crédits!$K$6&lt;Crédits!$K$7,M84,0))+IF(Crédits!$K$8="",0,IF(Crédits!$K$8&lt;Crédits!$K$7,AC84,0))+IF(Crédits!$K$9="",0,IF(Crédits!$K$9&lt;Crédits!$K$7,AK84,0))+IF(Crédits!$K$10="",0,IF(Crédits!$K$10&lt;Crédits!$K$7,AS84,0))))))</f>
        <v>0</v>
      </c>
      <c r="W84" s="95">
        <f t="shared" si="5"/>
        <v>0</v>
      </c>
      <c r="X84" s="88">
        <f>ROUND(X83+Y84-MIN(N(Crédits!$E$7),X83+Y84),2)</f>
        <v>0</v>
      </c>
      <c r="Y84" s="89">
        <f>X83*N(Crédits!$D$7)/12</f>
        <v>0</v>
      </c>
      <c r="Z84" s="96">
        <f t="shared" si="19"/>
        <v>0</v>
      </c>
      <c r="AA84" s="96">
        <f>Z84*N(Crédits!$D$8)/12</f>
        <v>0</v>
      </c>
      <c r="AB84" s="96">
        <f>MIN(N(Crédits!$E$8),Z84+AA84)</f>
        <v>0</v>
      </c>
      <c r="AC84" s="96">
        <f t="shared" si="6"/>
        <v>0</v>
      </c>
      <c r="AD84" s="97">
        <f>IF(Crédits!$K$8="",0,MAX(0,MIN(AC84,Plan!$L$86-(IF(Crédits!$K$5="",0,IF(Crédits!$K$5&lt;Crédits!$K$8,E84,0))+IF(Crédits!$K$6="",0,IF(Crédits!$K$6&lt;Crédits!$K$8,M84,0))+IF(Crédits!$K$7="",0,IF(Crédits!$K$7&lt;Crédits!$K$8,U84,0))+IF(Crédits!$K$9="",0,IF(Crédits!$K$9&lt;Crédits!$K$8,AK84,0))+IF(Crédits!$K$10="",0,IF(Crédits!$K$10&lt;Crédits!$K$8,AS84,0))))))</f>
        <v>0</v>
      </c>
      <c r="AE84" s="98">
        <f t="shared" si="7"/>
        <v>0</v>
      </c>
      <c r="AF84" s="88">
        <f>ROUND(AF83+AG84-MIN(N(Crédits!$E$8),AF83+AG84),2)</f>
        <v>0</v>
      </c>
      <c r="AG84" s="89">
        <f>AF83*N(Crédits!$D$8)/12</f>
        <v>0</v>
      </c>
      <c r="AH84" s="99">
        <f t="shared" si="20"/>
        <v>0</v>
      </c>
      <c r="AI84" s="99">
        <f>AH84*N(Crédits!$D$9)/12</f>
        <v>0</v>
      </c>
      <c r="AJ84" s="99">
        <f>MIN(N(Crédits!$E$9),AH84+AI84)</f>
        <v>0</v>
      </c>
      <c r="AK84" s="99">
        <f t="shared" si="8"/>
        <v>0</v>
      </c>
      <c r="AL84" s="100">
        <f>IF(Crédits!$K$9="",0,MAX(0,MIN(AK84,Plan!$L$86-(IF(Crédits!$K$5="",0,IF(Crédits!$K$5&lt;Crédits!$K$9,E84,0))+IF(Crédits!$K$6="",0,IF(Crédits!$K$6&lt;Crédits!$K$9,M84,0))+IF(Crédits!$K$7="",0,IF(Crédits!$K$7&lt;Crédits!$K$9,U84,0))+IF(Crédits!$K$8="",0,IF(Crédits!$K$8&lt;Crédits!$K$9,AC84,0))+IF(Crédits!$K$10="",0,IF(Crédits!$K$10&lt;Crédits!$K$9,AS84,0))))))</f>
        <v>0</v>
      </c>
      <c r="AM84" s="101">
        <f t="shared" si="9"/>
        <v>0</v>
      </c>
      <c r="AN84" s="88">
        <f>ROUND(AN83+AO84-MIN(N(Crédits!$E$9),AN83+AO84),2)</f>
        <v>0</v>
      </c>
      <c r="AO84" s="89">
        <f>AN83*N(Crédits!$D$9)/12</f>
        <v>0</v>
      </c>
      <c r="AP84" s="102">
        <f t="shared" si="21"/>
        <v>0</v>
      </c>
      <c r="AQ84" s="102">
        <f>AP84*N(Crédits!$D$10)/12</f>
        <v>0</v>
      </c>
      <c r="AR84" s="102">
        <f>MIN(N(Crédits!$E$10),AP84+AQ84)</f>
        <v>0</v>
      </c>
      <c r="AS84" s="102">
        <f t="shared" si="10"/>
        <v>0</v>
      </c>
      <c r="AT84" s="103">
        <f>IF(Crédits!$K$10="",0,MAX(0,MIN(AS84,Plan!$L$86-(IF(Crédits!$K$5="",0,IF(Crédits!$K$5&lt;Crédits!$K$10,E84,0))+IF(Crédits!$K$6="",0,IF(Crédits!$K$6&lt;Crédits!$K$10,M84,0))+IF(Crédits!$K$7="",0,IF(Crédits!$K$7&lt;Crédits!$K$10,U84,0))+IF(Crédits!$K$8="",0,IF(Crédits!$K$8&lt;Crédits!$K$10,AC84,0))+IF(Crédits!$K$9="",0,IF(Crédits!$K$9&lt;Crédits!$K$10,AK84,0))))))</f>
        <v>0</v>
      </c>
      <c r="AU84" s="104">
        <f t="shared" si="11"/>
        <v>0</v>
      </c>
      <c r="AV84" s="88">
        <f>ROUND(AV83+AW84-MIN(N(Crédits!$E$10),AV83+AW84),2)</f>
        <v>0</v>
      </c>
      <c r="AW84" s="89">
        <f>AV83*N(Crédits!$D$10)/12</f>
        <v>0</v>
      </c>
      <c r="AX84" s="105">
        <f t="shared" si="12"/>
        <v>0</v>
      </c>
      <c r="AY84" s="105">
        <f t="shared" ref="AY84:AZ84" si="102">F84+N84+V84+AD84+AL84+AT84</f>
        <v>0</v>
      </c>
      <c r="AZ84" s="105">
        <f t="shared" si="102"/>
        <v>0</v>
      </c>
      <c r="BA84" s="105">
        <f t="shared" si="14"/>
        <v>0</v>
      </c>
      <c r="BB84" s="105">
        <f t="shared" si="15"/>
        <v>0</v>
      </c>
    </row>
    <row r="85" spans="1:54" ht="15" customHeight="1" x14ac:dyDescent="0.25">
      <c r="A85" s="2">
        <v>83</v>
      </c>
      <c r="B85" s="83">
        <f t="shared" si="16"/>
        <v>0</v>
      </c>
      <c r="C85" s="83">
        <f>B85*N(Crédits!$D$5)/12</f>
        <v>0</v>
      </c>
      <c r="D85" s="83">
        <f>MIN(N(Crédits!$E$5),B85+C85)</f>
        <v>0</v>
      </c>
      <c r="E85" s="83">
        <f t="shared" si="0"/>
        <v>0</v>
      </c>
      <c r="F85" s="86">
        <f>IF(Crédits!$K$5="",0,MAX(0,MIN(E85,Plan!$L$87-(IF(Crédits!$K$6="",0,IF(Crédits!$K$6&lt;Crédits!$K$5,M85,0))+IF(Crédits!$K$7="",0,IF(Crédits!$K$7&lt;Crédits!$K$5,U85,0))+IF(Crédits!$K$8="",0,IF(Crédits!$K$8&lt;Crédits!$K$5,AC85,0))+IF(Crédits!$K$9="",0,IF(Crédits!$K$9&lt;Crédits!$K$5,AK85,0))+IF(Crédits!$K$10="",0,IF(Crédits!$K$10&lt;Crédits!$K$5,AS85,0))))))</f>
        <v>0</v>
      </c>
      <c r="G85" s="87">
        <f t="shared" si="1"/>
        <v>0</v>
      </c>
      <c r="H85" s="88">
        <f>ROUND(H84+I85-MIN(N(Crédits!$E$5),H84+I85),2)</f>
        <v>0</v>
      </c>
      <c r="I85" s="89">
        <f>H84*N(Crédits!$D$5)/12</f>
        <v>0</v>
      </c>
      <c r="J85" s="90">
        <f t="shared" si="17"/>
        <v>0</v>
      </c>
      <c r="K85" s="90">
        <f>J85*N(Crédits!$D$6)/12</f>
        <v>0</v>
      </c>
      <c r="L85" s="90">
        <f>MIN(N(Crédits!$E$6),J85+K85)</f>
        <v>0</v>
      </c>
      <c r="M85" s="90">
        <f t="shared" si="2"/>
        <v>0</v>
      </c>
      <c r="N85" s="91">
        <f>IF(Crédits!$K$6="",0,MAX(0,MIN(M85,Plan!$L$87-(IF(Crédits!$K$5="",0,IF(Crédits!$K$5&lt;Crédits!$K$6,E85,0))+IF(Crédits!$K$7="",0,IF(Crédits!$K$7&lt;Crédits!$K$6,U85,0))+IF(Crédits!$K$8="",0,IF(Crédits!$K$8&lt;Crédits!$K$6,AC85,0))+IF(Crédits!$K$9="",0,IF(Crédits!$K$9&lt;Crédits!$K$6,AK85,0))+IF(Crédits!$K$10="",0,IF(Crédits!$K$10&lt;Crédits!$K$6,AS85,0))))))</f>
        <v>0</v>
      </c>
      <c r="O85" s="92">
        <f t="shared" si="3"/>
        <v>0</v>
      </c>
      <c r="P85" s="88">
        <f>ROUND(P84+Q85-MIN(N(Crédits!$E$6),P84+Q85),2)</f>
        <v>0</v>
      </c>
      <c r="Q85" s="89">
        <f>P84*N(Crédits!$D$6)/12</f>
        <v>0</v>
      </c>
      <c r="R85" s="93">
        <f t="shared" si="18"/>
        <v>0</v>
      </c>
      <c r="S85" s="93">
        <f>R85*N(Crédits!$D$7)/12</f>
        <v>0</v>
      </c>
      <c r="T85" s="93">
        <f>MIN(N(Crédits!$E$7),R85+S85)</f>
        <v>0</v>
      </c>
      <c r="U85" s="93">
        <f t="shared" si="4"/>
        <v>0</v>
      </c>
      <c r="V85" s="94">
        <f>IF(Crédits!$K$7="",0,MAX(0,MIN(U85,Plan!$L$87-(IF(Crédits!$K$5="",0,IF(Crédits!$K$5&lt;Crédits!$K$7,E85,0))+IF(Crédits!$K$6="",0,IF(Crédits!$K$6&lt;Crédits!$K$7,M85,0))+IF(Crédits!$K$8="",0,IF(Crédits!$K$8&lt;Crédits!$K$7,AC85,0))+IF(Crédits!$K$9="",0,IF(Crédits!$K$9&lt;Crédits!$K$7,AK85,0))+IF(Crédits!$K$10="",0,IF(Crédits!$K$10&lt;Crédits!$K$7,AS85,0))))))</f>
        <v>0</v>
      </c>
      <c r="W85" s="95">
        <f t="shared" si="5"/>
        <v>0</v>
      </c>
      <c r="X85" s="88">
        <f>ROUND(X84+Y85-MIN(N(Crédits!$E$7),X84+Y85),2)</f>
        <v>0</v>
      </c>
      <c r="Y85" s="89">
        <f>X84*N(Crédits!$D$7)/12</f>
        <v>0</v>
      </c>
      <c r="Z85" s="96">
        <f t="shared" si="19"/>
        <v>0</v>
      </c>
      <c r="AA85" s="96">
        <f>Z85*N(Crédits!$D$8)/12</f>
        <v>0</v>
      </c>
      <c r="AB85" s="96">
        <f>MIN(N(Crédits!$E$8),Z85+AA85)</f>
        <v>0</v>
      </c>
      <c r="AC85" s="96">
        <f t="shared" si="6"/>
        <v>0</v>
      </c>
      <c r="AD85" s="97">
        <f>IF(Crédits!$K$8="",0,MAX(0,MIN(AC85,Plan!$L$87-(IF(Crédits!$K$5="",0,IF(Crédits!$K$5&lt;Crédits!$K$8,E85,0))+IF(Crédits!$K$6="",0,IF(Crédits!$K$6&lt;Crédits!$K$8,M85,0))+IF(Crédits!$K$7="",0,IF(Crédits!$K$7&lt;Crédits!$K$8,U85,0))+IF(Crédits!$K$9="",0,IF(Crédits!$K$9&lt;Crédits!$K$8,AK85,0))+IF(Crédits!$K$10="",0,IF(Crédits!$K$10&lt;Crédits!$K$8,AS85,0))))))</f>
        <v>0</v>
      </c>
      <c r="AE85" s="98">
        <f t="shared" si="7"/>
        <v>0</v>
      </c>
      <c r="AF85" s="88">
        <f>ROUND(AF84+AG85-MIN(N(Crédits!$E$8),AF84+AG85),2)</f>
        <v>0</v>
      </c>
      <c r="AG85" s="89">
        <f>AF84*N(Crédits!$D$8)/12</f>
        <v>0</v>
      </c>
      <c r="AH85" s="99">
        <f t="shared" si="20"/>
        <v>0</v>
      </c>
      <c r="AI85" s="99">
        <f>AH85*N(Crédits!$D$9)/12</f>
        <v>0</v>
      </c>
      <c r="AJ85" s="99">
        <f>MIN(N(Crédits!$E$9),AH85+AI85)</f>
        <v>0</v>
      </c>
      <c r="AK85" s="99">
        <f t="shared" si="8"/>
        <v>0</v>
      </c>
      <c r="AL85" s="100">
        <f>IF(Crédits!$K$9="",0,MAX(0,MIN(AK85,Plan!$L$87-(IF(Crédits!$K$5="",0,IF(Crédits!$K$5&lt;Crédits!$K$9,E85,0))+IF(Crédits!$K$6="",0,IF(Crédits!$K$6&lt;Crédits!$K$9,M85,0))+IF(Crédits!$K$7="",0,IF(Crédits!$K$7&lt;Crédits!$K$9,U85,0))+IF(Crédits!$K$8="",0,IF(Crédits!$K$8&lt;Crédits!$K$9,AC85,0))+IF(Crédits!$K$10="",0,IF(Crédits!$K$10&lt;Crédits!$K$9,AS85,0))))))</f>
        <v>0</v>
      </c>
      <c r="AM85" s="101">
        <f t="shared" si="9"/>
        <v>0</v>
      </c>
      <c r="AN85" s="88">
        <f>ROUND(AN84+AO85-MIN(N(Crédits!$E$9),AN84+AO85),2)</f>
        <v>0</v>
      </c>
      <c r="AO85" s="89">
        <f>AN84*N(Crédits!$D$9)/12</f>
        <v>0</v>
      </c>
      <c r="AP85" s="102">
        <f t="shared" si="21"/>
        <v>0</v>
      </c>
      <c r="AQ85" s="102">
        <f>AP85*N(Crédits!$D$10)/12</f>
        <v>0</v>
      </c>
      <c r="AR85" s="102">
        <f>MIN(N(Crédits!$E$10),AP85+AQ85)</f>
        <v>0</v>
      </c>
      <c r="AS85" s="102">
        <f t="shared" si="10"/>
        <v>0</v>
      </c>
      <c r="AT85" s="103">
        <f>IF(Crédits!$K$10="",0,MAX(0,MIN(AS85,Plan!$L$87-(IF(Crédits!$K$5="",0,IF(Crédits!$K$5&lt;Crédits!$K$10,E85,0))+IF(Crédits!$K$6="",0,IF(Crédits!$K$6&lt;Crédits!$K$10,M85,0))+IF(Crédits!$K$7="",0,IF(Crédits!$K$7&lt;Crédits!$K$10,U85,0))+IF(Crédits!$K$8="",0,IF(Crédits!$K$8&lt;Crédits!$K$10,AC85,0))+IF(Crédits!$K$9="",0,IF(Crédits!$K$9&lt;Crédits!$K$10,AK85,0))))))</f>
        <v>0</v>
      </c>
      <c r="AU85" s="104">
        <f t="shared" si="11"/>
        <v>0</v>
      </c>
      <c r="AV85" s="88">
        <f>ROUND(AV84+AW85-MIN(N(Crédits!$E$10),AV84+AW85),2)</f>
        <v>0</v>
      </c>
      <c r="AW85" s="89">
        <f>AV84*N(Crédits!$D$10)/12</f>
        <v>0</v>
      </c>
      <c r="AX85" s="105">
        <f t="shared" si="12"/>
        <v>0</v>
      </c>
      <c r="AY85" s="105">
        <f t="shared" ref="AY85:AZ85" si="103">F85+N85+V85+AD85+AL85+AT85</f>
        <v>0</v>
      </c>
      <c r="AZ85" s="105">
        <f t="shared" si="103"/>
        <v>0</v>
      </c>
      <c r="BA85" s="105">
        <f t="shared" si="14"/>
        <v>0</v>
      </c>
      <c r="BB85" s="105">
        <f t="shared" si="15"/>
        <v>0</v>
      </c>
    </row>
    <row r="86" spans="1:54" ht="15" customHeight="1" x14ac:dyDescent="0.25">
      <c r="A86" s="2">
        <v>84</v>
      </c>
      <c r="B86" s="83">
        <f t="shared" si="16"/>
        <v>0</v>
      </c>
      <c r="C86" s="83">
        <f>B86*N(Crédits!$D$5)/12</f>
        <v>0</v>
      </c>
      <c r="D86" s="83">
        <f>MIN(N(Crédits!$E$5),B86+C86)</f>
        <v>0</v>
      </c>
      <c r="E86" s="83">
        <f t="shared" si="0"/>
        <v>0</v>
      </c>
      <c r="F86" s="86">
        <f>IF(Crédits!$K$5="",0,MAX(0,MIN(E86,Plan!$L$88-(IF(Crédits!$K$6="",0,IF(Crédits!$K$6&lt;Crédits!$K$5,M86,0))+IF(Crédits!$K$7="",0,IF(Crédits!$K$7&lt;Crédits!$K$5,U86,0))+IF(Crédits!$K$8="",0,IF(Crédits!$K$8&lt;Crédits!$K$5,AC86,0))+IF(Crédits!$K$9="",0,IF(Crédits!$K$9&lt;Crédits!$K$5,AK86,0))+IF(Crédits!$K$10="",0,IF(Crédits!$K$10&lt;Crédits!$K$5,AS86,0))))))</f>
        <v>0</v>
      </c>
      <c r="G86" s="87">
        <f t="shared" si="1"/>
        <v>0</v>
      </c>
      <c r="H86" s="88">
        <f>ROUND(H85+I86-MIN(N(Crédits!$E$5),H85+I86),2)</f>
        <v>0</v>
      </c>
      <c r="I86" s="89">
        <f>H85*N(Crédits!$D$5)/12</f>
        <v>0</v>
      </c>
      <c r="J86" s="90">
        <f t="shared" si="17"/>
        <v>0</v>
      </c>
      <c r="K86" s="90">
        <f>J86*N(Crédits!$D$6)/12</f>
        <v>0</v>
      </c>
      <c r="L86" s="90">
        <f>MIN(N(Crédits!$E$6),J86+K86)</f>
        <v>0</v>
      </c>
      <c r="M86" s="90">
        <f t="shared" si="2"/>
        <v>0</v>
      </c>
      <c r="N86" s="91">
        <f>IF(Crédits!$K$6="",0,MAX(0,MIN(M86,Plan!$L$88-(IF(Crédits!$K$5="",0,IF(Crédits!$K$5&lt;Crédits!$K$6,E86,0))+IF(Crédits!$K$7="",0,IF(Crédits!$K$7&lt;Crédits!$K$6,U86,0))+IF(Crédits!$K$8="",0,IF(Crédits!$K$8&lt;Crédits!$K$6,AC86,0))+IF(Crédits!$K$9="",0,IF(Crédits!$K$9&lt;Crédits!$K$6,AK86,0))+IF(Crédits!$K$10="",0,IF(Crédits!$K$10&lt;Crédits!$K$6,AS86,0))))))</f>
        <v>0</v>
      </c>
      <c r="O86" s="92">
        <f t="shared" si="3"/>
        <v>0</v>
      </c>
      <c r="P86" s="88">
        <f>ROUND(P85+Q86-MIN(N(Crédits!$E$6),P85+Q86),2)</f>
        <v>0</v>
      </c>
      <c r="Q86" s="89">
        <f>P85*N(Crédits!$D$6)/12</f>
        <v>0</v>
      </c>
      <c r="R86" s="93">
        <f t="shared" si="18"/>
        <v>0</v>
      </c>
      <c r="S86" s="93">
        <f>R86*N(Crédits!$D$7)/12</f>
        <v>0</v>
      </c>
      <c r="T86" s="93">
        <f>MIN(N(Crédits!$E$7),R86+S86)</f>
        <v>0</v>
      </c>
      <c r="U86" s="93">
        <f t="shared" si="4"/>
        <v>0</v>
      </c>
      <c r="V86" s="94">
        <f>IF(Crédits!$K$7="",0,MAX(0,MIN(U86,Plan!$L$88-(IF(Crédits!$K$5="",0,IF(Crédits!$K$5&lt;Crédits!$K$7,E86,0))+IF(Crédits!$K$6="",0,IF(Crédits!$K$6&lt;Crédits!$K$7,M86,0))+IF(Crédits!$K$8="",0,IF(Crédits!$K$8&lt;Crédits!$K$7,AC86,0))+IF(Crédits!$K$9="",0,IF(Crédits!$K$9&lt;Crédits!$K$7,AK86,0))+IF(Crédits!$K$10="",0,IF(Crédits!$K$10&lt;Crédits!$K$7,AS86,0))))))</f>
        <v>0</v>
      </c>
      <c r="W86" s="95">
        <f t="shared" si="5"/>
        <v>0</v>
      </c>
      <c r="X86" s="88">
        <f>ROUND(X85+Y86-MIN(N(Crédits!$E$7),X85+Y86),2)</f>
        <v>0</v>
      </c>
      <c r="Y86" s="89">
        <f>X85*N(Crédits!$D$7)/12</f>
        <v>0</v>
      </c>
      <c r="Z86" s="96">
        <f t="shared" si="19"/>
        <v>0</v>
      </c>
      <c r="AA86" s="96">
        <f>Z86*N(Crédits!$D$8)/12</f>
        <v>0</v>
      </c>
      <c r="AB86" s="96">
        <f>MIN(N(Crédits!$E$8),Z86+AA86)</f>
        <v>0</v>
      </c>
      <c r="AC86" s="96">
        <f t="shared" si="6"/>
        <v>0</v>
      </c>
      <c r="AD86" s="97">
        <f>IF(Crédits!$K$8="",0,MAX(0,MIN(AC86,Plan!$L$88-(IF(Crédits!$K$5="",0,IF(Crédits!$K$5&lt;Crédits!$K$8,E86,0))+IF(Crédits!$K$6="",0,IF(Crédits!$K$6&lt;Crédits!$K$8,M86,0))+IF(Crédits!$K$7="",0,IF(Crédits!$K$7&lt;Crédits!$K$8,U86,0))+IF(Crédits!$K$9="",0,IF(Crédits!$K$9&lt;Crédits!$K$8,AK86,0))+IF(Crédits!$K$10="",0,IF(Crédits!$K$10&lt;Crédits!$K$8,AS86,0))))))</f>
        <v>0</v>
      </c>
      <c r="AE86" s="98">
        <f t="shared" si="7"/>
        <v>0</v>
      </c>
      <c r="AF86" s="88">
        <f>ROUND(AF85+AG86-MIN(N(Crédits!$E$8),AF85+AG86),2)</f>
        <v>0</v>
      </c>
      <c r="AG86" s="89">
        <f>AF85*N(Crédits!$D$8)/12</f>
        <v>0</v>
      </c>
      <c r="AH86" s="99">
        <f t="shared" si="20"/>
        <v>0</v>
      </c>
      <c r="AI86" s="99">
        <f>AH86*N(Crédits!$D$9)/12</f>
        <v>0</v>
      </c>
      <c r="AJ86" s="99">
        <f>MIN(N(Crédits!$E$9),AH86+AI86)</f>
        <v>0</v>
      </c>
      <c r="AK86" s="99">
        <f t="shared" si="8"/>
        <v>0</v>
      </c>
      <c r="AL86" s="100">
        <f>IF(Crédits!$K$9="",0,MAX(0,MIN(AK86,Plan!$L$88-(IF(Crédits!$K$5="",0,IF(Crédits!$K$5&lt;Crédits!$K$9,E86,0))+IF(Crédits!$K$6="",0,IF(Crédits!$K$6&lt;Crédits!$K$9,M86,0))+IF(Crédits!$K$7="",0,IF(Crédits!$K$7&lt;Crédits!$K$9,U86,0))+IF(Crédits!$K$8="",0,IF(Crédits!$K$8&lt;Crédits!$K$9,AC86,0))+IF(Crédits!$K$10="",0,IF(Crédits!$K$10&lt;Crédits!$K$9,AS86,0))))))</f>
        <v>0</v>
      </c>
      <c r="AM86" s="101">
        <f t="shared" si="9"/>
        <v>0</v>
      </c>
      <c r="AN86" s="88">
        <f>ROUND(AN85+AO86-MIN(N(Crédits!$E$9),AN85+AO86),2)</f>
        <v>0</v>
      </c>
      <c r="AO86" s="89">
        <f>AN85*N(Crédits!$D$9)/12</f>
        <v>0</v>
      </c>
      <c r="AP86" s="102">
        <f t="shared" si="21"/>
        <v>0</v>
      </c>
      <c r="AQ86" s="102">
        <f>AP86*N(Crédits!$D$10)/12</f>
        <v>0</v>
      </c>
      <c r="AR86" s="102">
        <f>MIN(N(Crédits!$E$10),AP86+AQ86)</f>
        <v>0</v>
      </c>
      <c r="AS86" s="102">
        <f t="shared" si="10"/>
        <v>0</v>
      </c>
      <c r="AT86" s="103">
        <f>IF(Crédits!$K$10="",0,MAX(0,MIN(AS86,Plan!$L$88-(IF(Crédits!$K$5="",0,IF(Crédits!$K$5&lt;Crédits!$K$10,E86,0))+IF(Crédits!$K$6="",0,IF(Crédits!$K$6&lt;Crédits!$K$10,M86,0))+IF(Crédits!$K$7="",0,IF(Crédits!$K$7&lt;Crédits!$K$10,U86,0))+IF(Crédits!$K$8="",0,IF(Crédits!$K$8&lt;Crédits!$K$10,AC86,0))+IF(Crédits!$K$9="",0,IF(Crédits!$K$9&lt;Crédits!$K$10,AK86,0))))))</f>
        <v>0</v>
      </c>
      <c r="AU86" s="104">
        <f t="shared" si="11"/>
        <v>0</v>
      </c>
      <c r="AV86" s="88">
        <f>ROUND(AV85+AW86-MIN(N(Crédits!$E$10),AV85+AW86),2)</f>
        <v>0</v>
      </c>
      <c r="AW86" s="89">
        <f>AV85*N(Crédits!$D$10)/12</f>
        <v>0</v>
      </c>
      <c r="AX86" s="105">
        <f t="shared" si="12"/>
        <v>0</v>
      </c>
      <c r="AY86" s="105">
        <f t="shared" ref="AY86:AZ86" si="104">F86+N86+V86+AD86+AL86+AT86</f>
        <v>0</v>
      </c>
      <c r="AZ86" s="105">
        <f t="shared" si="104"/>
        <v>0</v>
      </c>
      <c r="BA86" s="105">
        <f t="shared" si="14"/>
        <v>0</v>
      </c>
      <c r="BB86" s="105">
        <f t="shared" si="15"/>
        <v>0</v>
      </c>
    </row>
    <row r="87" spans="1:54" ht="15" customHeight="1" x14ac:dyDescent="0.25">
      <c r="A87" s="2">
        <v>85</v>
      </c>
      <c r="B87" s="83">
        <f t="shared" si="16"/>
        <v>0</v>
      </c>
      <c r="C87" s="83">
        <f>B87*N(Crédits!$D$5)/12</f>
        <v>0</v>
      </c>
      <c r="D87" s="83">
        <f>MIN(N(Crédits!$E$5),B87+C87)</f>
        <v>0</v>
      </c>
      <c r="E87" s="83">
        <f t="shared" si="0"/>
        <v>0</v>
      </c>
      <c r="F87" s="86">
        <f>IF(Crédits!$K$5="",0,MAX(0,MIN(E87,Plan!$L$89-(IF(Crédits!$K$6="",0,IF(Crédits!$K$6&lt;Crédits!$K$5,M87,0))+IF(Crédits!$K$7="",0,IF(Crédits!$K$7&lt;Crédits!$K$5,U87,0))+IF(Crédits!$K$8="",0,IF(Crédits!$K$8&lt;Crédits!$K$5,AC87,0))+IF(Crédits!$K$9="",0,IF(Crédits!$K$9&lt;Crédits!$K$5,AK87,0))+IF(Crédits!$K$10="",0,IF(Crédits!$K$10&lt;Crédits!$K$5,AS87,0))))))</f>
        <v>0</v>
      </c>
      <c r="G87" s="87">
        <f t="shared" si="1"/>
        <v>0</v>
      </c>
      <c r="H87" s="88">
        <f>ROUND(H86+I87-MIN(N(Crédits!$E$5),H86+I87),2)</f>
        <v>0</v>
      </c>
      <c r="I87" s="89">
        <f>H86*N(Crédits!$D$5)/12</f>
        <v>0</v>
      </c>
      <c r="J87" s="90">
        <f t="shared" si="17"/>
        <v>0</v>
      </c>
      <c r="K87" s="90">
        <f>J87*N(Crédits!$D$6)/12</f>
        <v>0</v>
      </c>
      <c r="L87" s="90">
        <f>MIN(N(Crédits!$E$6),J87+K87)</f>
        <v>0</v>
      </c>
      <c r="M87" s="90">
        <f t="shared" si="2"/>
        <v>0</v>
      </c>
      <c r="N87" s="91">
        <f>IF(Crédits!$K$6="",0,MAX(0,MIN(M87,Plan!$L$89-(IF(Crédits!$K$5="",0,IF(Crédits!$K$5&lt;Crédits!$K$6,E87,0))+IF(Crédits!$K$7="",0,IF(Crédits!$K$7&lt;Crédits!$K$6,U87,0))+IF(Crédits!$K$8="",0,IF(Crédits!$K$8&lt;Crédits!$K$6,AC87,0))+IF(Crédits!$K$9="",0,IF(Crédits!$K$9&lt;Crédits!$K$6,AK87,0))+IF(Crédits!$K$10="",0,IF(Crédits!$K$10&lt;Crédits!$K$6,AS87,0))))))</f>
        <v>0</v>
      </c>
      <c r="O87" s="92">
        <f t="shared" si="3"/>
        <v>0</v>
      </c>
      <c r="P87" s="88">
        <f>ROUND(P86+Q87-MIN(N(Crédits!$E$6),P86+Q87),2)</f>
        <v>0</v>
      </c>
      <c r="Q87" s="89">
        <f>P86*N(Crédits!$D$6)/12</f>
        <v>0</v>
      </c>
      <c r="R87" s="93">
        <f t="shared" si="18"/>
        <v>0</v>
      </c>
      <c r="S87" s="93">
        <f>R87*N(Crédits!$D$7)/12</f>
        <v>0</v>
      </c>
      <c r="T87" s="93">
        <f>MIN(N(Crédits!$E$7),R87+S87)</f>
        <v>0</v>
      </c>
      <c r="U87" s="93">
        <f t="shared" si="4"/>
        <v>0</v>
      </c>
      <c r="V87" s="94">
        <f>IF(Crédits!$K$7="",0,MAX(0,MIN(U87,Plan!$L$89-(IF(Crédits!$K$5="",0,IF(Crédits!$K$5&lt;Crédits!$K$7,E87,0))+IF(Crédits!$K$6="",0,IF(Crédits!$K$6&lt;Crédits!$K$7,M87,0))+IF(Crédits!$K$8="",0,IF(Crédits!$K$8&lt;Crédits!$K$7,AC87,0))+IF(Crédits!$K$9="",0,IF(Crédits!$K$9&lt;Crédits!$K$7,AK87,0))+IF(Crédits!$K$10="",0,IF(Crédits!$K$10&lt;Crédits!$K$7,AS87,0))))))</f>
        <v>0</v>
      </c>
      <c r="W87" s="95">
        <f t="shared" si="5"/>
        <v>0</v>
      </c>
      <c r="X87" s="88">
        <f>ROUND(X86+Y87-MIN(N(Crédits!$E$7),X86+Y87),2)</f>
        <v>0</v>
      </c>
      <c r="Y87" s="89">
        <f>X86*N(Crédits!$D$7)/12</f>
        <v>0</v>
      </c>
      <c r="Z87" s="96">
        <f t="shared" si="19"/>
        <v>0</v>
      </c>
      <c r="AA87" s="96">
        <f>Z87*N(Crédits!$D$8)/12</f>
        <v>0</v>
      </c>
      <c r="AB87" s="96">
        <f>MIN(N(Crédits!$E$8),Z87+AA87)</f>
        <v>0</v>
      </c>
      <c r="AC87" s="96">
        <f t="shared" si="6"/>
        <v>0</v>
      </c>
      <c r="AD87" s="97">
        <f>IF(Crédits!$K$8="",0,MAX(0,MIN(AC87,Plan!$L$89-(IF(Crédits!$K$5="",0,IF(Crédits!$K$5&lt;Crédits!$K$8,E87,0))+IF(Crédits!$K$6="",0,IF(Crédits!$K$6&lt;Crédits!$K$8,M87,0))+IF(Crédits!$K$7="",0,IF(Crédits!$K$7&lt;Crédits!$K$8,U87,0))+IF(Crédits!$K$9="",0,IF(Crédits!$K$9&lt;Crédits!$K$8,AK87,0))+IF(Crédits!$K$10="",0,IF(Crédits!$K$10&lt;Crédits!$K$8,AS87,0))))))</f>
        <v>0</v>
      </c>
      <c r="AE87" s="98">
        <f t="shared" si="7"/>
        <v>0</v>
      </c>
      <c r="AF87" s="88">
        <f>ROUND(AF86+AG87-MIN(N(Crédits!$E$8),AF86+AG87),2)</f>
        <v>0</v>
      </c>
      <c r="AG87" s="89">
        <f>AF86*N(Crédits!$D$8)/12</f>
        <v>0</v>
      </c>
      <c r="AH87" s="99">
        <f t="shared" si="20"/>
        <v>0</v>
      </c>
      <c r="AI87" s="99">
        <f>AH87*N(Crédits!$D$9)/12</f>
        <v>0</v>
      </c>
      <c r="AJ87" s="99">
        <f>MIN(N(Crédits!$E$9),AH87+AI87)</f>
        <v>0</v>
      </c>
      <c r="AK87" s="99">
        <f t="shared" si="8"/>
        <v>0</v>
      </c>
      <c r="AL87" s="100">
        <f>IF(Crédits!$K$9="",0,MAX(0,MIN(AK87,Plan!$L$89-(IF(Crédits!$K$5="",0,IF(Crédits!$K$5&lt;Crédits!$K$9,E87,0))+IF(Crédits!$K$6="",0,IF(Crédits!$K$6&lt;Crédits!$K$9,M87,0))+IF(Crédits!$K$7="",0,IF(Crédits!$K$7&lt;Crédits!$K$9,U87,0))+IF(Crédits!$K$8="",0,IF(Crédits!$K$8&lt;Crédits!$K$9,AC87,0))+IF(Crédits!$K$10="",0,IF(Crédits!$K$10&lt;Crédits!$K$9,AS87,0))))))</f>
        <v>0</v>
      </c>
      <c r="AM87" s="101">
        <f t="shared" si="9"/>
        <v>0</v>
      </c>
      <c r="AN87" s="88">
        <f>ROUND(AN86+AO87-MIN(N(Crédits!$E$9),AN86+AO87),2)</f>
        <v>0</v>
      </c>
      <c r="AO87" s="89">
        <f>AN86*N(Crédits!$D$9)/12</f>
        <v>0</v>
      </c>
      <c r="AP87" s="102">
        <f t="shared" si="21"/>
        <v>0</v>
      </c>
      <c r="AQ87" s="102">
        <f>AP87*N(Crédits!$D$10)/12</f>
        <v>0</v>
      </c>
      <c r="AR87" s="102">
        <f>MIN(N(Crédits!$E$10),AP87+AQ87)</f>
        <v>0</v>
      </c>
      <c r="AS87" s="102">
        <f t="shared" si="10"/>
        <v>0</v>
      </c>
      <c r="AT87" s="103">
        <f>IF(Crédits!$K$10="",0,MAX(0,MIN(AS87,Plan!$L$89-(IF(Crédits!$K$5="",0,IF(Crédits!$K$5&lt;Crédits!$K$10,E87,0))+IF(Crédits!$K$6="",0,IF(Crédits!$K$6&lt;Crédits!$K$10,M87,0))+IF(Crédits!$K$7="",0,IF(Crédits!$K$7&lt;Crédits!$K$10,U87,0))+IF(Crédits!$K$8="",0,IF(Crédits!$K$8&lt;Crédits!$K$10,AC87,0))+IF(Crédits!$K$9="",0,IF(Crédits!$K$9&lt;Crédits!$K$10,AK87,0))))))</f>
        <v>0</v>
      </c>
      <c r="AU87" s="104">
        <f t="shared" si="11"/>
        <v>0</v>
      </c>
      <c r="AV87" s="88">
        <f>ROUND(AV86+AW87-MIN(N(Crédits!$E$10),AV86+AW87),2)</f>
        <v>0</v>
      </c>
      <c r="AW87" s="89">
        <f>AV86*N(Crédits!$D$10)/12</f>
        <v>0</v>
      </c>
      <c r="AX87" s="105">
        <f t="shared" si="12"/>
        <v>0</v>
      </c>
      <c r="AY87" s="105">
        <f t="shared" ref="AY87:AZ87" si="105">F87+N87+V87+AD87+AL87+AT87</f>
        <v>0</v>
      </c>
      <c r="AZ87" s="105">
        <f t="shared" si="105"/>
        <v>0</v>
      </c>
      <c r="BA87" s="105">
        <f t="shared" si="14"/>
        <v>0</v>
      </c>
      <c r="BB87" s="105">
        <f t="shared" si="15"/>
        <v>0</v>
      </c>
    </row>
    <row r="88" spans="1:54" ht="15" customHeight="1" x14ac:dyDescent="0.25">
      <c r="A88" s="2">
        <v>86</v>
      </c>
      <c r="B88" s="83">
        <f t="shared" si="16"/>
        <v>0</v>
      </c>
      <c r="C88" s="83">
        <f>B88*N(Crédits!$D$5)/12</f>
        <v>0</v>
      </c>
      <c r="D88" s="83">
        <f>MIN(N(Crédits!$E$5),B88+C88)</f>
        <v>0</v>
      </c>
      <c r="E88" s="83">
        <f t="shared" si="0"/>
        <v>0</v>
      </c>
      <c r="F88" s="86">
        <f>IF(Crédits!$K$5="",0,MAX(0,MIN(E88,Plan!$L$90-(IF(Crédits!$K$6="",0,IF(Crédits!$K$6&lt;Crédits!$K$5,M88,0))+IF(Crédits!$K$7="",0,IF(Crédits!$K$7&lt;Crédits!$K$5,U88,0))+IF(Crédits!$K$8="",0,IF(Crédits!$K$8&lt;Crédits!$K$5,AC88,0))+IF(Crédits!$K$9="",0,IF(Crédits!$K$9&lt;Crédits!$K$5,AK88,0))+IF(Crédits!$K$10="",0,IF(Crédits!$K$10&lt;Crédits!$K$5,AS88,0))))))</f>
        <v>0</v>
      </c>
      <c r="G88" s="87">
        <f t="shared" si="1"/>
        <v>0</v>
      </c>
      <c r="H88" s="88">
        <f>ROUND(H87+I88-MIN(N(Crédits!$E$5),H87+I88),2)</f>
        <v>0</v>
      </c>
      <c r="I88" s="89">
        <f>H87*N(Crédits!$D$5)/12</f>
        <v>0</v>
      </c>
      <c r="J88" s="90">
        <f t="shared" si="17"/>
        <v>0</v>
      </c>
      <c r="K88" s="90">
        <f>J88*N(Crédits!$D$6)/12</f>
        <v>0</v>
      </c>
      <c r="L88" s="90">
        <f>MIN(N(Crédits!$E$6),J88+K88)</f>
        <v>0</v>
      </c>
      <c r="M88" s="90">
        <f t="shared" si="2"/>
        <v>0</v>
      </c>
      <c r="N88" s="91">
        <f>IF(Crédits!$K$6="",0,MAX(0,MIN(M88,Plan!$L$90-(IF(Crédits!$K$5="",0,IF(Crédits!$K$5&lt;Crédits!$K$6,E88,0))+IF(Crédits!$K$7="",0,IF(Crédits!$K$7&lt;Crédits!$K$6,U88,0))+IF(Crédits!$K$8="",0,IF(Crédits!$K$8&lt;Crédits!$K$6,AC88,0))+IF(Crédits!$K$9="",0,IF(Crédits!$K$9&lt;Crédits!$K$6,AK88,0))+IF(Crédits!$K$10="",0,IF(Crédits!$K$10&lt;Crédits!$K$6,AS88,0))))))</f>
        <v>0</v>
      </c>
      <c r="O88" s="92">
        <f t="shared" si="3"/>
        <v>0</v>
      </c>
      <c r="P88" s="88">
        <f>ROUND(P87+Q88-MIN(N(Crédits!$E$6),P87+Q88),2)</f>
        <v>0</v>
      </c>
      <c r="Q88" s="89">
        <f>P87*N(Crédits!$D$6)/12</f>
        <v>0</v>
      </c>
      <c r="R88" s="93">
        <f t="shared" si="18"/>
        <v>0</v>
      </c>
      <c r="S88" s="93">
        <f>R88*N(Crédits!$D$7)/12</f>
        <v>0</v>
      </c>
      <c r="T88" s="93">
        <f>MIN(N(Crédits!$E$7),R88+S88)</f>
        <v>0</v>
      </c>
      <c r="U88" s="93">
        <f t="shared" si="4"/>
        <v>0</v>
      </c>
      <c r="V88" s="94">
        <f>IF(Crédits!$K$7="",0,MAX(0,MIN(U88,Plan!$L$90-(IF(Crédits!$K$5="",0,IF(Crédits!$K$5&lt;Crédits!$K$7,E88,0))+IF(Crédits!$K$6="",0,IF(Crédits!$K$6&lt;Crédits!$K$7,M88,0))+IF(Crédits!$K$8="",0,IF(Crédits!$K$8&lt;Crédits!$K$7,AC88,0))+IF(Crédits!$K$9="",0,IF(Crédits!$K$9&lt;Crédits!$K$7,AK88,0))+IF(Crédits!$K$10="",0,IF(Crédits!$K$10&lt;Crédits!$K$7,AS88,0))))))</f>
        <v>0</v>
      </c>
      <c r="W88" s="95">
        <f t="shared" si="5"/>
        <v>0</v>
      </c>
      <c r="X88" s="88">
        <f>ROUND(X87+Y88-MIN(N(Crédits!$E$7),X87+Y88),2)</f>
        <v>0</v>
      </c>
      <c r="Y88" s="89">
        <f>X87*N(Crédits!$D$7)/12</f>
        <v>0</v>
      </c>
      <c r="Z88" s="96">
        <f t="shared" si="19"/>
        <v>0</v>
      </c>
      <c r="AA88" s="96">
        <f>Z88*N(Crédits!$D$8)/12</f>
        <v>0</v>
      </c>
      <c r="AB88" s="96">
        <f>MIN(N(Crédits!$E$8),Z88+AA88)</f>
        <v>0</v>
      </c>
      <c r="AC88" s="96">
        <f t="shared" si="6"/>
        <v>0</v>
      </c>
      <c r="AD88" s="97">
        <f>IF(Crédits!$K$8="",0,MAX(0,MIN(AC88,Plan!$L$90-(IF(Crédits!$K$5="",0,IF(Crédits!$K$5&lt;Crédits!$K$8,E88,0))+IF(Crédits!$K$6="",0,IF(Crédits!$K$6&lt;Crédits!$K$8,M88,0))+IF(Crédits!$K$7="",0,IF(Crédits!$K$7&lt;Crédits!$K$8,U88,0))+IF(Crédits!$K$9="",0,IF(Crédits!$K$9&lt;Crédits!$K$8,AK88,0))+IF(Crédits!$K$10="",0,IF(Crédits!$K$10&lt;Crédits!$K$8,AS88,0))))))</f>
        <v>0</v>
      </c>
      <c r="AE88" s="98">
        <f t="shared" si="7"/>
        <v>0</v>
      </c>
      <c r="AF88" s="88">
        <f>ROUND(AF87+AG88-MIN(N(Crédits!$E$8),AF87+AG88),2)</f>
        <v>0</v>
      </c>
      <c r="AG88" s="89">
        <f>AF87*N(Crédits!$D$8)/12</f>
        <v>0</v>
      </c>
      <c r="AH88" s="99">
        <f t="shared" si="20"/>
        <v>0</v>
      </c>
      <c r="AI88" s="99">
        <f>AH88*N(Crédits!$D$9)/12</f>
        <v>0</v>
      </c>
      <c r="AJ88" s="99">
        <f>MIN(N(Crédits!$E$9),AH88+AI88)</f>
        <v>0</v>
      </c>
      <c r="AK88" s="99">
        <f t="shared" si="8"/>
        <v>0</v>
      </c>
      <c r="AL88" s="100">
        <f>IF(Crédits!$K$9="",0,MAX(0,MIN(AK88,Plan!$L$90-(IF(Crédits!$K$5="",0,IF(Crédits!$K$5&lt;Crédits!$K$9,E88,0))+IF(Crédits!$K$6="",0,IF(Crédits!$K$6&lt;Crédits!$K$9,M88,0))+IF(Crédits!$K$7="",0,IF(Crédits!$K$7&lt;Crédits!$K$9,U88,0))+IF(Crédits!$K$8="",0,IF(Crédits!$K$8&lt;Crédits!$K$9,AC88,0))+IF(Crédits!$K$10="",0,IF(Crédits!$K$10&lt;Crédits!$K$9,AS88,0))))))</f>
        <v>0</v>
      </c>
      <c r="AM88" s="101">
        <f t="shared" si="9"/>
        <v>0</v>
      </c>
      <c r="AN88" s="88">
        <f>ROUND(AN87+AO88-MIN(N(Crédits!$E$9),AN87+AO88),2)</f>
        <v>0</v>
      </c>
      <c r="AO88" s="89">
        <f>AN87*N(Crédits!$D$9)/12</f>
        <v>0</v>
      </c>
      <c r="AP88" s="102">
        <f t="shared" si="21"/>
        <v>0</v>
      </c>
      <c r="AQ88" s="102">
        <f>AP88*N(Crédits!$D$10)/12</f>
        <v>0</v>
      </c>
      <c r="AR88" s="102">
        <f>MIN(N(Crédits!$E$10),AP88+AQ88)</f>
        <v>0</v>
      </c>
      <c r="AS88" s="102">
        <f t="shared" si="10"/>
        <v>0</v>
      </c>
      <c r="AT88" s="103">
        <f>IF(Crédits!$K$10="",0,MAX(0,MIN(AS88,Plan!$L$90-(IF(Crédits!$K$5="",0,IF(Crédits!$K$5&lt;Crédits!$K$10,E88,0))+IF(Crédits!$K$6="",0,IF(Crédits!$K$6&lt;Crédits!$K$10,M88,0))+IF(Crédits!$K$7="",0,IF(Crédits!$K$7&lt;Crédits!$K$10,U88,0))+IF(Crédits!$K$8="",0,IF(Crédits!$K$8&lt;Crédits!$K$10,AC88,0))+IF(Crédits!$K$9="",0,IF(Crédits!$K$9&lt;Crédits!$K$10,AK88,0))))))</f>
        <v>0</v>
      </c>
      <c r="AU88" s="104">
        <f t="shared" si="11"/>
        <v>0</v>
      </c>
      <c r="AV88" s="88">
        <f>ROUND(AV87+AW88-MIN(N(Crédits!$E$10),AV87+AW88),2)</f>
        <v>0</v>
      </c>
      <c r="AW88" s="89">
        <f>AV87*N(Crédits!$D$10)/12</f>
        <v>0</v>
      </c>
      <c r="AX88" s="105">
        <f t="shared" si="12"/>
        <v>0</v>
      </c>
      <c r="AY88" s="105">
        <f t="shared" ref="AY88:AZ88" si="106">F88+N88+V88+AD88+AL88+AT88</f>
        <v>0</v>
      </c>
      <c r="AZ88" s="105">
        <f t="shared" si="106"/>
        <v>0</v>
      </c>
      <c r="BA88" s="105">
        <f t="shared" si="14"/>
        <v>0</v>
      </c>
      <c r="BB88" s="105">
        <f t="shared" si="15"/>
        <v>0</v>
      </c>
    </row>
    <row r="89" spans="1:54" ht="15" customHeight="1" x14ac:dyDescent="0.25">
      <c r="A89" s="2">
        <v>87</v>
      </c>
      <c r="B89" s="83">
        <f t="shared" si="16"/>
        <v>0</v>
      </c>
      <c r="C89" s="83">
        <f>B89*N(Crédits!$D$5)/12</f>
        <v>0</v>
      </c>
      <c r="D89" s="83">
        <f>MIN(N(Crédits!$E$5),B89+C89)</f>
        <v>0</v>
      </c>
      <c r="E89" s="83">
        <f t="shared" si="0"/>
        <v>0</v>
      </c>
      <c r="F89" s="86">
        <f>IF(Crédits!$K$5="",0,MAX(0,MIN(E89,Plan!$L$91-(IF(Crédits!$K$6="",0,IF(Crédits!$K$6&lt;Crédits!$K$5,M89,0))+IF(Crédits!$K$7="",0,IF(Crédits!$K$7&lt;Crédits!$K$5,U89,0))+IF(Crédits!$K$8="",0,IF(Crédits!$K$8&lt;Crédits!$K$5,AC89,0))+IF(Crédits!$K$9="",0,IF(Crédits!$K$9&lt;Crédits!$K$5,AK89,0))+IF(Crédits!$K$10="",0,IF(Crédits!$K$10&lt;Crédits!$K$5,AS89,0))))))</f>
        <v>0</v>
      </c>
      <c r="G89" s="87">
        <f t="shared" si="1"/>
        <v>0</v>
      </c>
      <c r="H89" s="88">
        <f>ROUND(H88+I89-MIN(N(Crédits!$E$5),H88+I89),2)</f>
        <v>0</v>
      </c>
      <c r="I89" s="89">
        <f>H88*N(Crédits!$D$5)/12</f>
        <v>0</v>
      </c>
      <c r="J89" s="90">
        <f t="shared" si="17"/>
        <v>0</v>
      </c>
      <c r="K89" s="90">
        <f>J89*N(Crédits!$D$6)/12</f>
        <v>0</v>
      </c>
      <c r="L89" s="90">
        <f>MIN(N(Crédits!$E$6),J89+K89)</f>
        <v>0</v>
      </c>
      <c r="M89" s="90">
        <f t="shared" si="2"/>
        <v>0</v>
      </c>
      <c r="N89" s="91">
        <f>IF(Crédits!$K$6="",0,MAX(0,MIN(M89,Plan!$L$91-(IF(Crédits!$K$5="",0,IF(Crédits!$K$5&lt;Crédits!$K$6,E89,0))+IF(Crédits!$K$7="",0,IF(Crédits!$K$7&lt;Crédits!$K$6,U89,0))+IF(Crédits!$K$8="",0,IF(Crédits!$K$8&lt;Crédits!$K$6,AC89,0))+IF(Crédits!$K$9="",0,IF(Crédits!$K$9&lt;Crédits!$K$6,AK89,0))+IF(Crédits!$K$10="",0,IF(Crédits!$K$10&lt;Crédits!$K$6,AS89,0))))))</f>
        <v>0</v>
      </c>
      <c r="O89" s="92">
        <f t="shared" si="3"/>
        <v>0</v>
      </c>
      <c r="P89" s="88">
        <f>ROUND(P88+Q89-MIN(N(Crédits!$E$6),P88+Q89),2)</f>
        <v>0</v>
      </c>
      <c r="Q89" s="89">
        <f>P88*N(Crédits!$D$6)/12</f>
        <v>0</v>
      </c>
      <c r="R89" s="93">
        <f t="shared" si="18"/>
        <v>0</v>
      </c>
      <c r="S89" s="93">
        <f>R89*N(Crédits!$D$7)/12</f>
        <v>0</v>
      </c>
      <c r="T89" s="93">
        <f>MIN(N(Crédits!$E$7),R89+S89)</f>
        <v>0</v>
      </c>
      <c r="U89" s="93">
        <f t="shared" si="4"/>
        <v>0</v>
      </c>
      <c r="V89" s="94">
        <f>IF(Crédits!$K$7="",0,MAX(0,MIN(U89,Plan!$L$91-(IF(Crédits!$K$5="",0,IF(Crédits!$K$5&lt;Crédits!$K$7,E89,0))+IF(Crédits!$K$6="",0,IF(Crédits!$K$6&lt;Crédits!$K$7,M89,0))+IF(Crédits!$K$8="",0,IF(Crédits!$K$8&lt;Crédits!$K$7,AC89,0))+IF(Crédits!$K$9="",0,IF(Crédits!$K$9&lt;Crédits!$K$7,AK89,0))+IF(Crédits!$K$10="",0,IF(Crédits!$K$10&lt;Crédits!$K$7,AS89,0))))))</f>
        <v>0</v>
      </c>
      <c r="W89" s="95">
        <f t="shared" si="5"/>
        <v>0</v>
      </c>
      <c r="X89" s="88">
        <f>ROUND(X88+Y89-MIN(N(Crédits!$E$7),X88+Y89),2)</f>
        <v>0</v>
      </c>
      <c r="Y89" s="89">
        <f>X88*N(Crédits!$D$7)/12</f>
        <v>0</v>
      </c>
      <c r="Z89" s="96">
        <f t="shared" si="19"/>
        <v>0</v>
      </c>
      <c r="AA89" s="96">
        <f>Z89*N(Crédits!$D$8)/12</f>
        <v>0</v>
      </c>
      <c r="AB89" s="96">
        <f>MIN(N(Crédits!$E$8),Z89+AA89)</f>
        <v>0</v>
      </c>
      <c r="AC89" s="96">
        <f t="shared" si="6"/>
        <v>0</v>
      </c>
      <c r="AD89" s="97">
        <f>IF(Crédits!$K$8="",0,MAX(0,MIN(AC89,Plan!$L$91-(IF(Crédits!$K$5="",0,IF(Crédits!$K$5&lt;Crédits!$K$8,E89,0))+IF(Crédits!$K$6="",0,IF(Crédits!$K$6&lt;Crédits!$K$8,M89,0))+IF(Crédits!$K$7="",0,IF(Crédits!$K$7&lt;Crédits!$K$8,U89,0))+IF(Crédits!$K$9="",0,IF(Crédits!$K$9&lt;Crédits!$K$8,AK89,0))+IF(Crédits!$K$10="",0,IF(Crédits!$K$10&lt;Crédits!$K$8,AS89,0))))))</f>
        <v>0</v>
      </c>
      <c r="AE89" s="98">
        <f t="shared" si="7"/>
        <v>0</v>
      </c>
      <c r="AF89" s="88">
        <f>ROUND(AF88+AG89-MIN(N(Crédits!$E$8),AF88+AG89),2)</f>
        <v>0</v>
      </c>
      <c r="AG89" s="89">
        <f>AF88*N(Crédits!$D$8)/12</f>
        <v>0</v>
      </c>
      <c r="AH89" s="99">
        <f t="shared" si="20"/>
        <v>0</v>
      </c>
      <c r="AI89" s="99">
        <f>AH89*N(Crédits!$D$9)/12</f>
        <v>0</v>
      </c>
      <c r="AJ89" s="99">
        <f>MIN(N(Crédits!$E$9),AH89+AI89)</f>
        <v>0</v>
      </c>
      <c r="AK89" s="99">
        <f t="shared" si="8"/>
        <v>0</v>
      </c>
      <c r="AL89" s="100">
        <f>IF(Crédits!$K$9="",0,MAX(0,MIN(AK89,Plan!$L$91-(IF(Crédits!$K$5="",0,IF(Crédits!$K$5&lt;Crédits!$K$9,E89,0))+IF(Crédits!$K$6="",0,IF(Crédits!$K$6&lt;Crédits!$K$9,M89,0))+IF(Crédits!$K$7="",0,IF(Crédits!$K$7&lt;Crédits!$K$9,U89,0))+IF(Crédits!$K$8="",0,IF(Crédits!$K$8&lt;Crédits!$K$9,AC89,0))+IF(Crédits!$K$10="",0,IF(Crédits!$K$10&lt;Crédits!$K$9,AS89,0))))))</f>
        <v>0</v>
      </c>
      <c r="AM89" s="101">
        <f t="shared" si="9"/>
        <v>0</v>
      </c>
      <c r="AN89" s="88">
        <f>ROUND(AN88+AO89-MIN(N(Crédits!$E$9),AN88+AO89),2)</f>
        <v>0</v>
      </c>
      <c r="AO89" s="89">
        <f>AN88*N(Crédits!$D$9)/12</f>
        <v>0</v>
      </c>
      <c r="AP89" s="102">
        <f t="shared" si="21"/>
        <v>0</v>
      </c>
      <c r="AQ89" s="102">
        <f>AP89*N(Crédits!$D$10)/12</f>
        <v>0</v>
      </c>
      <c r="AR89" s="102">
        <f>MIN(N(Crédits!$E$10),AP89+AQ89)</f>
        <v>0</v>
      </c>
      <c r="AS89" s="102">
        <f t="shared" si="10"/>
        <v>0</v>
      </c>
      <c r="AT89" s="103">
        <f>IF(Crédits!$K$10="",0,MAX(0,MIN(AS89,Plan!$L$91-(IF(Crédits!$K$5="",0,IF(Crédits!$K$5&lt;Crédits!$K$10,E89,0))+IF(Crédits!$K$6="",0,IF(Crédits!$K$6&lt;Crédits!$K$10,M89,0))+IF(Crédits!$K$7="",0,IF(Crédits!$K$7&lt;Crédits!$K$10,U89,0))+IF(Crédits!$K$8="",0,IF(Crédits!$K$8&lt;Crédits!$K$10,AC89,0))+IF(Crédits!$K$9="",0,IF(Crédits!$K$9&lt;Crédits!$K$10,AK89,0))))))</f>
        <v>0</v>
      </c>
      <c r="AU89" s="104">
        <f t="shared" si="11"/>
        <v>0</v>
      </c>
      <c r="AV89" s="88">
        <f>ROUND(AV88+AW89-MIN(N(Crédits!$E$10),AV88+AW89),2)</f>
        <v>0</v>
      </c>
      <c r="AW89" s="89">
        <f>AV88*N(Crédits!$D$10)/12</f>
        <v>0</v>
      </c>
      <c r="AX89" s="105">
        <f t="shared" si="12"/>
        <v>0</v>
      </c>
      <c r="AY89" s="105">
        <f t="shared" ref="AY89:AZ89" si="107">F89+N89+V89+AD89+AL89+AT89</f>
        <v>0</v>
      </c>
      <c r="AZ89" s="105">
        <f t="shared" si="107"/>
        <v>0</v>
      </c>
      <c r="BA89" s="105">
        <f t="shared" si="14"/>
        <v>0</v>
      </c>
      <c r="BB89" s="105">
        <f t="shared" si="15"/>
        <v>0</v>
      </c>
    </row>
    <row r="90" spans="1:54" ht="15" customHeight="1" x14ac:dyDescent="0.25">
      <c r="A90" s="2">
        <v>88</v>
      </c>
      <c r="B90" s="83">
        <f t="shared" si="16"/>
        <v>0</v>
      </c>
      <c r="C90" s="83">
        <f>B90*N(Crédits!$D$5)/12</f>
        <v>0</v>
      </c>
      <c r="D90" s="83">
        <f>MIN(N(Crédits!$E$5),B90+C90)</f>
        <v>0</v>
      </c>
      <c r="E90" s="83">
        <f t="shared" si="0"/>
        <v>0</v>
      </c>
      <c r="F90" s="86">
        <f>IF(Crédits!$K$5="",0,MAX(0,MIN(E90,Plan!$L$92-(IF(Crédits!$K$6="",0,IF(Crédits!$K$6&lt;Crédits!$K$5,M90,0))+IF(Crédits!$K$7="",0,IF(Crédits!$K$7&lt;Crédits!$K$5,U90,0))+IF(Crédits!$K$8="",0,IF(Crédits!$K$8&lt;Crédits!$K$5,AC90,0))+IF(Crédits!$K$9="",0,IF(Crédits!$K$9&lt;Crédits!$K$5,AK90,0))+IF(Crédits!$K$10="",0,IF(Crédits!$K$10&lt;Crédits!$K$5,AS90,0))))))</f>
        <v>0</v>
      </c>
      <c r="G90" s="87">
        <f t="shared" si="1"/>
        <v>0</v>
      </c>
      <c r="H90" s="88">
        <f>ROUND(H89+I90-MIN(N(Crédits!$E$5),H89+I90),2)</f>
        <v>0</v>
      </c>
      <c r="I90" s="89">
        <f>H89*N(Crédits!$D$5)/12</f>
        <v>0</v>
      </c>
      <c r="J90" s="90">
        <f t="shared" si="17"/>
        <v>0</v>
      </c>
      <c r="K90" s="90">
        <f>J90*N(Crédits!$D$6)/12</f>
        <v>0</v>
      </c>
      <c r="L90" s="90">
        <f>MIN(N(Crédits!$E$6),J90+K90)</f>
        <v>0</v>
      </c>
      <c r="M90" s="90">
        <f t="shared" si="2"/>
        <v>0</v>
      </c>
      <c r="N90" s="91">
        <f>IF(Crédits!$K$6="",0,MAX(0,MIN(M90,Plan!$L$92-(IF(Crédits!$K$5="",0,IF(Crédits!$K$5&lt;Crédits!$K$6,E90,0))+IF(Crédits!$K$7="",0,IF(Crédits!$K$7&lt;Crédits!$K$6,U90,0))+IF(Crédits!$K$8="",0,IF(Crédits!$K$8&lt;Crédits!$K$6,AC90,0))+IF(Crédits!$K$9="",0,IF(Crédits!$K$9&lt;Crédits!$K$6,AK90,0))+IF(Crédits!$K$10="",0,IF(Crédits!$K$10&lt;Crédits!$K$6,AS90,0))))))</f>
        <v>0</v>
      </c>
      <c r="O90" s="92">
        <f t="shared" si="3"/>
        <v>0</v>
      </c>
      <c r="P90" s="88">
        <f>ROUND(P89+Q90-MIN(N(Crédits!$E$6),P89+Q90),2)</f>
        <v>0</v>
      </c>
      <c r="Q90" s="89">
        <f>P89*N(Crédits!$D$6)/12</f>
        <v>0</v>
      </c>
      <c r="R90" s="93">
        <f t="shared" si="18"/>
        <v>0</v>
      </c>
      <c r="S90" s="93">
        <f>R90*N(Crédits!$D$7)/12</f>
        <v>0</v>
      </c>
      <c r="T90" s="93">
        <f>MIN(N(Crédits!$E$7),R90+S90)</f>
        <v>0</v>
      </c>
      <c r="U90" s="93">
        <f t="shared" si="4"/>
        <v>0</v>
      </c>
      <c r="V90" s="94">
        <f>IF(Crédits!$K$7="",0,MAX(0,MIN(U90,Plan!$L$92-(IF(Crédits!$K$5="",0,IF(Crédits!$K$5&lt;Crédits!$K$7,E90,0))+IF(Crédits!$K$6="",0,IF(Crédits!$K$6&lt;Crédits!$K$7,M90,0))+IF(Crédits!$K$8="",0,IF(Crédits!$K$8&lt;Crédits!$K$7,AC90,0))+IF(Crédits!$K$9="",0,IF(Crédits!$K$9&lt;Crédits!$K$7,AK90,0))+IF(Crédits!$K$10="",0,IF(Crédits!$K$10&lt;Crédits!$K$7,AS90,0))))))</f>
        <v>0</v>
      </c>
      <c r="W90" s="95">
        <f t="shared" si="5"/>
        <v>0</v>
      </c>
      <c r="X90" s="88">
        <f>ROUND(X89+Y90-MIN(N(Crédits!$E$7),X89+Y90),2)</f>
        <v>0</v>
      </c>
      <c r="Y90" s="89">
        <f>X89*N(Crédits!$D$7)/12</f>
        <v>0</v>
      </c>
      <c r="Z90" s="96">
        <f t="shared" si="19"/>
        <v>0</v>
      </c>
      <c r="AA90" s="96">
        <f>Z90*N(Crédits!$D$8)/12</f>
        <v>0</v>
      </c>
      <c r="AB90" s="96">
        <f>MIN(N(Crédits!$E$8),Z90+AA90)</f>
        <v>0</v>
      </c>
      <c r="AC90" s="96">
        <f t="shared" si="6"/>
        <v>0</v>
      </c>
      <c r="AD90" s="97">
        <f>IF(Crédits!$K$8="",0,MAX(0,MIN(AC90,Plan!$L$92-(IF(Crédits!$K$5="",0,IF(Crédits!$K$5&lt;Crédits!$K$8,E90,0))+IF(Crédits!$K$6="",0,IF(Crédits!$K$6&lt;Crédits!$K$8,M90,0))+IF(Crédits!$K$7="",0,IF(Crédits!$K$7&lt;Crédits!$K$8,U90,0))+IF(Crédits!$K$9="",0,IF(Crédits!$K$9&lt;Crédits!$K$8,AK90,0))+IF(Crédits!$K$10="",0,IF(Crédits!$K$10&lt;Crédits!$K$8,AS90,0))))))</f>
        <v>0</v>
      </c>
      <c r="AE90" s="98">
        <f t="shared" si="7"/>
        <v>0</v>
      </c>
      <c r="AF90" s="88">
        <f>ROUND(AF89+AG90-MIN(N(Crédits!$E$8),AF89+AG90),2)</f>
        <v>0</v>
      </c>
      <c r="AG90" s="89">
        <f>AF89*N(Crédits!$D$8)/12</f>
        <v>0</v>
      </c>
      <c r="AH90" s="99">
        <f t="shared" si="20"/>
        <v>0</v>
      </c>
      <c r="AI90" s="99">
        <f>AH90*N(Crédits!$D$9)/12</f>
        <v>0</v>
      </c>
      <c r="AJ90" s="99">
        <f>MIN(N(Crédits!$E$9),AH90+AI90)</f>
        <v>0</v>
      </c>
      <c r="AK90" s="99">
        <f t="shared" si="8"/>
        <v>0</v>
      </c>
      <c r="AL90" s="100">
        <f>IF(Crédits!$K$9="",0,MAX(0,MIN(AK90,Plan!$L$92-(IF(Crédits!$K$5="",0,IF(Crédits!$K$5&lt;Crédits!$K$9,E90,0))+IF(Crédits!$K$6="",0,IF(Crédits!$K$6&lt;Crédits!$K$9,M90,0))+IF(Crédits!$K$7="",0,IF(Crédits!$K$7&lt;Crédits!$K$9,U90,0))+IF(Crédits!$K$8="",0,IF(Crédits!$K$8&lt;Crédits!$K$9,AC90,0))+IF(Crédits!$K$10="",0,IF(Crédits!$K$10&lt;Crédits!$K$9,AS90,0))))))</f>
        <v>0</v>
      </c>
      <c r="AM90" s="101">
        <f t="shared" si="9"/>
        <v>0</v>
      </c>
      <c r="AN90" s="88">
        <f>ROUND(AN89+AO90-MIN(N(Crédits!$E$9),AN89+AO90),2)</f>
        <v>0</v>
      </c>
      <c r="AO90" s="89">
        <f>AN89*N(Crédits!$D$9)/12</f>
        <v>0</v>
      </c>
      <c r="AP90" s="102">
        <f t="shared" si="21"/>
        <v>0</v>
      </c>
      <c r="AQ90" s="102">
        <f>AP90*N(Crédits!$D$10)/12</f>
        <v>0</v>
      </c>
      <c r="AR90" s="102">
        <f>MIN(N(Crédits!$E$10),AP90+AQ90)</f>
        <v>0</v>
      </c>
      <c r="AS90" s="102">
        <f t="shared" si="10"/>
        <v>0</v>
      </c>
      <c r="AT90" s="103">
        <f>IF(Crédits!$K$10="",0,MAX(0,MIN(AS90,Plan!$L$92-(IF(Crédits!$K$5="",0,IF(Crédits!$K$5&lt;Crédits!$K$10,E90,0))+IF(Crédits!$K$6="",0,IF(Crédits!$K$6&lt;Crédits!$K$10,M90,0))+IF(Crédits!$K$7="",0,IF(Crédits!$K$7&lt;Crédits!$K$10,U90,0))+IF(Crédits!$K$8="",0,IF(Crédits!$K$8&lt;Crédits!$K$10,AC90,0))+IF(Crédits!$K$9="",0,IF(Crédits!$K$9&lt;Crédits!$K$10,AK90,0))))))</f>
        <v>0</v>
      </c>
      <c r="AU90" s="104">
        <f t="shared" si="11"/>
        <v>0</v>
      </c>
      <c r="AV90" s="88">
        <f>ROUND(AV89+AW90-MIN(N(Crédits!$E$10),AV89+AW90),2)</f>
        <v>0</v>
      </c>
      <c r="AW90" s="89">
        <f>AV89*N(Crédits!$D$10)/12</f>
        <v>0</v>
      </c>
      <c r="AX90" s="105">
        <f t="shared" si="12"/>
        <v>0</v>
      </c>
      <c r="AY90" s="105">
        <f t="shared" ref="AY90:AZ90" si="108">F90+N90+V90+AD90+AL90+AT90</f>
        <v>0</v>
      </c>
      <c r="AZ90" s="105">
        <f t="shared" si="108"/>
        <v>0</v>
      </c>
      <c r="BA90" s="105">
        <f t="shared" si="14"/>
        <v>0</v>
      </c>
      <c r="BB90" s="105">
        <f t="shared" si="15"/>
        <v>0</v>
      </c>
    </row>
    <row r="91" spans="1:54" ht="15" customHeight="1" x14ac:dyDescent="0.25">
      <c r="A91" s="2">
        <v>89</v>
      </c>
      <c r="B91" s="83">
        <f t="shared" si="16"/>
        <v>0</v>
      </c>
      <c r="C91" s="83">
        <f>B91*N(Crédits!$D$5)/12</f>
        <v>0</v>
      </c>
      <c r="D91" s="83">
        <f>MIN(N(Crédits!$E$5),B91+C91)</f>
        <v>0</v>
      </c>
      <c r="E91" s="83">
        <f t="shared" si="0"/>
        <v>0</v>
      </c>
      <c r="F91" s="86">
        <f>IF(Crédits!$K$5="",0,MAX(0,MIN(E91,Plan!$L$93-(IF(Crédits!$K$6="",0,IF(Crédits!$K$6&lt;Crédits!$K$5,M91,0))+IF(Crédits!$K$7="",0,IF(Crédits!$K$7&lt;Crédits!$K$5,U91,0))+IF(Crédits!$K$8="",0,IF(Crédits!$K$8&lt;Crédits!$K$5,AC91,0))+IF(Crédits!$K$9="",0,IF(Crédits!$K$9&lt;Crédits!$K$5,AK91,0))+IF(Crédits!$K$10="",0,IF(Crédits!$K$10&lt;Crédits!$K$5,AS91,0))))))</f>
        <v>0</v>
      </c>
      <c r="G91" s="87">
        <f t="shared" si="1"/>
        <v>0</v>
      </c>
      <c r="H91" s="88">
        <f>ROUND(H90+I91-MIN(N(Crédits!$E$5),H90+I91),2)</f>
        <v>0</v>
      </c>
      <c r="I91" s="89">
        <f>H90*N(Crédits!$D$5)/12</f>
        <v>0</v>
      </c>
      <c r="J91" s="90">
        <f t="shared" si="17"/>
        <v>0</v>
      </c>
      <c r="K91" s="90">
        <f>J91*N(Crédits!$D$6)/12</f>
        <v>0</v>
      </c>
      <c r="L91" s="90">
        <f>MIN(N(Crédits!$E$6),J91+K91)</f>
        <v>0</v>
      </c>
      <c r="M91" s="90">
        <f t="shared" si="2"/>
        <v>0</v>
      </c>
      <c r="N91" s="91">
        <f>IF(Crédits!$K$6="",0,MAX(0,MIN(M91,Plan!$L$93-(IF(Crédits!$K$5="",0,IF(Crédits!$K$5&lt;Crédits!$K$6,E91,0))+IF(Crédits!$K$7="",0,IF(Crédits!$K$7&lt;Crédits!$K$6,U91,0))+IF(Crédits!$K$8="",0,IF(Crédits!$K$8&lt;Crédits!$K$6,AC91,0))+IF(Crédits!$K$9="",0,IF(Crédits!$K$9&lt;Crédits!$K$6,AK91,0))+IF(Crédits!$K$10="",0,IF(Crédits!$K$10&lt;Crédits!$K$6,AS91,0))))))</f>
        <v>0</v>
      </c>
      <c r="O91" s="92">
        <f t="shared" si="3"/>
        <v>0</v>
      </c>
      <c r="P91" s="88">
        <f>ROUND(P90+Q91-MIN(N(Crédits!$E$6),P90+Q91),2)</f>
        <v>0</v>
      </c>
      <c r="Q91" s="89">
        <f>P90*N(Crédits!$D$6)/12</f>
        <v>0</v>
      </c>
      <c r="R91" s="93">
        <f t="shared" si="18"/>
        <v>0</v>
      </c>
      <c r="S91" s="93">
        <f>R91*N(Crédits!$D$7)/12</f>
        <v>0</v>
      </c>
      <c r="T91" s="93">
        <f>MIN(N(Crédits!$E$7),R91+S91)</f>
        <v>0</v>
      </c>
      <c r="U91" s="93">
        <f t="shared" si="4"/>
        <v>0</v>
      </c>
      <c r="V91" s="94">
        <f>IF(Crédits!$K$7="",0,MAX(0,MIN(U91,Plan!$L$93-(IF(Crédits!$K$5="",0,IF(Crédits!$K$5&lt;Crédits!$K$7,E91,0))+IF(Crédits!$K$6="",0,IF(Crédits!$K$6&lt;Crédits!$K$7,M91,0))+IF(Crédits!$K$8="",0,IF(Crédits!$K$8&lt;Crédits!$K$7,AC91,0))+IF(Crédits!$K$9="",0,IF(Crédits!$K$9&lt;Crédits!$K$7,AK91,0))+IF(Crédits!$K$10="",0,IF(Crédits!$K$10&lt;Crédits!$K$7,AS91,0))))))</f>
        <v>0</v>
      </c>
      <c r="W91" s="95">
        <f t="shared" si="5"/>
        <v>0</v>
      </c>
      <c r="X91" s="88">
        <f>ROUND(X90+Y91-MIN(N(Crédits!$E$7),X90+Y91),2)</f>
        <v>0</v>
      </c>
      <c r="Y91" s="89">
        <f>X90*N(Crédits!$D$7)/12</f>
        <v>0</v>
      </c>
      <c r="Z91" s="96">
        <f t="shared" si="19"/>
        <v>0</v>
      </c>
      <c r="AA91" s="96">
        <f>Z91*N(Crédits!$D$8)/12</f>
        <v>0</v>
      </c>
      <c r="AB91" s="96">
        <f>MIN(N(Crédits!$E$8),Z91+AA91)</f>
        <v>0</v>
      </c>
      <c r="AC91" s="96">
        <f t="shared" si="6"/>
        <v>0</v>
      </c>
      <c r="AD91" s="97">
        <f>IF(Crédits!$K$8="",0,MAX(0,MIN(AC91,Plan!$L$93-(IF(Crédits!$K$5="",0,IF(Crédits!$K$5&lt;Crédits!$K$8,E91,0))+IF(Crédits!$K$6="",0,IF(Crédits!$K$6&lt;Crédits!$K$8,M91,0))+IF(Crédits!$K$7="",0,IF(Crédits!$K$7&lt;Crédits!$K$8,U91,0))+IF(Crédits!$K$9="",0,IF(Crédits!$K$9&lt;Crédits!$K$8,AK91,0))+IF(Crédits!$K$10="",0,IF(Crédits!$K$10&lt;Crédits!$K$8,AS91,0))))))</f>
        <v>0</v>
      </c>
      <c r="AE91" s="98">
        <f t="shared" si="7"/>
        <v>0</v>
      </c>
      <c r="AF91" s="88">
        <f>ROUND(AF90+AG91-MIN(N(Crédits!$E$8),AF90+AG91),2)</f>
        <v>0</v>
      </c>
      <c r="AG91" s="89">
        <f>AF90*N(Crédits!$D$8)/12</f>
        <v>0</v>
      </c>
      <c r="AH91" s="99">
        <f t="shared" si="20"/>
        <v>0</v>
      </c>
      <c r="AI91" s="99">
        <f>AH91*N(Crédits!$D$9)/12</f>
        <v>0</v>
      </c>
      <c r="AJ91" s="99">
        <f>MIN(N(Crédits!$E$9),AH91+AI91)</f>
        <v>0</v>
      </c>
      <c r="AK91" s="99">
        <f t="shared" si="8"/>
        <v>0</v>
      </c>
      <c r="AL91" s="100">
        <f>IF(Crédits!$K$9="",0,MAX(0,MIN(AK91,Plan!$L$93-(IF(Crédits!$K$5="",0,IF(Crédits!$K$5&lt;Crédits!$K$9,E91,0))+IF(Crédits!$K$6="",0,IF(Crédits!$K$6&lt;Crédits!$K$9,M91,0))+IF(Crédits!$K$7="",0,IF(Crédits!$K$7&lt;Crédits!$K$9,U91,0))+IF(Crédits!$K$8="",0,IF(Crédits!$K$8&lt;Crédits!$K$9,AC91,0))+IF(Crédits!$K$10="",0,IF(Crédits!$K$10&lt;Crédits!$K$9,AS91,0))))))</f>
        <v>0</v>
      </c>
      <c r="AM91" s="101">
        <f t="shared" si="9"/>
        <v>0</v>
      </c>
      <c r="AN91" s="88">
        <f>ROUND(AN90+AO91-MIN(N(Crédits!$E$9),AN90+AO91),2)</f>
        <v>0</v>
      </c>
      <c r="AO91" s="89">
        <f>AN90*N(Crédits!$D$9)/12</f>
        <v>0</v>
      </c>
      <c r="AP91" s="102">
        <f t="shared" si="21"/>
        <v>0</v>
      </c>
      <c r="AQ91" s="102">
        <f>AP91*N(Crédits!$D$10)/12</f>
        <v>0</v>
      </c>
      <c r="AR91" s="102">
        <f>MIN(N(Crédits!$E$10),AP91+AQ91)</f>
        <v>0</v>
      </c>
      <c r="AS91" s="102">
        <f t="shared" si="10"/>
        <v>0</v>
      </c>
      <c r="AT91" s="103">
        <f>IF(Crédits!$K$10="",0,MAX(0,MIN(AS91,Plan!$L$93-(IF(Crédits!$K$5="",0,IF(Crédits!$K$5&lt;Crédits!$K$10,E91,0))+IF(Crédits!$K$6="",0,IF(Crédits!$K$6&lt;Crédits!$K$10,M91,0))+IF(Crédits!$K$7="",0,IF(Crédits!$K$7&lt;Crédits!$K$10,U91,0))+IF(Crédits!$K$8="",0,IF(Crédits!$K$8&lt;Crédits!$K$10,AC91,0))+IF(Crédits!$K$9="",0,IF(Crédits!$K$9&lt;Crédits!$K$10,AK91,0))))))</f>
        <v>0</v>
      </c>
      <c r="AU91" s="104">
        <f t="shared" si="11"/>
        <v>0</v>
      </c>
      <c r="AV91" s="88">
        <f>ROUND(AV90+AW91-MIN(N(Crédits!$E$10),AV90+AW91),2)</f>
        <v>0</v>
      </c>
      <c r="AW91" s="89">
        <f>AV90*N(Crédits!$D$10)/12</f>
        <v>0</v>
      </c>
      <c r="AX91" s="105">
        <f t="shared" si="12"/>
        <v>0</v>
      </c>
      <c r="AY91" s="105">
        <f t="shared" ref="AY91:AZ91" si="109">F91+N91+V91+AD91+AL91+AT91</f>
        <v>0</v>
      </c>
      <c r="AZ91" s="105">
        <f t="shared" si="109"/>
        <v>0</v>
      </c>
      <c r="BA91" s="105">
        <f t="shared" si="14"/>
        <v>0</v>
      </c>
      <c r="BB91" s="105">
        <f t="shared" si="15"/>
        <v>0</v>
      </c>
    </row>
    <row r="92" spans="1:54" ht="15" customHeight="1" x14ac:dyDescent="0.25">
      <c r="A92" s="2">
        <v>90</v>
      </c>
      <c r="B92" s="83">
        <f t="shared" si="16"/>
        <v>0</v>
      </c>
      <c r="C92" s="83">
        <f>B92*N(Crédits!$D$5)/12</f>
        <v>0</v>
      </c>
      <c r="D92" s="83">
        <f>MIN(N(Crédits!$E$5),B92+C92)</f>
        <v>0</v>
      </c>
      <c r="E92" s="83">
        <f t="shared" si="0"/>
        <v>0</v>
      </c>
      <c r="F92" s="86">
        <f>IF(Crédits!$K$5="",0,MAX(0,MIN(E92,Plan!$L$94-(IF(Crédits!$K$6="",0,IF(Crédits!$K$6&lt;Crédits!$K$5,M92,0))+IF(Crédits!$K$7="",0,IF(Crédits!$K$7&lt;Crédits!$K$5,U92,0))+IF(Crédits!$K$8="",0,IF(Crédits!$K$8&lt;Crédits!$K$5,AC92,0))+IF(Crédits!$K$9="",0,IF(Crédits!$K$9&lt;Crédits!$K$5,AK92,0))+IF(Crédits!$K$10="",0,IF(Crédits!$K$10&lt;Crédits!$K$5,AS92,0))))))</f>
        <v>0</v>
      </c>
      <c r="G92" s="87">
        <f t="shared" si="1"/>
        <v>0</v>
      </c>
      <c r="H92" s="88">
        <f>ROUND(H91+I92-MIN(N(Crédits!$E$5),H91+I92),2)</f>
        <v>0</v>
      </c>
      <c r="I92" s="89">
        <f>H91*N(Crédits!$D$5)/12</f>
        <v>0</v>
      </c>
      <c r="J92" s="90">
        <f t="shared" si="17"/>
        <v>0</v>
      </c>
      <c r="K92" s="90">
        <f>J92*N(Crédits!$D$6)/12</f>
        <v>0</v>
      </c>
      <c r="L92" s="90">
        <f>MIN(N(Crédits!$E$6),J92+K92)</f>
        <v>0</v>
      </c>
      <c r="M92" s="90">
        <f t="shared" si="2"/>
        <v>0</v>
      </c>
      <c r="N92" s="91">
        <f>IF(Crédits!$K$6="",0,MAX(0,MIN(M92,Plan!$L$94-(IF(Crédits!$K$5="",0,IF(Crédits!$K$5&lt;Crédits!$K$6,E92,0))+IF(Crédits!$K$7="",0,IF(Crédits!$K$7&lt;Crédits!$K$6,U92,0))+IF(Crédits!$K$8="",0,IF(Crédits!$K$8&lt;Crédits!$K$6,AC92,0))+IF(Crédits!$K$9="",0,IF(Crédits!$K$9&lt;Crédits!$K$6,AK92,0))+IF(Crédits!$K$10="",0,IF(Crédits!$K$10&lt;Crédits!$K$6,AS92,0))))))</f>
        <v>0</v>
      </c>
      <c r="O92" s="92">
        <f t="shared" si="3"/>
        <v>0</v>
      </c>
      <c r="P92" s="88">
        <f>ROUND(P91+Q92-MIN(N(Crédits!$E$6),P91+Q92),2)</f>
        <v>0</v>
      </c>
      <c r="Q92" s="89">
        <f>P91*N(Crédits!$D$6)/12</f>
        <v>0</v>
      </c>
      <c r="R92" s="93">
        <f t="shared" si="18"/>
        <v>0</v>
      </c>
      <c r="S92" s="93">
        <f>R92*N(Crédits!$D$7)/12</f>
        <v>0</v>
      </c>
      <c r="T92" s="93">
        <f>MIN(N(Crédits!$E$7),R92+S92)</f>
        <v>0</v>
      </c>
      <c r="U92" s="93">
        <f t="shared" si="4"/>
        <v>0</v>
      </c>
      <c r="V92" s="94">
        <f>IF(Crédits!$K$7="",0,MAX(0,MIN(U92,Plan!$L$94-(IF(Crédits!$K$5="",0,IF(Crédits!$K$5&lt;Crédits!$K$7,E92,0))+IF(Crédits!$K$6="",0,IF(Crédits!$K$6&lt;Crédits!$K$7,M92,0))+IF(Crédits!$K$8="",0,IF(Crédits!$K$8&lt;Crédits!$K$7,AC92,0))+IF(Crédits!$K$9="",0,IF(Crédits!$K$9&lt;Crédits!$K$7,AK92,0))+IF(Crédits!$K$10="",0,IF(Crédits!$K$10&lt;Crédits!$K$7,AS92,0))))))</f>
        <v>0</v>
      </c>
      <c r="W92" s="95">
        <f t="shared" si="5"/>
        <v>0</v>
      </c>
      <c r="X92" s="88">
        <f>ROUND(X91+Y92-MIN(N(Crédits!$E$7),X91+Y92),2)</f>
        <v>0</v>
      </c>
      <c r="Y92" s="89">
        <f>X91*N(Crédits!$D$7)/12</f>
        <v>0</v>
      </c>
      <c r="Z92" s="96">
        <f t="shared" si="19"/>
        <v>0</v>
      </c>
      <c r="AA92" s="96">
        <f>Z92*N(Crédits!$D$8)/12</f>
        <v>0</v>
      </c>
      <c r="AB92" s="96">
        <f>MIN(N(Crédits!$E$8),Z92+AA92)</f>
        <v>0</v>
      </c>
      <c r="AC92" s="96">
        <f t="shared" si="6"/>
        <v>0</v>
      </c>
      <c r="AD92" s="97">
        <f>IF(Crédits!$K$8="",0,MAX(0,MIN(AC92,Plan!$L$94-(IF(Crédits!$K$5="",0,IF(Crédits!$K$5&lt;Crédits!$K$8,E92,0))+IF(Crédits!$K$6="",0,IF(Crédits!$K$6&lt;Crédits!$K$8,M92,0))+IF(Crédits!$K$7="",0,IF(Crédits!$K$7&lt;Crédits!$K$8,U92,0))+IF(Crédits!$K$9="",0,IF(Crédits!$K$9&lt;Crédits!$K$8,AK92,0))+IF(Crédits!$K$10="",0,IF(Crédits!$K$10&lt;Crédits!$K$8,AS92,0))))))</f>
        <v>0</v>
      </c>
      <c r="AE92" s="98">
        <f t="shared" si="7"/>
        <v>0</v>
      </c>
      <c r="AF92" s="88">
        <f>ROUND(AF91+AG92-MIN(N(Crédits!$E$8),AF91+AG92),2)</f>
        <v>0</v>
      </c>
      <c r="AG92" s="89">
        <f>AF91*N(Crédits!$D$8)/12</f>
        <v>0</v>
      </c>
      <c r="AH92" s="99">
        <f t="shared" si="20"/>
        <v>0</v>
      </c>
      <c r="AI92" s="99">
        <f>AH92*N(Crédits!$D$9)/12</f>
        <v>0</v>
      </c>
      <c r="AJ92" s="99">
        <f>MIN(N(Crédits!$E$9),AH92+AI92)</f>
        <v>0</v>
      </c>
      <c r="AK92" s="99">
        <f t="shared" si="8"/>
        <v>0</v>
      </c>
      <c r="AL92" s="100">
        <f>IF(Crédits!$K$9="",0,MAX(0,MIN(AK92,Plan!$L$94-(IF(Crédits!$K$5="",0,IF(Crédits!$K$5&lt;Crédits!$K$9,E92,0))+IF(Crédits!$K$6="",0,IF(Crédits!$K$6&lt;Crédits!$K$9,M92,0))+IF(Crédits!$K$7="",0,IF(Crédits!$K$7&lt;Crédits!$K$9,U92,0))+IF(Crédits!$K$8="",0,IF(Crédits!$K$8&lt;Crédits!$K$9,AC92,0))+IF(Crédits!$K$10="",0,IF(Crédits!$K$10&lt;Crédits!$K$9,AS92,0))))))</f>
        <v>0</v>
      </c>
      <c r="AM92" s="101">
        <f t="shared" si="9"/>
        <v>0</v>
      </c>
      <c r="AN92" s="88">
        <f>ROUND(AN91+AO92-MIN(N(Crédits!$E$9),AN91+AO92),2)</f>
        <v>0</v>
      </c>
      <c r="AO92" s="89">
        <f>AN91*N(Crédits!$D$9)/12</f>
        <v>0</v>
      </c>
      <c r="AP92" s="102">
        <f t="shared" si="21"/>
        <v>0</v>
      </c>
      <c r="AQ92" s="102">
        <f>AP92*N(Crédits!$D$10)/12</f>
        <v>0</v>
      </c>
      <c r="AR92" s="102">
        <f>MIN(N(Crédits!$E$10),AP92+AQ92)</f>
        <v>0</v>
      </c>
      <c r="AS92" s="102">
        <f t="shared" si="10"/>
        <v>0</v>
      </c>
      <c r="AT92" s="103">
        <f>IF(Crédits!$K$10="",0,MAX(0,MIN(AS92,Plan!$L$94-(IF(Crédits!$K$5="",0,IF(Crédits!$K$5&lt;Crédits!$K$10,E92,0))+IF(Crédits!$K$6="",0,IF(Crédits!$K$6&lt;Crédits!$K$10,M92,0))+IF(Crédits!$K$7="",0,IF(Crédits!$K$7&lt;Crédits!$K$10,U92,0))+IF(Crédits!$K$8="",0,IF(Crédits!$K$8&lt;Crédits!$K$10,AC92,0))+IF(Crédits!$K$9="",0,IF(Crédits!$K$9&lt;Crédits!$K$10,AK92,0))))))</f>
        <v>0</v>
      </c>
      <c r="AU92" s="104">
        <f t="shared" si="11"/>
        <v>0</v>
      </c>
      <c r="AV92" s="88">
        <f>ROUND(AV91+AW92-MIN(N(Crédits!$E$10),AV91+AW92),2)</f>
        <v>0</v>
      </c>
      <c r="AW92" s="89">
        <f>AV91*N(Crédits!$D$10)/12</f>
        <v>0</v>
      </c>
      <c r="AX92" s="105">
        <f t="shared" si="12"/>
        <v>0</v>
      </c>
      <c r="AY92" s="105">
        <f t="shared" ref="AY92:AZ92" si="110">F92+N92+V92+AD92+AL92+AT92</f>
        <v>0</v>
      </c>
      <c r="AZ92" s="105">
        <f t="shared" si="110"/>
        <v>0</v>
      </c>
      <c r="BA92" s="105">
        <f t="shared" si="14"/>
        <v>0</v>
      </c>
      <c r="BB92" s="105">
        <f t="shared" si="15"/>
        <v>0</v>
      </c>
    </row>
    <row r="93" spans="1:54" ht="15" customHeight="1" x14ac:dyDescent="0.25">
      <c r="A93" s="2">
        <v>91</v>
      </c>
      <c r="B93" s="83">
        <f t="shared" si="16"/>
        <v>0</v>
      </c>
      <c r="C93" s="83">
        <f>B93*N(Crédits!$D$5)/12</f>
        <v>0</v>
      </c>
      <c r="D93" s="83">
        <f>MIN(N(Crédits!$E$5),B93+C93)</f>
        <v>0</v>
      </c>
      <c r="E93" s="83">
        <f t="shared" si="0"/>
        <v>0</v>
      </c>
      <c r="F93" s="86">
        <f>IF(Crédits!$K$5="",0,MAX(0,MIN(E93,Plan!$L$95-(IF(Crédits!$K$6="",0,IF(Crédits!$K$6&lt;Crédits!$K$5,M93,0))+IF(Crédits!$K$7="",0,IF(Crédits!$K$7&lt;Crédits!$K$5,U93,0))+IF(Crédits!$K$8="",0,IF(Crédits!$K$8&lt;Crédits!$K$5,AC93,0))+IF(Crédits!$K$9="",0,IF(Crédits!$K$9&lt;Crédits!$K$5,AK93,0))+IF(Crédits!$K$10="",0,IF(Crédits!$K$10&lt;Crédits!$K$5,AS93,0))))))</f>
        <v>0</v>
      </c>
      <c r="G93" s="87">
        <f t="shared" si="1"/>
        <v>0</v>
      </c>
      <c r="H93" s="88">
        <f>ROUND(H92+I93-MIN(N(Crédits!$E$5),H92+I93),2)</f>
        <v>0</v>
      </c>
      <c r="I93" s="89">
        <f>H92*N(Crédits!$D$5)/12</f>
        <v>0</v>
      </c>
      <c r="J93" s="90">
        <f t="shared" si="17"/>
        <v>0</v>
      </c>
      <c r="K93" s="90">
        <f>J93*N(Crédits!$D$6)/12</f>
        <v>0</v>
      </c>
      <c r="L93" s="90">
        <f>MIN(N(Crédits!$E$6),J93+K93)</f>
        <v>0</v>
      </c>
      <c r="M93" s="90">
        <f t="shared" si="2"/>
        <v>0</v>
      </c>
      <c r="N93" s="91">
        <f>IF(Crédits!$K$6="",0,MAX(0,MIN(M93,Plan!$L$95-(IF(Crédits!$K$5="",0,IF(Crédits!$K$5&lt;Crédits!$K$6,E93,0))+IF(Crédits!$K$7="",0,IF(Crédits!$K$7&lt;Crédits!$K$6,U93,0))+IF(Crédits!$K$8="",0,IF(Crédits!$K$8&lt;Crédits!$K$6,AC93,0))+IF(Crédits!$K$9="",0,IF(Crédits!$K$9&lt;Crédits!$K$6,AK93,0))+IF(Crédits!$K$10="",0,IF(Crédits!$K$10&lt;Crédits!$K$6,AS93,0))))))</f>
        <v>0</v>
      </c>
      <c r="O93" s="92">
        <f t="shared" si="3"/>
        <v>0</v>
      </c>
      <c r="P93" s="88">
        <f>ROUND(P92+Q93-MIN(N(Crédits!$E$6),P92+Q93),2)</f>
        <v>0</v>
      </c>
      <c r="Q93" s="89">
        <f>P92*N(Crédits!$D$6)/12</f>
        <v>0</v>
      </c>
      <c r="R93" s="93">
        <f t="shared" si="18"/>
        <v>0</v>
      </c>
      <c r="S93" s="93">
        <f>R93*N(Crédits!$D$7)/12</f>
        <v>0</v>
      </c>
      <c r="T93" s="93">
        <f>MIN(N(Crédits!$E$7),R93+S93)</f>
        <v>0</v>
      </c>
      <c r="U93" s="93">
        <f t="shared" si="4"/>
        <v>0</v>
      </c>
      <c r="V93" s="94">
        <f>IF(Crédits!$K$7="",0,MAX(0,MIN(U93,Plan!$L$95-(IF(Crédits!$K$5="",0,IF(Crédits!$K$5&lt;Crédits!$K$7,E93,0))+IF(Crédits!$K$6="",0,IF(Crédits!$K$6&lt;Crédits!$K$7,M93,0))+IF(Crédits!$K$8="",0,IF(Crédits!$K$8&lt;Crédits!$K$7,AC93,0))+IF(Crédits!$K$9="",0,IF(Crédits!$K$9&lt;Crédits!$K$7,AK93,0))+IF(Crédits!$K$10="",0,IF(Crédits!$K$10&lt;Crédits!$K$7,AS93,0))))))</f>
        <v>0</v>
      </c>
      <c r="W93" s="95">
        <f t="shared" si="5"/>
        <v>0</v>
      </c>
      <c r="X93" s="88">
        <f>ROUND(X92+Y93-MIN(N(Crédits!$E$7),X92+Y93),2)</f>
        <v>0</v>
      </c>
      <c r="Y93" s="89">
        <f>X92*N(Crédits!$D$7)/12</f>
        <v>0</v>
      </c>
      <c r="Z93" s="96">
        <f t="shared" si="19"/>
        <v>0</v>
      </c>
      <c r="AA93" s="96">
        <f>Z93*N(Crédits!$D$8)/12</f>
        <v>0</v>
      </c>
      <c r="AB93" s="96">
        <f>MIN(N(Crédits!$E$8),Z93+AA93)</f>
        <v>0</v>
      </c>
      <c r="AC93" s="96">
        <f t="shared" si="6"/>
        <v>0</v>
      </c>
      <c r="AD93" s="97">
        <f>IF(Crédits!$K$8="",0,MAX(0,MIN(AC93,Plan!$L$95-(IF(Crédits!$K$5="",0,IF(Crédits!$K$5&lt;Crédits!$K$8,E93,0))+IF(Crédits!$K$6="",0,IF(Crédits!$K$6&lt;Crédits!$K$8,M93,0))+IF(Crédits!$K$7="",0,IF(Crédits!$K$7&lt;Crédits!$K$8,U93,0))+IF(Crédits!$K$9="",0,IF(Crédits!$K$9&lt;Crédits!$K$8,AK93,0))+IF(Crédits!$K$10="",0,IF(Crédits!$K$10&lt;Crédits!$K$8,AS93,0))))))</f>
        <v>0</v>
      </c>
      <c r="AE93" s="98">
        <f t="shared" si="7"/>
        <v>0</v>
      </c>
      <c r="AF93" s="88">
        <f>ROUND(AF92+AG93-MIN(N(Crédits!$E$8),AF92+AG93),2)</f>
        <v>0</v>
      </c>
      <c r="AG93" s="89">
        <f>AF92*N(Crédits!$D$8)/12</f>
        <v>0</v>
      </c>
      <c r="AH93" s="99">
        <f t="shared" si="20"/>
        <v>0</v>
      </c>
      <c r="AI93" s="99">
        <f>AH93*N(Crédits!$D$9)/12</f>
        <v>0</v>
      </c>
      <c r="AJ93" s="99">
        <f>MIN(N(Crédits!$E$9),AH93+AI93)</f>
        <v>0</v>
      </c>
      <c r="AK93" s="99">
        <f t="shared" si="8"/>
        <v>0</v>
      </c>
      <c r="AL93" s="100">
        <f>IF(Crédits!$K$9="",0,MAX(0,MIN(AK93,Plan!$L$95-(IF(Crédits!$K$5="",0,IF(Crédits!$K$5&lt;Crédits!$K$9,E93,0))+IF(Crédits!$K$6="",0,IF(Crédits!$K$6&lt;Crédits!$K$9,M93,0))+IF(Crédits!$K$7="",0,IF(Crédits!$K$7&lt;Crédits!$K$9,U93,0))+IF(Crédits!$K$8="",0,IF(Crédits!$K$8&lt;Crédits!$K$9,AC93,0))+IF(Crédits!$K$10="",0,IF(Crédits!$K$10&lt;Crédits!$K$9,AS93,0))))))</f>
        <v>0</v>
      </c>
      <c r="AM93" s="101">
        <f t="shared" si="9"/>
        <v>0</v>
      </c>
      <c r="AN93" s="88">
        <f>ROUND(AN92+AO93-MIN(N(Crédits!$E$9),AN92+AO93),2)</f>
        <v>0</v>
      </c>
      <c r="AO93" s="89">
        <f>AN92*N(Crédits!$D$9)/12</f>
        <v>0</v>
      </c>
      <c r="AP93" s="102">
        <f t="shared" si="21"/>
        <v>0</v>
      </c>
      <c r="AQ93" s="102">
        <f>AP93*N(Crédits!$D$10)/12</f>
        <v>0</v>
      </c>
      <c r="AR93" s="102">
        <f>MIN(N(Crédits!$E$10),AP93+AQ93)</f>
        <v>0</v>
      </c>
      <c r="AS93" s="102">
        <f t="shared" si="10"/>
        <v>0</v>
      </c>
      <c r="AT93" s="103">
        <f>IF(Crédits!$K$10="",0,MAX(0,MIN(AS93,Plan!$L$95-(IF(Crédits!$K$5="",0,IF(Crédits!$K$5&lt;Crédits!$K$10,E93,0))+IF(Crédits!$K$6="",0,IF(Crédits!$K$6&lt;Crédits!$K$10,M93,0))+IF(Crédits!$K$7="",0,IF(Crédits!$K$7&lt;Crédits!$K$10,U93,0))+IF(Crédits!$K$8="",0,IF(Crédits!$K$8&lt;Crédits!$K$10,AC93,0))+IF(Crédits!$K$9="",0,IF(Crédits!$K$9&lt;Crédits!$K$10,AK93,0))))))</f>
        <v>0</v>
      </c>
      <c r="AU93" s="104">
        <f t="shared" si="11"/>
        <v>0</v>
      </c>
      <c r="AV93" s="88">
        <f>ROUND(AV92+AW93-MIN(N(Crédits!$E$10),AV92+AW93),2)</f>
        <v>0</v>
      </c>
      <c r="AW93" s="89">
        <f>AV92*N(Crédits!$D$10)/12</f>
        <v>0</v>
      </c>
      <c r="AX93" s="105">
        <f t="shared" si="12"/>
        <v>0</v>
      </c>
      <c r="AY93" s="105">
        <f t="shared" ref="AY93:AZ93" si="111">F93+N93+V93+AD93+AL93+AT93</f>
        <v>0</v>
      </c>
      <c r="AZ93" s="105">
        <f t="shared" si="111"/>
        <v>0</v>
      </c>
      <c r="BA93" s="105">
        <f t="shared" si="14"/>
        <v>0</v>
      </c>
      <c r="BB93" s="105">
        <f t="shared" si="15"/>
        <v>0</v>
      </c>
    </row>
    <row r="94" spans="1:54" ht="15" customHeight="1" x14ac:dyDescent="0.25">
      <c r="A94" s="2">
        <v>92</v>
      </c>
      <c r="B94" s="83">
        <f t="shared" si="16"/>
        <v>0</v>
      </c>
      <c r="C94" s="83">
        <f>B94*N(Crédits!$D$5)/12</f>
        <v>0</v>
      </c>
      <c r="D94" s="83">
        <f>MIN(N(Crédits!$E$5),B94+C94)</f>
        <v>0</v>
      </c>
      <c r="E94" s="83">
        <f t="shared" si="0"/>
        <v>0</v>
      </c>
      <c r="F94" s="86">
        <f>IF(Crédits!$K$5="",0,MAX(0,MIN(E94,Plan!$L$96-(IF(Crédits!$K$6="",0,IF(Crédits!$K$6&lt;Crédits!$K$5,M94,0))+IF(Crédits!$K$7="",0,IF(Crédits!$K$7&lt;Crédits!$K$5,U94,0))+IF(Crédits!$K$8="",0,IF(Crédits!$K$8&lt;Crédits!$K$5,AC94,0))+IF(Crédits!$K$9="",0,IF(Crédits!$K$9&lt;Crédits!$K$5,AK94,0))+IF(Crédits!$K$10="",0,IF(Crédits!$K$10&lt;Crédits!$K$5,AS94,0))))))</f>
        <v>0</v>
      </c>
      <c r="G94" s="87">
        <f t="shared" si="1"/>
        <v>0</v>
      </c>
      <c r="H94" s="88">
        <f>ROUND(H93+I94-MIN(N(Crédits!$E$5),H93+I94),2)</f>
        <v>0</v>
      </c>
      <c r="I94" s="89">
        <f>H93*N(Crédits!$D$5)/12</f>
        <v>0</v>
      </c>
      <c r="J94" s="90">
        <f t="shared" si="17"/>
        <v>0</v>
      </c>
      <c r="K94" s="90">
        <f>J94*N(Crédits!$D$6)/12</f>
        <v>0</v>
      </c>
      <c r="L94" s="90">
        <f>MIN(N(Crédits!$E$6),J94+K94)</f>
        <v>0</v>
      </c>
      <c r="M94" s="90">
        <f t="shared" si="2"/>
        <v>0</v>
      </c>
      <c r="N94" s="91">
        <f>IF(Crédits!$K$6="",0,MAX(0,MIN(M94,Plan!$L$96-(IF(Crédits!$K$5="",0,IF(Crédits!$K$5&lt;Crédits!$K$6,E94,0))+IF(Crédits!$K$7="",0,IF(Crédits!$K$7&lt;Crédits!$K$6,U94,0))+IF(Crédits!$K$8="",0,IF(Crédits!$K$8&lt;Crédits!$K$6,AC94,0))+IF(Crédits!$K$9="",0,IF(Crédits!$K$9&lt;Crédits!$K$6,AK94,0))+IF(Crédits!$K$10="",0,IF(Crédits!$K$10&lt;Crédits!$K$6,AS94,0))))))</f>
        <v>0</v>
      </c>
      <c r="O94" s="92">
        <f t="shared" si="3"/>
        <v>0</v>
      </c>
      <c r="P94" s="88">
        <f>ROUND(P93+Q94-MIN(N(Crédits!$E$6),P93+Q94),2)</f>
        <v>0</v>
      </c>
      <c r="Q94" s="89">
        <f>P93*N(Crédits!$D$6)/12</f>
        <v>0</v>
      </c>
      <c r="R94" s="93">
        <f t="shared" si="18"/>
        <v>0</v>
      </c>
      <c r="S94" s="93">
        <f>R94*N(Crédits!$D$7)/12</f>
        <v>0</v>
      </c>
      <c r="T94" s="93">
        <f>MIN(N(Crédits!$E$7),R94+S94)</f>
        <v>0</v>
      </c>
      <c r="U94" s="93">
        <f t="shared" si="4"/>
        <v>0</v>
      </c>
      <c r="V94" s="94">
        <f>IF(Crédits!$K$7="",0,MAX(0,MIN(U94,Plan!$L$96-(IF(Crédits!$K$5="",0,IF(Crédits!$K$5&lt;Crédits!$K$7,E94,0))+IF(Crédits!$K$6="",0,IF(Crédits!$K$6&lt;Crédits!$K$7,M94,0))+IF(Crédits!$K$8="",0,IF(Crédits!$K$8&lt;Crédits!$K$7,AC94,0))+IF(Crédits!$K$9="",0,IF(Crédits!$K$9&lt;Crédits!$K$7,AK94,0))+IF(Crédits!$K$10="",0,IF(Crédits!$K$10&lt;Crédits!$K$7,AS94,0))))))</f>
        <v>0</v>
      </c>
      <c r="W94" s="95">
        <f t="shared" si="5"/>
        <v>0</v>
      </c>
      <c r="X94" s="88">
        <f>ROUND(X93+Y94-MIN(N(Crédits!$E$7),X93+Y94),2)</f>
        <v>0</v>
      </c>
      <c r="Y94" s="89">
        <f>X93*N(Crédits!$D$7)/12</f>
        <v>0</v>
      </c>
      <c r="Z94" s="96">
        <f t="shared" si="19"/>
        <v>0</v>
      </c>
      <c r="AA94" s="96">
        <f>Z94*N(Crédits!$D$8)/12</f>
        <v>0</v>
      </c>
      <c r="AB94" s="96">
        <f>MIN(N(Crédits!$E$8),Z94+AA94)</f>
        <v>0</v>
      </c>
      <c r="AC94" s="96">
        <f t="shared" si="6"/>
        <v>0</v>
      </c>
      <c r="AD94" s="97">
        <f>IF(Crédits!$K$8="",0,MAX(0,MIN(AC94,Plan!$L$96-(IF(Crédits!$K$5="",0,IF(Crédits!$K$5&lt;Crédits!$K$8,E94,0))+IF(Crédits!$K$6="",0,IF(Crédits!$K$6&lt;Crédits!$K$8,M94,0))+IF(Crédits!$K$7="",0,IF(Crédits!$K$7&lt;Crédits!$K$8,U94,0))+IF(Crédits!$K$9="",0,IF(Crédits!$K$9&lt;Crédits!$K$8,AK94,0))+IF(Crédits!$K$10="",0,IF(Crédits!$K$10&lt;Crédits!$K$8,AS94,0))))))</f>
        <v>0</v>
      </c>
      <c r="AE94" s="98">
        <f t="shared" si="7"/>
        <v>0</v>
      </c>
      <c r="AF94" s="88">
        <f>ROUND(AF93+AG94-MIN(N(Crédits!$E$8),AF93+AG94),2)</f>
        <v>0</v>
      </c>
      <c r="AG94" s="89">
        <f>AF93*N(Crédits!$D$8)/12</f>
        <v>0</v>
      </c>
      <c r="AH94" s="99">
        <f t="shared" si="20"/>
        <v>0</v>
      </c>
      <c r="AI94" s="99">
        <f>AH94*N(Crédits!$D$9)/12</f>
        <v>0</v>
      </c>
      <c r="AJ94" s="99">
        <f>MIN(N(Crédits!$E$9),AH94+AI94)</f>
        <v>0</v>
      </c>
      <c r="AK94" s="99">
        <f t="shared" si="8"/>
        <v>0</v>
      </c>
      <c r="AL94" s="100">
        <f>IF(Crédits!$K$9="",0,MAX(0,MIN(AK94,Plan!$L$96-(IF(Crédits!$K$5="",0,IF(Crédits!$K$5&lt;Crédits!$K$9,E94,0))+IF(Crédits!$K$6="",0,IF(Crédits!$K$6&lt;Crédits!$K$9,M94,0))+IF(Crédits!$K$7="",0,IF(Crédits!$K$7&lt;Crédits!$K$9,U94,0))+IF(Crédits!$K$8="",0,IF(Crédits!$K$8&lt;Crédits!$K$9,AC94,0))+IF(Crédits!$K$10="",0,IF(Crédits!$K$10&lt;Crédits!$K$9,AS94,0))))))</f>
        <v>0</v>
      </c>
      <c r="AM94" s="101">
        <f t="shared" si="9"/>
        <v>0</v>
      </c>
      <c r="AN94" s="88">
        <f>ROUND(AN93+AO94-MIN(N(Crédits!$E$9),AN93+AO94),2)</f>
        <v>0</v>
      </c>
      <c r="AO94" s="89">
        <f>AN93*N(Crédits!$D$9)/12</f>
        <v>0</v>
      </c>
      <c r="AP94" s="102">
        <f t="shared" si="21"/>
        <v>0</v>
      </c>
      <c r="AQ94" s="102">
        <f>AP94*N(Crédits!$D$10)/12</f>
        <v>0</v>
      </c>
      <c r="AR94" s="102">
        <f>MIN(N(Crédits!$E$10),AP94+AQ94)</f>
        <v>0</v>
      </c>
      <c r="AS94" s="102">
        <f t="shared" si="10"/>
        <v>0</v>
      </c>
      <c r="AT94" s="103">
        <f>IF(Crédits!$K$10="",0,MAX(0,MIN(AS94,Plan!$L$96-(IF(Crédits!$K$5="",0,IF(Crédits!$K$5&lt;Crédits!$K$10,E94,0))+IF(Crédits!$K$6="",0,IF(Crédits!$K$6&lt;Crédits!$K$10,M94,0))+IF(Crédits!$K$7="",0,IF(Crédits!$K$7&lt;Crédits!$K$10,U94,0))+IF(Crédits!$K$8="",0,IF(Crédits!$K$8&lt;Crédits!$K$10,AC94,0))+IF(Crédits!$K$9="",0,IF(Crédits!$K$9&lt;Crédits!$K$10,AK94,0))))))</f>
        <v>0</v>
      </c>
      <c r="AU94" s="104">
        <f t="shared" si="11"/>
        <v>0</v>
      </c>
      <c r="AV94" s="88">
        <f>ROUND(AV93+AW94-MIN(N(Crédits!$E$10),AV93+AW94),2)</f>
        <v>0</v>
      </c>
      <c r="AW94" s="89">
        <f>AV93*N(Crédits!$D$10)/12</f>
        <v>0</v>
      </c>
      <c r="AX94" s="105">
        <f t="shared" si="12"/>
        <v>0</v>
      </c>
      <c r="AY94" s="105">
        <f t="shared" ref="AY94:AZ94" si="112">F94+N94+V94+AD94+AL94+AT94</f>
        <v>0</v>
      </c>
      <c r="AZ94" s="105">
        <f t="shared" si="112"/>
        <v>0</v>
      </c>
      <c r="BA94" s="105">
        <f t="shared" si="14"/>
        <v>0</v>
      </c>
      <c r="BB94" s="105">
        <f t="shared" si="15"/>
        <v>0</v>
      </c>
    </row>
    <row r="95" spans="1:54" ht="15" customHeight="1" x14ac:dyDescent="0.25">
      <c r="A95" s="2">
        <v>93</v>
      </c>
      <c r="B95" s="83">
        <f t="shared" si="16"/>
        <v>0</v>
      </c>
      <c r="C95" s="83">
        <f>B95*N(Crédits!$D$5)/12</f>
        <v>0</v>
      </c>
      <c r="D95" s="83">
        <f>MIN(N(Crédits!$E$5),B95+C95)</f>
        <v>0</v>
      </c>
      <c r="E95" s="83">
        <f t="shared" si="0"/>
        <v>0</v>
      </c>
      <c r="F95" s="86">
        <f>IF(Crédits!$K$5="",0,MAX(0,MIN(E95,Plan!$L$97-(IF(Crédits!$K$6="",0,IF(Crédits!$K$6&lt;Crédits!$K$5,M95,0))+IF(Crédits!$K$7="",0,IF(Crédits!$K$7&lt;Crédits!$K$5,U95,0))+IF(Crédits!$K$8="",0,IF(Crédits!$K$8&lt;Crédits!$K$5,AC95,0))+IF(Crédits!$K$9="",0,IF(Crédits!$K$9&lt;Crédits!$K$5,AK95,0))+IF(Crédits!$K$10="",0,IF(Crédits!$K$10&lt;Crédits!$K$5,AS95,0))))))</f>
        <v>0</v>
      </c>
      <c r="G95" s="87">
        <f t="shared" si="1"/>
        <v>0</v>
      </c>
      <c r="H95" s="88">
        <f>ROUND(H94+I95-MIN(N(Crédits!$E$5),H94+I95),2)</f>
        <v>0</v>
      </c>
      <c r="I95" s="89">
        <f>H94*N(Crédits!$D$5)/12</f>
        <v>0</v>
      </c>
      <c r="J95" s="90">
        <f t="shared" si="17"/>
        <v>0</v>
      </c>
      <c r="K95" s="90">
        <f>J95*N(Crédits!$D$6)/12</f>
        <v>0</v>
      </c>
      <c r="L95" s="90">
        <f>MIN(N(Crédits!$E$6),J95+K95)</f>
        <v>0</v>
      </c>
      <c r="M95" s="90">
        <f t="shared" si="2"/>
        <v>0</v>
      </c>
      <c r="N95" s="91">
        <f>IF(Crédits!$K$6="",0,MAX(0,MIN(M95,Plan!$L$97-(IF(Crédits!$K$5="",0,IF(Crédits!$K$5&lt;Crédits!$K$6,E95,0))+IF(Crédits!$K$7="",0,IF(Crédits!$K$7&lt;Crédits!$K$6,U95,0))+IF(Crédits!$K$8="",0,IF(Crédits!$K$8&lt;Crédits!$K$6,AC95,0))+IF(Crédits!$K$9="",0,IF(Crédits!$K$9&lt;Crédits!$K$6,AK95,0))+IF(Crédits!$K$10="",0,IF(Crédits!$K$10&lt;Crédits!$K$6,AS95,0))))))</f>
        <v>0</v>
      </c>
      <c r="O95" s="92">
        <f t="shared" si="3"/>
        <v>0</v>
      </c>
      <c r="P95" s="88">
        <f>ROUND(P94+Q95-MIN(N(Crédits!$E$6),P94+Q95),2)</f>
        <v>0</v>
      </c>
      <c r="Q95" s="89">
        <f>P94*N(Crédits!$D$6)/12</f>
        <v>0</v>
      </c>
      <c r="R95" s="93">
        <f t="shared" si="18"/>
        <v>0</v>
      </c>
      <c r="S95" s="93">
        <f>R95*N(Crédits!$D$7)/12</f>
        <v>0</v>
      </c>
      <c r="T95" s="93">
        <f>MIN(N(Crédits!$E$7),R95+S95)</f>
        <v>0</v>
      </c>
      <c r="U95" s="93">
        <f t="shared" si="4"/>
        <v>0</v>
      </c>
      <c r="V95" s="94">
        <f>IF(Crédits!$K$7="",0,MAX(0,MIN(U95,Plan!$L$97-(IF(Crédits!$K$5="",0,IF(Crédits!$K$5&lt;Crédits!$K$7,E95,0))+IF(Crédits!$K$6="",0,IF(Crédits!$K$6&lt;Crédits!$K$7,M95,0))+IF(Crédits!$K$8="",0,IF(Crédits!$K$8&lt;Crédits!$K$7,AC95,0))+IF(Crédits!$K$9="",0,IF(Crédits!$K$9&lt;Crédits!$K$7,AK95,0))+IF(Crédits!$K$10="",0,IF(Crédits!$K$10&lt;Crédits!$K$7,AS95,0))))))</f>
        <v>0</v>
      </c>
      <c r="W95" s="95">
        <f t="shared" si="5"/>
        <v>0</v>
      </c>
      <c r="X95" s="88">
        <f>ROUND(X94+Y95-MIN(N(Crédits!$E$7),X94+Y95),2)</f>
        <v>0</v>
      </c>
      <c r="Y95" s="89">
        <f>X94*N(Crédits!$D$7)/12</f>
        <v>0</v>
      </c>
      <c r="Z95" s="96">
        <f t="shared" si="19"/>
        <v>0</v>
      </c>
      <c r="AA95" s="96">
        <f>Z95*N(Crédits!$D$8)/12</f>
        <v>0</v>
      </c>
      <c r="AB95" s="96">
        <f>MIN(N(Crédits!$E$8),Z95+AA95)</f>
        <v>0</v>
      </c>
      <c r="AC95" s="96">
        <f t="shared" si="6"/>
        <v>0</v>
      </c>
      <c r="AD95" s="97">
        <f>IF(Crédits!$K$8="",0,MAX(0,MIN(AC95,Plan!$L$97-(IF(Crédits!$K$5="",0,IF(Crédits!$K$5&lt;Crédits!$K$8,E95,0))+IF(Crédits!$K$6="",0,IF(Crédits!$K$6&lt;Crédits!$K$8,M95,0))+IF(Crédits!$K$7="",0,IF(Crédits!$K$7&lt;Crédits!$K$8,U95,0))+IF(Crédits!$K$9="",0,IF(Crédits!$K$9&lt;Crédits!$K$8,AK95,0))+IF(Crédits!$K$10="",0,IF(Crédits!$K$10&lt;Crédits!$K$8,AS95,0))))))</f>
        <v>0</v>
      </c>
      <c r="AE95" s="98">
        <f t="shared" si="7"/>
        <v>0</v>
      </c>
      <c r="AF95" s="88">
        <f>ROUND(AF94+AG95-MIN(N(Crédits!$E$8),AF94+AG95),2)</f>
        <v>0</v>
      </c>
      <c r="AG95" s="89">
        <f>AF94*N(Crédits!$D$8)/12</f>
        <v>0</v>
      </c>
      <c r="AH95" s="99">
        <f t="shared" si="20"/>
        <v>0</v>
      </c>
      <c r="AI95" s="99">
        <f>AH95*N(Crédits!$D$9)/12</f>
        <v>0</v>
      </c>
      <c r="AJ95" s="99">
        <f>MIN(N(Crédits!$E$9),AH95+AI95)</f>
        <v>0</v>
      </c>
      <c r="AK95" s="99">
        <f t="shared" si="8"/>
        <v>0</v>
      </c>
      <c r="AL95" s="100">
        <f>IF(Crédits!$K$9="",0,MAX(0,MIN(AK95,Plan!$L$97-(IF(Crédits!$K$5="",0,IF(Crédits!$K$5&lt;Crédits!$K$9,E95,0))+IF(Crédits!$K$6="",0,IF(Crédits!$K$6&lt;Crédits!$K$9,M95,0))+IF(Crédits!$K$7="",0,IF(Crédits!$K$7&lt;Crédits!$K$9,U95,0))+IF(Crédits!$K$8="",0,IF(Crédits!$K$8&lt;Crédits!$K$9,AC95,0))+IF(Crédits!$K$10="",0,IF(Crédits!$K$10&lt;Crédits!$K$9,AS95,0))))))</f>
        <v>0</v>
      </c>
      <c r="AM95" s="101">
        <f t="shared" si="9"/>
        <v>0</v>
      </c>
      <c r="AN95" s="88">
        <f>ROUND(AN94+AO95-MIN(N(Crédits!$E$9),AN94+AO95),2)</f>
        <v>0</v>
      </c>
      <c r="AO95" s="89">
        <f>AN94*N(Crédits!$D$9)/12</f>
        <v>0</v>
      </c>
      <c r="AP95" s="102">
        <f t="shared" si="21"/>
        <v>0</v>
      </c>
      <c r="AQ95" s="102">
        <f>AP95*N(Crédits!$D$10)/12</f>
        <v>0</v>
      </c>
      <c r="AR95" s="102">
        <f>MIN(N(Crédits!$E$10),AP95+AQ95)</f>
        <v>0</v>
      </c>
      <c r="AS95" s="102">
        <f t="shared" si="10"/>
        <v>0</v>
      </c>
      <c r="AT95" s="103">
        <f>IF(Crédits!$K$10="",0,MAX(0,MIN(AS95,Plan!$L$97-(IF(Crédits!$K$5="",0,IF(Crédits!$K$5&lt;Crédits!$K$10,E95,0))+IF(Crédits!$K$6="",0,IF(Crédits!$K$6&lt;Crédits!$K$10,M95,0))+IF(Crédits!$K$7="",0,IF(Crédits!$K$7&lt;Crédits!$K$10,U95,0))+IF(Crédits!$K$8="",0,IF(Crédits!$K$8&lt;Crédits!$K$10,AC95,0))+IF(Crédits!$K$9="",0,IF(Crédits!$K$9&lt;Crédits!$K$10,AK95,0))))))</f>
        <v>0</v>
      </c>
      <c r="AU95" s="104">
        <f t="shared" si="11"/>
        <v>0</v>
      </c>
      <c r="AV95" s="88">
        <f>ROUND(AV94+AW95-MIN(N(Crédits!$E$10),AV94+AW95),2)</f>
        <v>0</v>
      </c>
      <c r="AW95" s="89">
        <f>AV94*N(Crédits!$D$10)/12</f>
        <v>0</v>
      </c>
      <c r="AX95" s="105">
        <f t="shared" si="12"/>
        <v>0</v>
      </c>
      <c r="AY95" s="105">
        <f t="shared" ref="AY95:AZ95" si="113">F95+N95+V95+AD95+AL95+AT95</f>
        <v>0</v>
      </c>
      <c r="AZ95" s="105">
        <f t="shared" si="113"/>
        <v>0</v>
      </c>
      <c r="BA95" s="105">
        <f t="shared" si="14"/>
        <v>0</v>
      </c>
      <c r="BB95" s="105">
        <f t="shared" si="15"/>
        <v>0</v>
      </c>
    </row>
    <row r="96" spans="1:54" ht="15" customHeight="1" x14ac:dyDescent="0.25">
      <c r="A96" s="2">
        <v>94</v>
      </c>
      <c r="B96" s="83">
        <f t="shared" si="16"/>
        <v>0</v>
      </c>
      <c r="C96" s="83">
        <f>B96*N(Crédits!$D$5)/12</f>
        <v>0</v>
      </c>
      <c r="D96" s="83">
        <f>MIN(N(Crédits!$E$5),B96+C96)</f>
        <v>0</v>
      </c>
      <c r="E96" s="83">
        <f t="shared" si="0"/>
        <v>0</v>
      </c>
      <c r="F96" s="86">
        <f>IF(Crédits!$K$5="",0,MAX(0,MIN(E96,Plan!$L$98-(IF(Crédits!$K$6="",0,IF(Crédits!$K$6&lt;Crédits!$K$5,M96,0))+IF(Crédits!$K$7="",0,IF(Crédits!$K$7&lt;Crédits!$K$5,U96,0))+IF(Crédits!$K$8="",0,IF(Crédits!$K$8&lt;Crédits!$K$5,AC96,0))+IF(Crédits!$K$9="",0,IF(Crédits!$K$9&lt;Crédits!$K$5,AK96,0))+IF(Crédits!$K$10="",0,IF(Crédits!$K$10&lt;Crédits!$K$5,AS96,0))))))</f>
        <v>0</v>
      </c>
      <c r="G96" s="87">
        <f t="shared" si="1"/>
        <v>0</v>
      </c>
      <c r="H96" s="88">
        <f>ROUND(H95+I96-MIN(N(Crédits!$E$5),H95+I96),2)</f>
        <v>0</v>
      </c>
      <c r="I96" s="89">
        <f>H95*N(Crédits!$D$5)/12</f>
        <v>0</v>
      </c>
      <c r="J96" s="90">
        <f t="shared" si="17"/>
        <v>0</v>
      </c>
      <c r="K96" s="90">
        <f>J96*N(Crédits!$D$6)/12</f>
        <v>0</v>
      </c>
      <c r="L96" s="90">
        <f>MIN(N(Crédits!$E$6),J96+K96)</f>
        <v>0</v>
      </c>
      <c r="M96" s="90">
        <f t="shared" si="2"/>
        <v>0</v>
      </c>
      <c r="N96" s="91">
        <f>IF(Crédits!$K$6="",0,MAX(0,MIN(M96,Plan!$L$98-(IF(Crédits!$K$5="",0,IF(Crédits!$K$5&lt;Crédits!$K$6,E96,0))+IF(Crédits!$K$7="",0,IF(Crédits!$K$7&lt;Crédits!$K$6,U96,0))+IF(Crédits!$K$8="",0,IF(Crédits!$K$8&lt;Crédits!$K$6,AC96,0))+IF(Crédits!$K$9="",0,IF(Crédits!$K$9&lt;Crédits!$K$6,AK96,0))+IF(Crédits!$K$10="",0,IF(Crédits!$K$10&lt;Crédits!$K$6,AS96,0))))))</f>
        <v>0</v>
      </c>
      <c r="O96" s="92">
        <f t="shared" si="3"/>
        <v>0</v>
      </c>
      <c r="P96" s="88">
        <f>ROUND(P95+Q96-MIN(N(Crédits!$E$6),P95+Q96),2)</f>
        <v>0</v>
      </c>
      <c r="Q96" s="89">
        <f>P95*N(Crédits!$D$6)/12</f>
        <v>0</v>
      </c>
      <c r="R96" s="93">
        <f t="shared" si="18"/>
        <v>0</v>
      </c>
      <c r="S96" s="93">
        <f>R96*N(Crédits!$D$7)/12</f>
        <v>0</v>
      </c>
      <c r="T96" s="93">
        <f>MIN(N(Crédits!$E$7),R96+S96)</f>
        <v>0</v>
      </c>
      <c r="U96" s="93">
        <f t="shared" si="4"/>
        <v>0</v>
      </c>
      <c r="V96" s="94">
        <f>IF(Crédits!$K$7="",0,MAX(0,MIN(U96,Plan!$L$98-(IF(Crédits!$K$5="",0,IF(Crédits!$K$5&lt;Crédits!$K$7,E96,0))+IF(Crédits!$K$6="",0,IF(Crédits!$K$6&lt;Crédits!$K$7,M96,0))+IF(Crédits!$K$8="",0,IF(Crédits!$K$8&lt;Crédits!$K$7,AC96,0))+IF(Crédits!$K$9="",0,IF(Crédits!$K$9&lt;Crédits!$K$7,AK96,0))+IF(Crédits!$K$10="",0,IF(Crédits!$K$10&lt;Crédits!$K$7,AS96,0))))))</f>
        <v>0</v>
      </c>
      <c r="W96" s="95">
        <f t="shared" si="5"/>
        <v>0</v>
      </c>
      <c r="X96" s="88">
        <f>ROUND(X95+Y96-MIN(N(Crédits!$E$7),X95+Y96),2)</f>
        <v>0</v>
      </c>
      <c r="Y96" s="89">
        <f>X95*N(Crédits!$D$7)/12</f>
        <v>0</v>
      </c>
      <c r="Z96" s="96">
        <f t="shared" si="19"/>
        <v>0</v>
      </c>
      <c r="AA96" s="96">
        <f>Z96*N(Crédits!$D$8)/12</f>
        <v>0</v>
      </c>
      <c r="AB96" s="96">
        <f>MIN(N(Crédits!$E$8),Z96+AA96)</f>
        <v>0</v>
      </c>
      <c r="AC96" s="96">
        <f t="shared" si="6"/>
        <v>0</v>
      </c>
      <c r="AD96" s="97">
        <f>IF(Crédits!$K$8="",0,MAX(0,MIN(AC96,Plan!$L$98-(IF(Crédits!$K$5="",0,IF(Crédits!$K$5&lt;Crédits!$K$8,E96,0))+IF(Crédits!$K$6="",0,IF(Crédits!$K$6&lt;Crédits!$K$8,M96,0))+IF(Crédits!$K$7="",0,IF(Crédits!$K$7&lt;Crédits!$K$8,U96,0))+IF(Crédits!$K$9="",0,IF(Crédits!$K$9&lt;Crédits!$K$8,AK96,0))+IF(Crédits!$K$10="",0,IF(Crédits!$K$10&lt;Crédits!$K$8,AS96,0))))))</f>
        <v>0</v>
      </c>
      <c r="AE96" s="98">
        <f t="shared" si="7"/>
        <v>0</v>
      </c>
      <c r="AF96" s="88">
        <f>ROUND(AF95+AG96-MIN(N(Crédits!$E$8),AF95+AG96),2)</f>
        <v>0</v>
      </c>
      <c r="AG96" s="89">
        <f>AF95*N(Crédits!$D$8)/12</f>
        <v>0</v>
      </c>
      <c r="AH96" s="99">
        <f t="shared" si="20"/>
        <v>0</v>
      </c>
      <c r="AI96" s="99">
        <f>AH96*N(Crédits!$D$9)/12</f>
        <v>0</v>
      </c>
      <c r="AJ96" s="99">
        <f>MIN(N(Crédits!$E$9),AH96+AI96)</f>
        <v>0</v>
      </c>
      <c r="AK96" s="99">
        <f t="shared" si="8"/>
        <v>0</v>
      </c>
      <c r="AL96" s="100">
        <f>IF(Crédits!$K$9="",0,MAX(0,MIN(AK96,Plan!$L$98-(IF(Crédits!$K$5="",0,IF(Crédits!$K$5&lt;Crédits!$K$9,E96,0))+IF(Crédits!$K$6="",0,IF(Crédits!$K$6&lt;Crédits!$K$9,M96,0))+IF(Crédits!$K$7="",0,IF(Crédits!$K$7&lt;Crédits!$K$9,U96,0))+IF(Crédits!$K$8="",0,IF(Crédits!$K$8&lt;Crédits!$K$9,AC96,0))+IF(Crédits!$K$10="",0,IF(Crédits!$K$10&lt;Crédits!$K$9,AS96,0))))))</f>
        <v>0</v>
      </c>
      <c r="AM96" s="101">
        <f t="shared" si="9"/>
        <v>0</v>
      </c>
      <c r="AN96" s="88">
        <f>ROUND(AN95+AO96-MIN(N(Crédits!$E$9),AN95+AO96),2)</f>
        <v>0</v>
      </c>
      <c r="AO96" s="89">
        <f>AN95*N(Crédits!$D$9)/12</f>
        <v>0</v>
      </c>
      <c r="AP96" s="102">
        <f t="shared" si="21"/>
        <v>0</v>
      </c>
      <c r="AQ96" s="102">
        <f>AP96*N(Crédits!$D$10)/12</f>
        <v>0</v>
      </c>
      <c r="AR96" s="102">
        <f>MIN(N(Crédits!$E$10),AP96+AQ96)</f>
        <v>0</v>
      </c>
      <c r="AS96" s="102">
        <f t="shared" si="10"/>
        <v>0</v>
      </c>
      <c r="AT96" s="103">
        <f>IF(Crédits!$K$10="",0,MAX(0,MIN(AS96,Plan!$L$98-(IF(Crédits!$K$5="",0,IF(Crédits!$K$5&lt;Crédits!$K$10,E96,0))+IF(Crédits!$K$6="",0,IF(Crédits!$K$6&lt;Crédits!$K$10,M96,0))+IF(Crédits!$K$7="",0,IF(Crédits!$K$7&lt;Crédits!$K$10,U96,0))+IF(Crédits!$K$8="",0,IF(Crédits!$K$8&lt;Crédits!$K$10,AC96,0))+IF(Crédits!$K$9="",0,IF(Crédits!$K$9&lt;Crédits!$K$10,AK96,0))))))</f>
        <v>0</v>
      </c>
      <c r="AU96" s="104">
        <f t="shared" si="11"/>
        <v>0</v>
      </c>
      <c r="AV96" s="88">
        <f>ROUND(AV95+AW96-MIN(N(Crédits!$E$10),AV95+AW96),2)</f>
        <v>0</v>
      </c>
      <c r="AW96" s="89">
        <f>AV95*N(Crédits!$D$10)/12</f>
        <v>0</v>
      </c>
      <c r="AX96" s="105">
        <f t="shared" si="12"/>
        <v>0</v>
      </c>
      <c r="AY96" s="105">
        <f t="shared" ref="AY96:AZ96" si="114">F96+N96+V96+AD96+AL96+AT96</f>
        <v>0</v>
      </c>
      <c r="AZ96" s="105">
        <f t="shared" si="114"/>
        <v>0</v>
      </c>
      <c r="BA96" s="105">
        <f t="shared" si="14"/>
        <v>0</v>
      </c>
      <c r="BB96" s="105">
        <f t="shared" si="15"/>
        <v>0</v>
      </c>
    </row>
    <row r="97" spans="1:54" ht="15" customHeight="1" x14ac:dyDescent="0.25">
      <c r="A97" s="2">
        <v>95</v>
      </c>
      <c r="B97" s="83">
        <f t="shared" si="16"/>
        <v>0</v>
      </c>
      <c r="C97" s="83">
        <f>B97*N(Crédits!$D$5)/12</f>
        <v>0</v>
      </c>
      <c r="D97" s="83">
        <f>MIN(N(Crédits!$E$5),B97+C97)</f>
        <v>0</v>
      </c>
      <c r="E97" s="83">
        <f t="shared" si="0"/>
        <v>0</v>
      </c>
      <c r="F97" s="86">
        <f>IF(Crédits!$K$5="",0,MAX(0,MIN(E97,Plan!$L$99-(IF(Crédits!$K$6="",0,IF(Crédits!$K$6&lt;Crédits!$K$5,M97,0))+IF(Crédits!$K$7="",0,IF(Crédits!$K$7&lt;Crédits!$K$5,U97,0))+IF(Crédits!$K$8="",0,IF(Crédits!$K$8&lt;Crédits!$K$5,AC97,0))+IF(Crédits!$K$9="",0,IF(Crédits!$K$9&lt;Crédits!$K$5,AK97,0))+IF(Crédits!$K$10="",0,IF(Crédits!$K$10&lt;Crédits!$K$5,AS97,0))))))</f>
        <v>0</v>
      </c>
      <c r="G97" s="87">
        <f t="shared" si="1"/>
        <v>0</v>
      </c>
      <c r="H97" s="88">
        <f>ROUND(H96+I97-MIN(N(Crédits!$E$5),H96+I97),2)</f>
        <v>0</v>
      </c>
      <c r="I97" s="89">
        <f>H96*N(Crédits!$D$5)/12</f>
        <v>0</v>
      </c>
      <c r="J97" s="90">
        <f t="shared" si="17"/>
        <v>0</v>
      </c>
      <c r="K97" s="90">
        <f>J97*N(Crédits!$D$6)/12</f>
        <v>0</v>
      </c>
      <c r="L97" s="90">
        <f>MIN(N(Crédits!$E$6),J97+K97)</f>
        <v>0</v>
      </c>
      <c r="M97" s="90">
        <f t="shared" si="2"/>
        <v>0</v>
      </c>
      <c r="N97" s="91">
        <f>IF(Crédits!$K$6="",0,MAX(0,MIN(M97,Plan!$L$99-(IF(Crédits!$K$5="",0,IF(Crédits!$K$5&lt;Crédits!$K$6,E97,0))+IF(Crédits!$K$7="",0,IF(Crédits!$K$7&lt;Crédits!$K$6,U97,0))+IF(Crédits!$K$8="",0,IF(Crédits!$K$8&lt;Crédits!$K$6,AC97,0))+IF(Crédits!$K$9="",0,IF(Crédits!$K$9&lt;Crédits!$K$6,AK97,0))+IF(Crédits!$K$10="",0,IF(Crédits!$K$10&lt;Crédits!$K$6,AS97,0))))))</f>
        <v>0</v>
      </c>
      <c r="O97" s="92">
        <f t="shared" si="3"/>
        <v>0</v>
      </c>
      <c r="P97" s="88">
        <f>ROUND(P96+Q97-MIN(N(Crédits!$E$6),P96+Q97),2)</f>
        <v>0</v>
      </c>
      <c r="Q97" s="89">
        <f>P96*N(Crédits!$D$6)/12</f>
        <v>0</v>
      </c>
      <c r="R97" s="93">
        <f t="shared" si="18"/>
        <v>0</v>
      </c>
      <c r="S97" s="93">
        <f>R97*N(Crédits!$D$7)/12</f>
        <v>0</v>
      </c>
      <c r="T97" s="93">
        <f>MIN(N(Crédits!$E$7),R97+S97)</f>
        <v>0</v>
      </c>
      <c r="U97" s="93">
        <f t="shared" si="4"/>
        <v>0</v>
      </c>
      <c r="V97" s="94">
        <f>IF(Crédits!$K$7="",0,MAX(0,MIN(U97,Plan!$L$99-(IF(Crédits!$K$5="",0,IF(Crédits!$K$5&lt;Crédits!$K$7,E97,0))+IF(Crédits!$K$6="",0,IF(Crédits!$K$6&lt;Crédits!$K$7,M97,0))+IF(Crédits!$K$8="",0,IF(Crédits!$K$8&lt;Crédits!$K$7,AC97,0))+IF(Crédits!$K$9="",0,IF(Crédits!$K$9&lt;Crédits!$K$7,AK97,0))+IF(Crédits!$K$10="",0,IF(Crédits!$K$10&lt;Crédits!$K$7,AS97,0))))))</f>
        <v>0</v>
      </c>
      <c r="W97" s="95">
        <f t="shared" si="5"/>
        <v>0</v>
      </c>
      <c r="X97" s="88">
        <f>ROUND(X96+Y97-MIN(N(Crédits!$E$7),X96+Y97),2)</f>
        <v>0</v>
      </c>
      <c r="Y97" s="89">
        <f>X96*N(Crédits!$D$7)/12</f>
        <v>0</v>
      </c>
      <c r="Z97" s="96">
        <f t="shared" si="19"/>
        <v>0</v>
      </c>
      <c r="AA97" s="96">
        <f>Z97*N(Crédits!$D$8)/12</f>
        <v>0</v>
      </c>
      <c r="AB97" s="96">
        <f>MIN(N(Crédits!$E$8),Z97+AA97)</f>
        <v>0</v>
      </c>
      <c r="AC97" s="96">
        <f t="shared" si="6"/>
        <v>0</v>
      </c>
      <c r="AD97" s="97">
        <f>IF(Crédits!$K$8="",0,MAX(0,MIN(AC97,Plan!$L$99-(IF(Crédits!$K$5="",0,IF(Crédits!$K$5&lt;Crédits!$K$8,E97,0))+IF(Crédits!$K$6="",0,IF(Crédits!$K$6&lt;Crédits!$K$8,M97,0))+IF(Crédits!$K$7="",0,IF(Crédits!$K$7&lt;Crédits!$K$8,U97,0))+IF(Crédits!$K$9="",0,IF(Crédits!$K$9&lt;Crédits!$K$8,AK97,0))+IF(Crédits!$K$10="",0,IF(Crédits!$K$10&lt;Crédits!$K$8,AS97,0))))))</f>
        <v>0</v>
      </c>
      <c r="AE97" s="98">
        <f t="shared" si="7"/>
        <v>0</v>
      </c>
      <c r="AF97" s="88">
        <f>ROUND(AF96+AG97-MIN(N(Crédits!$E$8),AF96+AG97),2)</f>
        <v>0</v>
      </c>
      <c r="AG97" s="89">
        <f>AF96*N(Crédits!$D$8)/12</f>
        <v>0</v>
      </c>
      <c r="AH97" s="99">
        <f t="shared" si="20"/>
        <v>0</v>
      </c>
      <c r="AI97" s="99">
        <f>AH97*N(Crédits!$D$9)/12</f>
        <v>0</v>
      </c>
      <c r="AJ97" s="99">
        <f>MIN(N(Crédits!$E$9),AH97+AI97)</f>
        <v>0</v>
      </c>
      <c r="AK97" s="99">
        <f t="shared" si="8"/>
        <v>0</v>
      </c>
      <c r="AL97" s="100">
        <f>IF(Crédits!$K$9="",0,MAX(0,MIN(AK97,Plan!$L$99-(IF(Crédits!$K$5="",0,IF(Crédits!$K$5&lt;Crédits!$K$9,E97,0))+IF(Crédits!$K$6="",0,IF(Crédits!$K$6&lt;Crédits!$K$9,M97,0))+IF(Crédits!$K$7="",0,IF(Crédits!$K$7&lt;Crédits!$K$9,U97,0))+IF(Crédits!$K$8="",0,IF(Crédits!$K$8&lt;Crédits!$K$9,AC97,0))+IF(Crédits!$K$10="",0,IF(Crédits!$K$10&lt;Crédits!$K$9,AS97,0))))))</f>
        <v>0</v>
      </c>
      <c r="AM97" s="101">
        <f t="shared" si="9"/>
        <v>0</v>
      </c>
      <c r="AN97" s="88">
        <f>ROUND(AN96+AO97-MIN(N(Crédits!$E$9),AN96+AO97),2)</f>
        <v>0</v>
      </c>
      <c r="AO97" s="89">
        <f>AN96*N(Crédits!$D$9)/12</f>
        <v>0</v>
      </c>
      <c r="AP97" s="102">
        <f t="shared" si="21"/>
        <v>0</v>
      </c>
      <c r="AQ97" s="102">
        <f>AP97*N(Crédits!$D$10)/12</f>
        <v>0</v>
      </c>
      <c r="AR97" s="102">
        <f>MIN(N(Crédits!$E$10),AP97+AQ97)</f>
        <v>0</v>
      </c>
      <c r="AS97" s="102">
        <f t="shared" si="10"/>
        <v>0</v>
      </c>
      <c r="AT97" s="103">
        <f>IF(Crédits!$K$10="",0,MAX(0,MIN(AS97,Plan!$L$99-(IF(Crédits!$K$5="",0,IF(Crédits!$K$5&lt;Crédits!$K$10,E97,0))+IF(Crédits!$K$6="",0,IF(Crédits!$K$6&lt;Crédits!$K$10,M97,0))+IF(Crédits!$K$7="",0,IF(Crédits!$K$7&lt;Crédits!$K$10,U97,0))+IF(Crédits!$K$8="",0,IF(Crédits!$K$8&lt;Crédits!$K$10,AC97,0))+IF(Crédits!$K$9="",0,IF(Crédits!$K$9&lt;Crédits!$K$10,AK97,0))))))</f>
        <v>0</v>
      </c>
      <c r="AU97" s="104">
        <f t="shared" si="11"/>
        <v>0</v>
      </c>
      <c r="AV97" s="88">
        <f>ROUND(AV96+AW97-MIN(N(Crédits!$E$10),AV96+AW97),2)</f>
        <v>0</v>
      </c>
      <c r="AW97" s="89">
        <f>AV96*N(Crédits!$D$10)/12</f>
        <v>0</v>
      </c>
      <c r="AX97" s="105">
        <f t="shared" si="12"/>
        <v>0</v>
      </c>
      <c r="AY97" s="105">
        <f t="shared" ref="AY97:AZ97" si="115">F97+N97+V97+AD97+AL97+AT97</f>
        <v>0</v>
      </c>
      <c r="AZ97" s="105">
        <f t="shared" si="115"/>
        <v>0</v>
      </c>
      <c r="BA97" s="105">
        <f t="shared" si="14"/>
        <v>0</v>
      </c>
      <c r="BB97" s="105">
        <f t="shared" si="15"/>
        <v>0</v>
      </c>
    </row>
    <row r="98" spans="1:54" ht="15" customHeight="1" x14ac:dyDescent="0.25">
      <c r="A98" s="2">
        <v>96</v>
      </c>
      <c r="B98" s="83">
        <f t="shared" si="16"/>
        <v>0</v>
      </c>
      <c r="C98" s="83">
        <f>B98*N(Crédits!$D$5)/12</f>
        <v>0</v>
      </c>
      <c r="D98" s="83">
        <f>MIN(N(Crédits!$E$5),B98+C98)</f>
        <v>0</v>
      </c>
      <c r="E98" s="83">
        <f t="shared" si="0"/>
        <v>0</v>
      </c>
      <c r="F98" s="86">
        <f>IF(Crédits!$K$5="",0,MAX(0,MIN(E98,Plan!$L$100-(IF(Crédits!$K$6="",0,IF(Crédits!$K$6&lt;Crédits!$K$5,M98,0))+IF(Crédits!$K$7="",0,IF(Crédits!$K$7&lt;Crédits!$K$5,U98,0))+IF(Crédits!$K$8="",0,IF(Crédits!$K$8&lt;Crédits!$K$5,AC98,0))+IF(Crédits!$K$9="",0,IF(Crédits!$K$9&lt;Crédits!$K$5,AK98,0))+IF(Crédits!$K$10="",0,IF(Crédits!$K$10&lt;Crédits!$K$5,AS98,0))))))</f>
        <v>0</v>
      </c>
      <c r="G98" s="87">
        <f t="shared" si="1"/>
        <v>0</v>
      </c>
      <c r="H98" s="88">
        <f>ROUND(H97+I98-MIN(N(Crédits!$E$5),H97+I98),2)</f>
        <v>0</v>
      </c>
      <c r="I98" s="89">
        <f>H97*N(Crédits!$D$5)/12</f>
        <v>0</v>
      </c>
      <c r="J98" s="90">
        <f t="shared" si="17"/>
        <v>0</v>
      </c>
      <c r="K98" s="90">
        <f>J98*N(Crédits!$D$6)/12</f>
        <v>0</v>
      </c>
      <c r="L98" s="90">
        <f>MIN(N(Crédits!$E$6),J98+K98)</f>
        <v>0</v>
      </c>
      <c r="M98" s="90">
        <f t="shared" si="2"/>
        <v>0</v>
      </c>
      <c r="N98" s="91">
        <f>IF(Crédits!$K$6="",0,MAX(0,MIN(M98,Plan!$L$100-(IF(Crédits!$K$5="",0,IF(Crédits!$K$5&lt;Crédits!$K$6,E98,0))+IF(Crédits!$K$7="",0,IF(Crédits!$K$7&lt;Crédits!$K$6,U98,0))+IF(Crédits!$K$8="",0,IF(Crédits!$K$8&lt;Crédits!$K$6,AC98,0))+IF(Crédits!$K$9="",0,IF(Crédits!$K$9&lt;Crédits!$K$6,AK98,0))+IF(Crédits!$K$10="",0,IF(Crédits!$K$10&lt;Crédits!$K$6,AS98,0))))))</f>
        <v>0</v>
      </c>
      <c r="O98" s="92">
        <f t="shared" si="3"/>
        <v>0</v>
      </c>
      <c r="P98" s="88">
        <f>ROUND(P97+Q98-MIN(N(Crédits!$E$6),P97+Q98),2)</f>
        <v>0</v>
      </c>
      <c r="Q98" s="89">
        <f>P97*N(Crédits!$D$6)/12</f>
        <v>0</v>
      </c>
      <c r="R98" s="93">
        <f t="shared" si="18"/>
        <v>0</v>
      </c>
      <c r="S98" s="93">
        <f>R98*N(Crédits!$D$7)/12</f>
        <v>0</v>
      </c>
      <c r="T98" s="93">
        <f>MIN(N(Crédits!$E$7),R98+S98)</f>
        <v>0</v>
      </c>
      <c r="U98" s="93">
        <f t="shared" si="4"/>
        <v>0</v>
      </c>
      <c r="V98" s="94">
        <f>IF(Crédits!$K$7="",0,MAX(0,MIN(U98,Plan!$L$100-(IF(Crédits!$K$5="",0,IF(Crédits!$K$5&lt;Crédits!$K$7,E98,0))+IF(Crédits!$K$6="",0,IF(Crédits!$K$6&lt;Crédits!$K$7,M98,0))+IF(Crédits!$K$8="",0,IF(Crédits!$K$8&lt;Crédits!$K$7,AC98,0))+IF(Crédits!$K$9="",0,IF(Crédits!$K$9&lt;Crédits!$K$7,AK98,0))+IF(Crédits!$K$10="",0,IF(Crédits!$K$10&lt;Crédits!$K$7,AS98,0))))))</f>
        <v>0</v>
      </c>
      <c r="W98" s="95">
        <f t="shared" si="5"/>
        <v>0</v>
      </c>
      <c r="X98" s="88">
        <f>ROUND(X97+Y98-MIN(N(Crédits!$E$7),X97+Y98),2)</f>
        <v>0</v>
      </c>
      <c r="Y98" s="89">
        <f>X97*N(Crédits!$D$7)/12</f>
        <v>0</v>
      </c>
      <c r="Z98" s="96">
        <f t="shared" si="19"/>
        <v>0</v>
      </c>
      <c r="AA98" s="96">
        <f>Z98*N(Crédits!$D$8)/12</f>
        <v>0</v>
      </c>
      <c r="AB98" s="96">
        <f>MIN(N(Crédits!$E$8),Z98+AA98)</f>
        <v>0</v>
      </c>
      <c r="AC98" s="96">
        <f t="shared" si="6"/>
        <v>0</v>
      </c>
      <c r="AD98" s="97">
        <f>IF(Crédits!$K$8="",0,MAX(0,MIN(AC98,Plan!$L$100-(IF(Crédits!$K$5="",0,IF(Crédits!$K$5&lt;Crédits!$K$8,E98,0))+IF(Crédits!$K$6="",0,IF(Crédits!$K$6&lt;Crédits!$K$8,M98,0))+IF(Crédits!$K$7="",0,IF(Crédits!$K$7&lt;Crédits!$K$8,U98,0))+IF(Crédits!$K$9="",0,IF(Crédits!$K$9&lt;Crédits!$K$8,AK98,0))+IF(Crédits!$K$10="",0,IF(Crédits!$K$10&lt;Crédits!$K$8,AS98,0))))))</f>
        <v>0</v>
      </c>
      <c r="AE98" s="98">
        <f t="shared" si="7"/>
        <v>0</v>
      </c>
      <c r="AF98" s="88">
        <f>ROUND(AF97+AG98-MIN(N(Crédits!$E$8),AF97+AG98),2)</f>
        <v>0</v>
      </c>
      <c r="AG98" s="89">
        <f>AF97*N(Crédits!$D$8)/12</f>
        <v>0</v>
      </c>
      <c r="AH98" s="99">
        <f t="shared" si="20"/>
        <v>0</v>
      </c>
      <c r="AI98" s="99">
        <f>AH98*N(Crédits!$D$9)/12</f>
        <v>0</v>
      </c>
      <c r="AJ98" s="99">
        <f>MIN(N(Crédits!$E$9),AH98+AI98)</f>
        <v>0</v>
      </c>
      <c r="AK98" s="99">
        <f t="shared" si="8"/>
        <v>0</v>
      </c>
      <c r="AL98" s="100">
        <f>IF(Crédits!$K$9="",0,MAX(0,MIN(AK98,Plan!$L$100-(IF(Crédits!$K$5="",0,IF(Crédits!$K$5&lt;Crédits!$K$9,E98,0))+IF(Crédits!$K$6="",0,IF(Crédits!$K$6&lt;Crédits!$K$9,M98,0))+IF(Crédits!$K$7="",0,IF(Crédits!$K$7&lt;Crédits!$K$9,U98,0))+IF(Crédits!$K$8="",0,IF(Crédits!$K$8&lt;Crédits!$K$9,AC98,0))+IF(Crédits!$K$10="",0,IF(Crédits!$K$10&lt;Crédits!$K$9,AS98,0))))))</f>
        <v>0</v>
      </c>
      <c r="AM98" s="101">
        <f t="shared" si="9"/>
        <v>0</v>
      </c>
      <c r="AN98" s="88">
        <f>ROUND(AN97+AO98-MIN(N(Crédits!$E$9),AN97+AO98),2)</f>
        <v>0</v>
      </c>
      <c r="AO98" s="89">
        <f>AN97*N(Crédits!$D$9)/12</f>
        <v>0</v>
      </c>
      <c r="AP98" s="102">
        <f t="shared" si="21"/>
        <v>0</v>
      </c>
      <c r="AQ98" s="102">
        <f>AP98*N(Crédits!$D$10)/12</f>
        <v>0</v>
      </c>
      <c r="AR98" s="102">
        <f>MIN(N(Crédits!$E$10),AP98+AQ98)</f>
        <v>0</v>
      </c>
      <c r="AS98" s="102">
        <f t="shared" si="10"/>
        <v>0</v>
      </c>
      <c r="AT98" s="103">
        <f>IF(Crédits!$K$10="",0,MAX(0,MIN(AS98,Plan!$L$100-(IF(Crédits!$K$5="",0,IF(Crédits!$K$5&lt;Crédits!$K$10,E98,0))+IF(Crédits!$K$6="",0,IF(Crédits!$K$6&lt;Crédits!$K$10,M98,0))+IF(Crédits!$K$7="",0,IF(Crédits!$K$7&lt;Crédits!$K$10,U98,0))+IF(Crédits!$K$8="",0,IF(Crédits!$K$8&lt;Crédits!$K$10,AC98,0))+IF(Crédits!$K$9="",0,IF(Crédits!$K$9&lt;Crédits!$K$10,AK98,0))))))</f>
        <v>0</v>
      </c>
      <c r="AU98" s="104">
        <f t="shared" si="11"/>
        <v>0</v>
      </c>
      <c r="AV98" s="88">
        <f>ROUND(AV97+AW98-MIN(N(Crédits!$E$10),AV97+AW98),2)</f>
        <v>0</v>
      </c>
      <c r="AW98" s="89">
        <f>AV97*N(Crédits!$D$10)/12</f>
        <v>0</v>
      </c>
      <c r="AX98" s="105">
        <f t="shared" si="12"/>
        <v>0</v>
      </c>
      <c r="AY98" s="105">
        <f t="shared" ref="AY98:AZ98" si="116">F98+N98+V98+AD98+AL98+AT98</f>
        <v>0</v>
      </c>
      <c r="AZ98" s="105">
        <f t="shared" si="116"/>
        <v>0</v>
      </c>
      <c r="BA98" s="105">
        <f t="shared" si="14"/>
        <v>0</v>
      </c>
      <c r="BB98" s="105">
        <f t="shared" si="15"/>
        <v>0</v>
      </c>
    </row>
    <row r="99" spans="1:54" ht="15" customHeight="1" x14ac:dyDescent="0.25">
      <c r="A99" s="2">
        <v>97</v>
      </c>
      <c r="B99" s="83">
        <f t="shared" si="16"/>
        <v>0</v>
      </c>
      <c r="C99" s="83">
        <f>B99*N(Crédits!$D$5)/12</f>
        <v>0</v>
      </c>
      <c r="D99" s="83">
        <f>MIN(N(Crédits!$E$5),B99+C99)</f>
        <v>0</v>
      </c>
      <c r="E99" s="83">
        <f t="shared" si="0"/>
        <v>0</v>
      </c>
      <c r="F99" s="86">
        <f>IF(Crédits!$K$5="",0,MAX(0,MIN(E99,Plan!$L$101-(IF(Crédits!$K$6="",0,IF(Crédits!$K$6&lt;Crédits!$K$5,M99,0))+IF(Crédits!$K$7="",0,IF(Crédits!$K$7&lt;Crédits!$K$5,U99,0))+IF(Crédits!$K$8="",0,IF(Crédits!$K$8&lt;Crédits!$K$5,AC99,0))+IF(Crédits!$K$9="",0,IF(Crédits!$K$9&lt;Crédits!$K$5,AK99,0))+IF(Crédits!$K$10="",0,IF(Crédits!$K$10&lt;Crédits!$K$5,AS99,0))))))</f>
        <v>0</v>
      </c>
      <c r="G99" s="87">
        <f t="shared" si="1"/>
        <v>0</v>
      </c>
      <c r="H99" s="88">
        <f>ROUND(H98+I99-MIN(N(Crédits!$E$5),H98+I99),2)</f>
        <v>0</v>
      </c>
      <c r="I99" s="89">
        <f>H98*N(Crédits!$D$5)/12</f>
        <v>0</v>
      </c>
      <c r="J99" s="90">
        <f t="shared" si="17"/>
        <v>0</v>
      </c>
      <c r="K99" s="90">
        <f>J99*N(Crédits!$D$6)/12</f>
        <v>0</v>
      </c>
      <c r="L99" s="90">
        <f>MIN(N(Crédits!$E$6),J99+K99)</f>
        <v>0</v>
      </c>
      <c r="M99" s="90">
        <f t="shared" si="2"/>
        <v>0</v>
      </c>
      <c r="N99" s="91">
        <f>IF(Crédits!$K$6="",0,MAX(0,MIN(M99,Plan!$L$101-(IF(Crédits!$K$5="",0,IF(Crédits!$K$5&lt;Crédits!$K$6,E99,0))+IF(Crédits!$K$7="",0,IF(Crédits!$K$7&lt;Crédits!$K$6,U99,0))+IF(Crédits!$K$8="",0,IF(Crédits!$K$8&lt;Crédits!$K$6,AC99,0))+IF(Crédits!$K$9="",0,IF(Crédits!$K$9&lt;Crédits!$K$6,AK99,0))+IF(Crédits!$K$10="",0,IF(Crédits!$K$10&lt;Crédits!$K$6,AS99,0))))))</f>
        <v>0</v>
      </c>
      <c r="O99" s="92">
        <f t="shared" si="3"/>
        <v>0</v>
      </c>
      <c r="P99" s="88">
        <f>ROUND(P98+Q99-MIN(N(Crédits!$E$6),P98+Q99),2)</f>
        <v>0</v>
      </c>
      <c r="Q99" s="89">
        <f>P98*N(Crédits!$D$6)/12</f>
        <v>0</v>
      </c>
      <c r="R99" s="93">
        <f t="shared" si="18"/>
        <v>0</v>
      </c>
      <c r="S99" s="93">
        <f>R99*N(Crédits!$D$7)/12</f>
        <v>0</v>
      </c>
      <c r="T99" s="93">
        <f>MIN(N(Crédits!$E$7),R99+S99)</f>
        <v>0</v>
      </c>
      <c r="U99" s="93">
        <f t="shared" si="4"/>
        <v>0</v>
      </c>
      <c r="V99" s="94">
        <f>IF(Crédits!$K$7="",0,MAX(0,MIN(U99,Plan!$L$101-(IF(Crédits!$K$5="",0,IF(Crédits!$K$5&lt;Crédits!$K$7,E99,0))+IF(Crédits!$K$6="",0,IF(Crédits!$K$6&lt;Crédits!$K$7,M99,0))+IF(Crédits!$K$8="",0,IF(Crédits!$K$8&lt;Crédits!$K$7,AC99,0))+IF(Crédits!$K$9="",0,IF(Crédits!$K$9&lt;Crédits!$K$7,AK99,0))+IF(Crédits!$K$10="",0,IF(Crédits!$K$10&lt;Crédits!$K$7,AS99,0))))))</f>
        <v>0</v>
      </c>
      <c r="W99" s="95">
        <f t="shared" si="5"/>
        <v>0</v>
      </c>
      <c r="X99" s="88">
        <f>ROUND(X98+Y99-MIN(N(Crédits!$E$7),X98+Y99),2)</f>
        <v>0</v>
      </c>
      <c r="Y99" s="89">
        <f>X98*N(Crédits!$D$7)/12</f>
        <v>0</v>
      </c>
      <c r="Z99" s="96">
        <f t="shared" si="19"/>
        <v>0</v>
      </c>
      <c r="AA99" s="96">
        <f>Z99*N(Crédits!$D$8)/12</f>
        <v>0</v>
      </c>
      <c r="AB99" s="96">
        <f>MIN(N(Crédits!$E$8),Z99+AA99)</f>
        <v>0</v>
      </c>
      <c r="AC99" s="96">
        <f t="shared" si="6"/>
        <v>0</v>
      </c>
      <c r="AD99" s="97">
        <f>IF(Crédits!$K$8="",0,MAX(0,MIN(AC99,Plan!$L$101-(IF(Crédits!$K$5="",0,IF(Crédits!$K$5&lt;Crédits!$K$8,E99,0))+IF(Crédits!$K$6="",0,IF(Crédits!$K$6&lt;Crédits!$K$8,M99,0))+IF(Crédits!$K$7="",0,IF(Crédits!$K$7&lt;Crédits!$K$8,U99,0))+IF(Crédits!$K$9="",0,IF(Crédits!$K$9&lt;Crédits!$K$8,AK99,0))+IF(Crédits!$K$10="",0,IF(Crédits!$K$10&lt;Crédits!$K$8,AS99,0))))))</f>
        <v>0</v>
      </c>
      <c r="AE99" s="98">
        <f t="shared" si="7"/>
        <v>0</v>
      </c>
      <c r="AF99" s="88">
        <f>ROUND(AF98+AG99-MIN(N(Crédits!$E$8),AF98+AG99),2)</f>
        <v>0</v>
      </c>
      <c r="AG99" s="89">
        <f>AF98*N(Crédits!$D$8)/12</f>
        <v>0</v>
      </c>
      <c r="AH99" s="99">
        <f t="shared" si="20"/>
        <v>0</v>
      </c>
      <c r="AI99" s="99">
        <f>AH99*N(Crédits!$D$9)/12</f>
        <v>0</v>
      </c>
      <c r="AJ99" s="99">
        <f>MIN(N(Crédits!$E$9),AH99+AI99)</f>
        <v>0</v>
      </c>
      <c r="AK99" s="99">
        <f t="shared" si="8"/>
        <v>0</v>
      </c>
      <c r="AL99" s="100">
        <f>IF(Crédits!$K$9="",0,MAX(0,MIN(AK99,Plan!$L$101-(IF(Crédits!$K$5="",0,IF(Crédits!$K$5&lt;Crédits!$K$9,E99,0))+IF(Crédits!$K$6="",0,IF(Crédits!$K$6&lt;Crédits!$K$9,M99,0))+IF(Crédits!$K$7="",0,IF(Crédits!$K$7&lt;Crédits!$K$9,U99,0))+IF(Crédits!$K$8="",0,IF(Crédits!$K$8&lt;Crédits!$K$9,AC99,0))+IF(Crédits!$K$10="",0,IF(Crédits!$K$10&lt;Crédits!$K$9,AS99,0))))))</f>
        <v>0</v>
      </c>
      <c r="AM99" s="101">
        <f t="shared" si="9"/>
        <v>0</v>
      </c>
      <c r="AN99" s="88">
        <f>ROUND(AN98+AO99-MIN(N(Crédits!$E$9),AN98+AO99),2)</f>
        <v>0</v>
      </c>
      <c r="AO99" s="89">
        <f>AN98*N(Crédits!$D$9)/12</f>
        <v>0</v>
      </c>
      <c r="AP99" s="102">
        <f t="shared" si="21"/>
        <v>0</v>
      </c>
      <c r="AQ99" s="102">
        <f>AP99*N(Crédits!$D$10)/12</f>
        <v>0</v>
      </c>
      <c r="AR99" s="102">
        <f>MIN(N(Crédits!$E$10),AP99+AQ99)</f>
        <v>0</v>
      </c>
      <c r="AS99" s="102">
        <f t="shared" si="10"/>
        <v>0</v>
      </c>
      <c r="AT99" s="103">
        <f>IF(Crédits!$K$10="",0,MAX(0,MIN(AS99,Plan!$L$101-(IF(Crédits!$K$5="",0,IF(Crédits!$K$5&lt;Crédits!$K$10,E99,0))+IF(Crédits!$K$6="",0,IF(Crédits!$K$6&lt;Crédits!$K$10,M99,0))+IF(Crédits!$K$7="",0,IF(Crédits!$K$7&lt;Crédits!$K$10,U99,0))+IF(Crédits!$K$8="",0,IF(Crédits!$K$8&lt;Crédits!$K$10,AC99,0))+IF(Crédits!$K$9="",0,IF(Crédits!$K$9&lt;Crédits!$K$10,AK99,0))))))</f>
        <v>0</v>
      </c>
      <c r="AU99" s="104">
        <f t="shared" si="11"/>
        <v>0</v>
      </c>
      <c r="AV99" s="88">
        <f>ROUND(AV98+AW99-MIN(N(Crédits!$E$10),AV98+AW99),2)</f>
        <v>0</v>
      </c>
      <c r="AW99" s="89">
        <f>AV98*N(Crédits!$D$10)/12</f>
        <v>0</v>
      </c>
      <c r="AX99" s="105">
        <f t="shared" si="12"/>
        <v>0</v>
      </c>
      <c r="AY99" s="105">
        <f t="shared" ref="AY99:AZ99" si="117">F99+N99+V99+AD99+AL99+AT99</f>
        <v>0</v>
      </c>
      <c r="AZ99" s="105">
        <f t="shared" si="117"/>
        <v>0</v>
      </c>
      <c r="BA99" s="105">
        <f t="shared" si="14"/>
        <v>0</v>
      </c>
      <c r="BB99" s="105">
        <f t="shared" si="15"/>
        <v>0</v>
      </c>
    </row>
    <row r="100" spans="1:54" ht="15" customHeight="1" x14ac:dyDescent="0.25">
      <c r="A100" s="2">
        <v>98</v>
      </c>
      <c r="B100" s="83">
        <f t="shared" si="16"/>
        <v>0</v>
      </c>
      <c r="C100" s="83">
        <f>B100*N(Crédits!$D$5)/12</f>
        <v>0</v>
      </c>
      <c r="D100" s="83">
        <f>MIN(N(Crédits!$E$5),B100+C100)</f>
        <v>0</v>
      </c>
      <c r="E100" s="83">
        <f t="shared" si="0"/>
        <v>0</v>
      </c>
      <c r="F100" s="86">
        <f>IF(Crédits!$K$5="",0,MAX(0,MIN(E100,Plan!$L$102-(IF(Crédits!$K$6="",0,IF(Crédits!$K$6&lt;Crédits!$K$5,M100,0))+IF(Crédits!$K$7="",0,IF(Crédits!$K$7&lt;Crédits!$K$5,U100,0))+IF(Crédits!$K$8="",0,IF(Crédits!$K$8&lt;Crédits!$K$5,AC100,0))+IF(Crédits!$K$9="",0,IF(Crédits!$K$9&lt;Crédits!$K$5,AK100,0))+IF(Crédits!$K$10="",0,IF(Crédits!$K$10&lt;Crédits!$K$5,AS100,0))))))</f>
        <v>0</v>
      </c>
      <c r="G100" s="87">
        <f t="shared" si="1"/>
        <v>0</v>
      </c>
      <c r="H100" s="88">
        <f>ROUND(H99+I100-MIN(N(Crédits!$E$5),H99+I100),2)</f>
        <v>0</v>
      </c>
      <c r="I100" s="89">
        <f>H99*N(Crédits!$D$5)/12</f>
        <v>0</v>
      </c>
      <c r="J100" s="90">
        <f t="shared" si="17"/>
        <v>0</v>
      </c>
      <c r="K100" s="90">
        <f>J100*N(Crédits!$D$6)/12</f>
        <v>0</v>
      </c>
      <c r="L100" s="90">
        <f>MIN(N(Crédits!$E$6),J100+K100)</f>
        <v>0</v>
      </c>
      <c r="M100" s="90">
        <f t="shared" si="2"/>
        <v>0</v>
      </c>
      <c r="N100" s="91">
        <f>IF(Crédits!$K$6="",0,MAX(0,MIN(M100,Plan!$L$102-(IF(Crédits!$K$5="",0,IF(Crédits!$K$5&lt;Crédits!$K$6,E100,0))+IF(Crédits!$K$7="",0,IF(Crédits!$K$7&lt;Crédits!$K$6,U100,0))+IF(Crédits!$K$8="",0,IF(Crédits!$K$8&lt;Crédits!$K$6,AC100,0))+IF(Crédits!$K$9="",0,IF(Crédits!$K$9&lt;Crédits!$K$6,AK100,0))+IF(Crédits!$K$10="",0,IF(Crédits!$K$10&lt;Crédits!$K$6,AS100,0))))))</f>
        <v>0</v>
      </c>
      <c r="O100" s="92">
        <f t="shared" si="3"/>
        <v>0</v>
      </c>
      <c r="P100" s="88">
        <f>ROUND(P99+Q100-MIN(N(Crédits!$E$6),P99+Q100),2)</f>
        <v>0</v>
      </c>
      <c r="Q100" s="89">
        <f>P99*N(Crédits!$D$6)/12</f>
        <v>0</v>
      </c>
      <c r="R100" s="93">
        <f t="shared" si="18"/>
        <v>0</v>
      </c>
      <c r="S100" s="93">
        <f>R100*N(Crédits!$D$7)/12</f>
        <v>0</v>
      </c>
      <c r="T100" s="93">
        <f>MIN(N(Crédits!$E$7),R100+S100)</f>
        <v>0</v>
      </c>
      <c r="U100" s="93">
        <f t="shared" si="4"/>
        <v>0</v>
      </c>
      <c r="V100" s="94">
        <f>IF(Crédits!$K$7="",0,MAX(0,MIN(U100,Plan!$L$102-(IF(Crédits!$K$5="",0,IF(Crédits!$K$5&lt;Crédits!$K$7,E100,0))+IF(Crédits!$K$6="",0,IF(Crédits!$K$6&lt;Crédits!$K$7,M100,0))+IF(Crédits!$K$8="",0,IF(Crédits!$K$8&lt;Crédits!$K$7,AC100,0))+IF(Crédits!$K$9="",0,IF(Crédits!$K$9&lt;Crédits!$K$7,AK100,0))+IF(Crédits!$K$10="",0,IF(Crédits!$K$10&lt;Crédits!$K$7,AS100,0))))))</f>
        <v>0</v>
      </c>
      <c r="W100" s="95">
        <f t="shared" si="5"/>
        <v>0</v>
      </c>
      <c r="X100" s="88">
        <f>ROUND(X99+Y100-MIN(N(Crédits!$E$7),X99+Y100),2)</f>
        <v>0</v>
      </c>
      <c r="Y100" s="89">
        <f>X99*N(Crédits!$D$7)/12</f>
        <v>0</v>
      </c>
      <c r="Z100" s="96">
        <f t="shared" si="19"/>
        <v>0</v>
      </c>
      <c r="AA100" s="96">
        <f>Z100*N(Crédits!$D$8)/12</f>
        <v>0</v>
      </c>
      <c r="AB100" s="96">
        <f>MIN(N(Crédits!$E$8),Z100+AA100)</f>
        <v>0</v>
      </c>
      <c r="AC100" s="96">
        <f t="shared" si="6"/>
        <v>0</v>
      </c>
      <c r="AD100" s="97">
        <f>IF(Crédits!$K$8="",0,MAX(0,MIN(AC100,Plan!$L$102-(IF(Crédits!$K$5="",0,IF(Crédits!$K$5&lt;Crédits!$K$8,E100,0))+IF(Crédits!$K$6="",0,IF(Crédits!$K$6&lt;Crédits!$K$8,M100,0))+IF(Crédits!$K$7="",0,IF(Crédits!$K$7&lt;Crédits!$K$8,U100,0))+IF(Crédits!$K$9="",0,IF(Crédits!$K$9&lt;Crédits!$K$8,AK100,0))+IF(Crédits!$K$10="",0,IF(Crédits!$K$10&lt;Crédits!$K$8,AS100,0))))))</f>
        <v>0</v>
      </c>
      <c r="AE100" s="98">
        <f t="shared" si="7"/>
        <v>0</v>
      </c>
      <c r="AF100" s="88">
        <f>ROUND(AF99+AG100-MIN(N(Crédits!$E$8),AF99+AG100),2)</f>
        <v>0</v>
      </c>
      <c r="AG100" s="89">
        <f>AF99*N(Crédits!$D$8)/12</f>
        <v>0</v>
      </c>
      <c r="AH100" s="99">
        <f t="shared" si="20"/>
        <v>0</v>
      </c>
      <c r="AI100" s="99">
        <f>AH100*N(Crédits!$D$9)/12</f>
        <v>0</v>
      </c>
      <c r="AJ100" s="99">
        <f>MIN(N(Crédits!$E$9),AH100+AI100)</f>
        <v>0</v>
      </c>
      <c r="AK100" s="99">
        <f t="shared" si="8"/>
        <v>0</v>
      </c>
      <c r="AL100" s="100">
        <f>IF(Crédits!$K$9="",0,MAX(0,MIN(AK100,Plan!$L$102-(IF(Crédits!$K$5="",0,IF(Crédits!$K$5&lt;Crédits!$K$9,E100,0))+IF(Crédits!$K$6="",0,IF(Crédits!$K$6&lt;Crédits!$K$9,M100,0))+IF(Crédits!$K$7="",0,IF(Crédits!$K$7&lt;Crédits!$K$9,U100,0))+IF(Crédits!$K$8="",0,IF(Crédits!$K$8&lt;Crédits!$K$9,AC100,0))+IF(Crédits!$K$10="",0,IF(Crédits!$K$10&lt;Crédits!$K$9,AS100,0))))))</f>
        <v>0</v>
      </c>
      <c r="AM100" s="101">
        <f t="shared" si="9"/>
        <v>0</v>
      </c>
      <c r="AN100" s="88">
        <f>ROUND(AN99+AO100-MIN(N(Crédits!$E$9),AN99+AO100),2)</f>
        <v>0</v>
      </c>
      <c r="AO100" s="89">
        <f>AN99*N(Crédits!$D$9)/12</f>
        <v>0</v>
      </c>
      <c r="AP100" s="102">
        <f t="shared" si="21"/>
        <v>0</v>
      </c>
      <c r="AQ100" s="102">
        <f>AP100*N(Crédits!$D$10)/12</f>
        <v>0</v>
      </c>
      <c r="AR100" s="102">
        <f>MIN(N(Crédits!$E$10),AP100+AQ100)</f>
        <v>0</v>
      </c>
      <c r="AS100" s="102">
        <f t="shared" si="10"/>
        <v>0</v>
      </c>
      <c r="AT100" s="103">
        <f>IF(Crédits!$K$10="",0,MAX(0,MIN(AS100,Plan!$L$102-(IF(Crédits!$K$5="",0,IF(Crédits!$K$5&lt;Crédits!$K$10,E100,0))+IF(Crédits!$K$6="",0,IF(Crédits!$K$6&lt;Crédits!$K$10,M100,0))+IF(Crédits!$K$7="",0,IF(Crédits!$K$7&lt;Crédits!$K$10,U100,0))+IF(Crédits!$K$8="",0,IF(Crédits!$K$8&lt;Crédits!$K$10,AC100,0))+IF(Crédits!$K$9="",0,IF(Crédits!$K$9&lt;Crédits!$K$10,AK100,0))))))</f>
        <v>0</v>
      </c>
      <c r="AU100" s="104">
        <f t="shared" si="11"/>
        <v>0</v>
      </c>
      <c r="AV100" s="88">
        <f>ROUND(AV99+AW100-MIN(N(Crédits!$E$10),AV99+AW100),2)</f>
        <v>0</v>
      </c>
      <c r="AW100" s="89">
        <f>AV99*N(Crédits!$D$10)/12</f>
        <v>0</v>
      </c>
      <c r="AX100" s="105">
        <f t="shared" si="12"/>
        <v>0</v>
      </c>
      <c r="AY100" s="105">
        <f t="shared" ref="AY100:AZ100" si="118">F100+N100+V100+AD100+AL100+AT100</f>
        <v>0</v>
      </c>
      <c r="AZ100" s="105">
        <f t="shared" si="118"/>
        <v>0</v>
      </c>
      <c r="BA100" s="105">
        <f t="shared" si="14"/>
        <v>0</v>
      </c>
      <c r="BB100" s="105">
        <f t="shared" si="15"/>
        <v>0</v>
      </c>
    </row>
    <row r="101" spans="1:54" ht="15" customHeight="1" x14ac:dyDescent="0.25">
      <c r="A101" s="2">
        <v>99</v>
      </c>
      <c r="B101" s="83">
        <f t="shared" si="16"/>
        <v>0</v>
      </c>
      <c r="C101" s="83">
        <f>B101*N(Crédits!$D$5)/12</f>
        <v>0</v>
      </c>
      <c r="D101" s="83">
        <f>MIN(N(Crédits!$E$5),B101+C101)</f>
        <v>0</v>
      </c>
      <c r="E101" s="83">
        <f t="shared" si="0"/>
        <v>0</v>
      </c>
      <c r="F101" s="86">
        <f>IF(Crédits!$K$5="",0,MAX(0,MIN(E101,Plan!$L$103-(IF(Crédits!$K$6="",0,IF(Crédits!$K$6&lt;Crédits!$K$5,M101,0))+IF(Crédits!$K$7="",0,IF(Crédits!$K$7&lt;Crédits!$K$5,U101,0))+IF(Crédits!$K$8="",0,IF(Crédits!$K$8&lt;Crédits!$K$5,AC101,0))+IF(Crédits!$K$9="",0,IF(Crédits!$K$9&lt;Crédits!$K$5,AK101,0))+IF(Crédits!$K$10="",0,IF(Crédits!$K$10&lt;Crédits!$K$5,AS101,0))))))</f>
        <v>0</v>
      </c>
      <c r="G101" s="87">
        <f t="shared" si="1"/>
        <v>0</v>
      </c>
      <c r="H101" s="88">
        <f>ROUND(H100+I101-MIN(N(Crédits!$E$5),H100+I101),2)</f>
        <v>0</v>
      </c>
      <c r="I101" s="89">
        <f>H100*N(Crédits!$D$5)/12</f>
        <v>0</v>
      </c>
      <c r="J101" s="90">
        <f t="shared" si="17"/>
        <v>0</v>
      </c>
      <c r="K101" s="90">
        <f>J101*N(Crédits!$D$6)/12</f>
        <v>0</v>
      </c>
      <c r="L101" s="90">
        <f>MIN(N(Crédits!$E$6),J101+K101)</f>
        <v>0</v>
      </c>
      <c r="M101" s="90">
        <f t="shared" si="2"/>
        <v>0</v>
      </c>
      <c r="N101" s="91">
        <f>IF(Crédits!$K$6="",0,MAX(0,MIN(M101,Plan!$L$103-(IF(Crédits!$K$5="",0,IF(Crédits!$K$5&lt;Crédits!$K$6,E101,0))+IF(Crédits!$K$7="",0,IF(Crédits!$K$7&lt;Crédits!$K$6,U101,0))+IF(Crédits!$K$8="",0,IF(Crédits!$K$8&lt;Crédits!$K$6,AC101,0))+IF(Crédits!$K$9="",0,IF(Crédits!$K$9&lt;Crédits!$K$6,AK101,0))+IF(Crédits!$K$10="",0,IF(Crédits!$K$10&lt;Crédits!$K$6,AS101,0))))))</f>
        <v>0</v>
      </c>
      <c r="O101" s="92">
        <f t="shared" si="3"/>
        <v>0</v>
      </c>
      <c r="P101" s="88">
        <f>ROUND(P100+Q101-MIN(N(Crédits!$E$6),P100+Q101),2)</f>
        <v>0</v>
      </c>
      <c r="Q101" s="89">
        <f>P100*N(Crédits!$D$6)/12</f>
        <v>0</v>
      </c>
      <c r="R101" s="93">
        <f t="shared" si="18"/>
        <v>0</v>
      </c>
      <c r="S101" s="93">
        <f>R101*N(Crédits!$D$7)/12</f>
        <v>0</v>
      </c>
      <c r="T101" s="93">
        <f>MIN(N(Crédits!$E$7),R101+S101)</f>
        <v>0</v>
      </c>
      <c r="U101" s="93">
        <f t="shared" si="4"/>
        <v>0</v>
      </c>
      <c r="V101" s="94">
        <f>IF(Crédits!$K$7="",0,MAX(0,MIN(U101,Plan!$L$103-(IF(Crédits!$K$5="",0,IF(Crédits!$K$5&lt;Crédits!$K$7,E101,0))+IF(Crédits!$K$6="",0,IF(Crédits!$K$6&lt;Crédits!$K$7,M101,0))+IF(Crédits!$K$8="",0,IF(Crédits!$K$8&lt;Crédits!$K$7,AC101,0))+IF(Crédits!$K$9="",0,IF(Crédits!$K$9&lt;Crédits!$K$7,AK101,0))+IF(Crédits!$K$10="",0,IF(Crédits!$K$10&lt;Crédits!$K$7,AS101,0))))))</f>
        <v>0</v>
      </c>
      <c r="W101" s="95">
        <f t="shared" si="5"/>
        <v>0</v>
      </c>
      <c r="X101" s="88">
        <f>ROUND(X100+Y101-MIN(N(Crédits!$E$7),X100+Y101),2)</f>
        <v>0</v>
      </c>
      <c r="Y101" s="89">
        <f>X100*N(Crédits!$D$7)/12</f>
        <v>0</v>
      </c>
      <c r="Z101" s="96">
        <f t="shared" si="19"/>
        <v>0</v>
      </c>
      <c r="AA101" s="96">
        <f>Z101*N(Crédits!$D$8)/12</f>
        <v>0</v>
      </c>
      <c r="AB101" s="96">
        <f>MIN(N(Crédits!$E$8),Z101+AA101)</f>
        <v>0</v>
      </c>
      <c r="AC101" s="96">
        <f t="shared" si="6"/>
        <v>0</v>
      </c>
      <c r="AD101" s="97">
        <f>IF(Crédits!$K$8="",0,MAX(0,MIN(AC101,Plan!$L$103-(IF(Crédits!$K$5="",0,IF(Crédits!$K$5&lt;Crédits!$K$8,E101,0))+IF(Crédits!$K$6="",0,IF(Crédits!$K$6&lt;Crédits!$K$8,M101,0))+IF(Crédits!$K$7="",0,IF(Crédits!$K$7&lt;Crédits!$K$8,U101,0))+IF(Crédits!$K$9="",0,IF(Crédits!$K$9&lt;Crédits!$K$8,AK101,0))+IF(Crédits!$K$10="",0,IF(Crédits!$K$10&lt;Crédits!$K$8,AS101,0))))))</f>
        <v>0</v>
      </c>
      <c r="AE101" s="98">
        <f t="shared" si="7"/>
        <v>0</v>
      </c>
      <c r="AF101" s="88">
        <f>ROUND(AF100+AG101-MIN(N(Crédits!$E$8),AF100+AG101),2)</f>
        <v>0</v>
      </c>
      <c r="AG101" s="89">
        <f>AF100*N(Crédits!$D$8)/12</f>
        <v>0</v>
      </c>
      <c r="AH101" s="99">
        <f t="shared" si="20"/>
        <v>0</v>
      </c>
      <c r="AI101" s="99">
        <f>AH101*N(Crédits!$D$9)/12</f>
        <v>0</v>
      </c>
      <c r="AJ101" s="99">
        <f>MIN(N(Crédits!$E$9),AH101+AI101)</f>
        <v>0</v>
      </c>
      <c r="AK101" s="99">
        <f t="shared" si="8"/>
        <v>0</v>
      </c>
      <c r="AL101" s="100">
        <f>IF(Crédits!$K$9="",0,MAX(0,MIN(AK101,Plan!$L$103-(IF(Crédits!$K$5="",0,IF(Crédits!$K$5&lt;Crédits!$K$9,E101,0))+IF(Crédits!$K$6="",0,IF(Crédits!$K$6&lt;Crédits!$K$9,M101,0))+IF(Crédits!$K$7="",0,IF(Crédits!$K$7&lt;Crédits!$K$9,U101,0))+IF(Crédits!$K$8="",0,IF(Crédits!$K$8&lt;Crédits!$K$9,AC101,0))+IF(Crédits!$K$10="",0,IF(Crédits!$K$10&lt;Crédits!$K$9,AS101,0))))))</f>
        <v>0</v>
      </c>
      <c r="AM101" s="101">
        <f t="shared" si="9"/>
        <v>0</v>
      </c>
      <c r="AN101" s="88">
        <f>ROUND(AN100+AO101-MIN(N(Crédits!$E$9),AN100+AO101),2)</f>
        <v>0</v>
      </c>
      <c r="AO101" s="89">
        <f>AN100*N(Crédits!$D$9)/12</f>
        <v>0</v>
      </c>
      <c r="AP101" s="102">
        <f t="shared" si="21"/>
        <v>0</v>
      </c>
      <c r="AQ101" s="102">
        <f>AP101*N(Crédits!$D$10)/12</f>
        <v>0</v>
      </c>
      <c r="AR101" s="102">
        <f>MIN(N(Crédits!$E$10),AP101+AQ101)</f>
        <v>0</v>
      </c>
      <c r="AS101" s="102">
        <f t="shared" si="10"/>
        <v>0</v>
      </c>
      <c r="AT101" s="103">
        <f>IF(Crédits!$K$10="",0,MAX(0,MIN(AS101,Plan!$L$103-(IF(Crédits!$K$5="",0,IF(Crédits!$K$5&lt;Crédits!$K$10,E101,0))+IF(Crédits!$K$6="",0,IF(Crédits!$K$6&lt;Crédits!$K$10,M101,0))+IF(Crédits!$K$7="",0,IF(Crédits!$K$7&lt;Crédits!$K$10,U101,0))+IF(Crédits!$K$8="",0,IF(Crédits!$K$8&lt;Crédits!$K$10,AC101,0))+IF(Crédits!$K$9="",0,IF(Crédits!$K$9&lt;Crédits!$K$10,AK101,0))))))</f>
        <v>0</v>
      </c>
      <c r="AU101" s="104">
        <f t="shared" si="11"/>
        <v>0</v>
      </c>
      <c r="AV101" s="88">
        <f>ROUND(AV100+AW101-MIN(N(Crédits!$E$10),AV100+AW101),2)</f>
        <v>0</v>
      </c>
      <c r="AW101" s="89">
        <f>AV100*N(Crédits!$D$10)/12</f>
        <v>0</v>
      </c>
      <c r="AX101" s="105">
        <f t="shared" si="12"/>
        <v>0</v>
      </c>
      <c r="AY101" s="105">
        <f t="shared" ref="AY101:AZ101" si="119">F101+N101+V101+AD101+AL101+AT101</f>
        <v>0</v>
      </c>
      <c r="AZ101" s="105">
        <f t="shared" si="119"/>
        <v>0</v>
      </c>
      <c r="BA101" s="105">
        <f t="shared" si="14"/>
        <v>0</v>
      </c>
      <c r="BB101" s="105">
        <f t="shared" si="15"/>
        <v>0</v>
      </c>
    </row>
    <row r="102" spans="1:54" ht="15" customHeight="1" x14ac:dyDescent="0.25">
      <c r="A102" s="2">
        <v>100</v>
      </c>
      <c r="B102" s="83">
        <f t="shared" si="16"/>
        <v>0</v>
      </c>
      <c r="C102" s="83">
        <f>B102*N(Crédits!$D$5)/12</f>
        <v>0</v>
      </c>
      <c r="D102" s="83">
        <f>MIN(N(Crédits!$E$5),B102+C102)</f>
        <v>0</v>
      </c>
      <c r="E102" s="83">
        <f t="shared" si="0"/>
        <v>0</v>
      </c>
      <c r="F102" s="86">
        <f>IF(Crédits!$K$5="",0,MAX(0,MIN(E102,Plan!$L$104-(IF(Crédits!$K$6="",0,IF(Crédits!$K$6&lt;Crédits!$K$5,M102,0))+IF(Crédits!$K$7="",0,IF(Crédits!$K$7&lt;Crédits!$K$5,U102,0))+IF(Crédits!$K$8="",0,IF(Crédits!$K$8&lt;Crédits!$K$5,AC102,0))+IF(Crédits!$K$9="",0,IF(Crédits!$K$9&lt;Crédits!$K$5,AK102,0))+IF(Crédits!$K$10="",0,IF(Crédits!$K$10&lt;Crédits!$K$5,AS102,0))))))</f>
        <v>0</v>
      </c>
      <c r="G102" s="87">
        <f t="shared" si="1"/>
        <v>0</v>
      </c>
      <c r="H102" s="88">
        <f>ROUND(H101+I102-MIN(N(Crédits!$E$5),H101+I102),2)</f>
        <v>0</v>
      </c>
      <c r="I102" s="89">
        <f>H101*N(Crédits!$D$5)/12</f>
        <v>0</v>
      </c>
      <c r="J102" s="90">
        <f t="shared" si="17"/>
        <v>0</v>
      </c>
      <c r="K102" s="90">
        <f>J102*N(Crédits!$D$6)/12</f>
        <v>0</v>
      </c>
      <c r="L102" s="90">
        <f>MIN(N(Crédits!$E$6),J102+K102)</f>
        <v>0</v>
      </c>
      <c r="M102" s="90">
        <f t="shared" si="2"/>
        <v>0</v>
      </c>
      <c r="N102" s="91">
        <f>IF(Crédits!$K$6="",0,MAX(0,MIN(M102,Plan!$L$104-(IF(Crédits!$K$5="",0,IF(Crédits!$K$5&lt;Crédits!$K$6,E102,0))+IF(Crédits!$K$7="",0,IF(Crédits!$K$7&lt;Crédits!$K$6,U102,0))+IF(Crédits!$K$8="",0,IF(Crédits!$K$8&lt;Crédits!$K$6,AC102,0))+IF(Crédits!$K$9="",0,IF(Crédits!$K$9&lt;Crédits!$K$6,AK102,0))+IF(Crédits!$K$10="",0,IF(Crédits!$K$10&lt;Crédits!$K$6,AS102,0))))))</f>
        <v>0</v>
      </c>
      <c r="O102" s="92">
        <f t="shared" si="3"/>
        <v>0</v>
      </c>
      <c r="P102" s="88">
        <f>ROUND(P101+Q102-MIN(N(Crédits!$E$6),P101+Q102),2)</f>
        <v>0</v>
      </c>
      <c r="Q102" s="89">
        <f>P101*N(Crédits!$D$6)/12</f>
        <v>0</v>
      </c>
      <c r="R102" s="93">
        <f t="shared" si="18"/>
        <v>0</v>
      </c>
      <c r="S102" s="93">
        <f>R102*N(Crédits!$D$7)/12</f>
        <v>0</v>
      </c>
      <c r="T102" s="93">
        <f>MIN(N(Crédits!$E$7),R102+S102)</f>
        <v>0</v>
      </c>
      <c r="U102" s="93">
        <f t="shared" si="4"/>
        <v>0</v>
      </c>
      <c r="V102" s="94">
        <f>IF(Crédits!$K$7="",0,MAX(0,MIN(U102,Plan!$L$104-(IF(Crédits!$K$5="",0,IF(Crédits!$K$5&lt;Crédits!$K$7,E102,0))+IF(Crédits!$K$6="",0,IF(Crédits!$K$6&lt;Crédits!$K$7,M102,0))+IF(Crédits!$K$8="",0,IF(Crédits!$K$8&lt;Crédits!$K$7,AC102,0))+IF(Crédits!$K$9="",0,IF(Crédits!$K$9&lt;Crédits!$K$7,AK102,0))+IF(Crédits!$K$10="",0,IF(Crédits!$K$10&lt;Crédits!$K$7,AS102,0))))))</f>
        <v>0</v>
      </c>
      <c r="W102" s="95">
        <f t="shared" si="5"/>
        <v>0</v>
      </c>
      <c r="X102" s="88">
        <f>ROUND(X101+Y102-MIN(N(Crédits!$E$7),X101+Y102),2)</f>
        <v>0</v>
      </c>
      <c r="Y102" s="89">
        <f>X101*N(Crédits!$D$7)/12</f>
        <v>0</v>
      </c>
      <c r="Z102" s="96">
        <f t="shared" si="19"/>
        <v>0</v>
      </c>
      <c r="AA102" s="96">
        <f>Z102*N(Crédits!$D$8)/12</f>
        <v>0</v>
      </c>
      <c r="AB102" s="96">
        <f>MIN(N(Crédits!$E$8),Z102+AA102)</f>
        <v>0</v>
      </c>
      <c r="AC102" s="96">
        <f t="shared" si="6"/>
        <v>0</v>
      </c>
      <c r="AD102" s="97">
        <f>IF(Crédits!$K$8="",0,MAX(0,MIN(AC102,Plan!$L$104-(IF(Crédits!$K$5="",0,IF(Crédits!$K$5&lt;Crédits!$K$8,E102,0))+IF(Crédits!$K$6="",0,IF(Crédits!$K$6&lt;Crédits!$K$8,M102,0))+IF(Crédits!$K$7="",0,IF(Crédits!$K$7&lt;Crédits!$K$8,U102,0))+IF(Crédits!$K$9="",0,IF(Crédits!$K$9&lt;Crédits!$K$8,AK102,0))+IF(Crédits!$K$10="",0,IF(Crédits!$K$10&lt;Crédits!$K$8,AS102,0))))))</f>
        <v>0</v>
      </c>
      <c r="AE102" s="98">
        <f t="shared" si="7"/>
        <v>0</v>
      </c>
      <c r="AF102" s="88">
        <f>ROUND(AF101+AG102-MIN(N(Crédits!$E$8),AF101+AG102),2)</f>
        <v>0</v>
      </c>
      <c r="AG102" s="89">
        <f>AF101*N(Crédits!$D$8)/12</f>
        <v>0</v>
      </c>
      <c r="AH102" s="99">
        <f t="shared" si="20"/>
        <v>0</v>
      </c>
      <c r="AI102" s="99">
        <f>AH102*N(Crédits!$D$9)/12</f>
        <v>0</v>
      </c>
      <c r="AJ102" s="99">
        <f>MIN(N(Crédits!$E$9),AH102+AI102)</f>
        <v>0</v>
      </c>
      <c r="AK102" s="99">
        <f t="shared" si="8"/>
        <v>0</v>
      </c>
      <c r="AL102" s="100">
        <f>IF(Crédits!$K$9="",0,MAX(0,MIN(AK102,Plan!$L$104-(IF(Crédits!$K$5="",0,IF(Crédits!$K$5&lt;Crédits!$K$9,E102,0))+IF(Crédits!$K$6="",0,IF(Crédits!$K$6&lt;Crédits!$K$9,M102,0))+IF(Crédits!$K$7="",0,IF(Crédits!$K$7&lt;Crédits!$K$9,U102,0))+IF(Crédits!$K$8="",0,IF(Crédits!$K$8&lt;Crédits!$K$9,AC102,0))+IF(Crédits!$K$10="",0,IF(Crédits!$K$10&lt;Crédits!$K$9,AS102,0))))))</f>
        <v>0</v>
      </c>
      <c r="AM102" s="101">
        <f t="shared" si="9"/>
        <v>0</v>
      </c>
      <c r="AN102" s="88">
        <f>ROUND(AN101+AO102-MIN(N(Crédits!$E$9),AN101+AO102),2)</f>
        <v>0</v>
      </c>
      <c r="AO102" s="89">
        <f>AN101*N(Crédits!$D$9)/12</f>
        <v>0</v>
      </c>
      <c r="AP102" s="102">
        <f t="shared" si="21"/>
        <v>0</v>
      </c>
      <c r="AQ102" s="102">
        <f>AP102*N(Crédits!$D$10)/12</f>
        <v>0</v>
      </c>
      <c r="AR102" s="102">
        <f>MIN(N(Crédits!$E$10),AP102+AQ102)</f>
        <v>0</v>
      </c>
      <c r="AS102" s="102">
        <f t="shared" si="10"/>
        <v>0</v>
      </c>
      <c r="AT102" s="103">
        <f>IF(Crédits!$K$10="",0,MAX(0,MIN(AS102,Plan!$L$104-(IF(Crédits!$K$5="",0,IF(Crédits!$K$5&lt;Crédits!$K$10,E102,0))+IF(Crédits!$K$6="",0,IF(Crédits!$K$6&lt;Crédits!$K$10,M102,0))+IF(Crédits!$K$7="",0,IF(Crédits!$K$7&lt;Crédits!$K$10,U102,0))+IF(Crédits!$K$8="",0,IF(Crédits!$K$8&lt;Crédits!$K$10,AC102,0))+IF(Crédits!$K$9="",0,IF(Crédits!$K$9&lt;Crédits!$K$10,AK102,0))))))</f>
        <v>0</v>
      </c>
      <c r="AU102" s="104">
        <f t="shared" si="11"/>
        <v>0</v>
      </c>
      <c r="AV102" s="88">
        <f>ROUND(AV101+AW102-MIN(N(Crédits!$E$10),AV101+AW102),2)</f>
        <v>0</v>
      </c>
      <c r="AW102" s="89">
        <f>AV101*N(Crédits!$D$10)/12</f>
        <v>0</v>
      </c>
      <c r="AX102" s="105">
        <f t="shared" si="12"/>
        <v>0</v>
      </c>
      <c r="AY102" s="105">
        <f t="shared" ref="AY102:AZ102" si="120">F102+N102+V102+AD102+AL102+AT102</f>
        <v>0</v>
      </c>
      <c r="AZ102" s="105">
        <f t="shared" si="120"/>
        <v>0</v>
      </c>
      <c r="BA102" s="105">
        <f t="shared" si="14"/>
        <v>0</v>
      </c>
      <c r="BB102" s="105">
        <f t="shared" si="15"/>
        <v>0</v>
      </c>
    </row>
    <row r="103" spans="1:54" ht="15" customHeight="1" x14ac:dyDescent="0.25">
      <c r="A103" s="2">
        <v>101</v>
      </c>
      <c r="B103" s="83">
        <f t="shared" si="16"/>
        <v>0</v>
      </c>
      <c r="C103" s="83">
        <f>B103*N(Crédits!$D$5)/12</f>
        <v>0</v>
      </c>
      <c r="D103" s="83">
        <f>MIN(N(Crédits!$E$5),B103+C103)</f>
        <v>0</v>
      </c>
      <c r="E103" s="83">
        <f t="shared" si="0"/>
        <v>0</v>
      </c>
      <c r="F103" s="86">
        <f>IF(Crédits!$K$5="",0,MAX(0,MIN(E103,Plan!$L$105-(IF(Crédits!$K$6="",0,IF(Crédits!$K$6&lt;Crédits!$K$5,M103,0))+IF(Crédits!$K$7="",0,IF(Crédits!$K$7&lt;Crédits!$K$5,U103,0))+IF(Crédits!$K$8="",0,IF(Crédits!$K$8&lt;Crédits!$K$5,AC103,0))+IF(Crédits!$K$9="",0,IF(Crédits!$K$9&lt;Crédits!$K$5,AK103,0))+IF(Crédits!$K$10="",0,IF(Crédits!$K$10&lt;Crédits!$K$5,AS103,0))))))</f>
        <v>0</v>
      </c>
      <c r="G103" s="87">
        <f t="shared" si="1"/>
        <v>0</v>
      </c>
      <c r="H103" s="88">
        <f>ROUND(H102+I103-MIN(N(Crédits!$E$5),H102+I103),2)</f>
        <v>0</v>
      </c>
      <c r="I103" s="89">
        <f>H102*N(Crédits!$D$5)/12</f>
        <v>0</v>
      </c>
      <c r="J103" s="90">
        <f t="shared" si="17"/>
        <v>0</v>
      </c>
      <c r="K103" s="90">
        <f>J103*N(Crédits!$D$6)/12</f>
        <v>0</v>
      </c>
      <c r="L103" s="90">
        <f>MIN(N(Crédits!$E$6),J103+K103)</f>
        <v>0</v>
      </c>
      <c r="M103" s="90">
        <f t="shared" si="2"/>
        <v>0</v>
      </c>
      <c r="N103" s="91">
        <f>IF(Crédits!$K$6="",0,MAX(0,MIN(M103,Plan!$L$105-(IF(Crédits!$K$5="",0,IF(Crédits!$K$5&lt;Crédits!$K$6,E103,0))+IF(Crédits!$K$7="",0,IF(Crédits!$K$7&lt;Crédits!$K$6,U103,0))+IF(Crédits!$K$8="",0,IF(Crédits!$K$8&lt;Crédits!$K$6,AC103,0))+IF(Crédits!$K$9="",0,IF(Crédits!$K$9&lt;Crédits!$K$6,AK103,0))+IF(Crédits!$K$10="",0,IF(Crédits!$K$10&lt;Crédits!$K$6,AS103,0))))))</f>
        <v>0</v>
      </c>
      <c r="O103" s="92">
        <f t="shared" si="3"/>
        <v>0</v>
      </c>
      <c r="P103" s="88">
        <f>ROUND(P102+Q103-MIN(N(Crédits!$E$6),P102+Q103),2)</f>
        <v>0</v>
      </c>
      <c r="Q103" s="89">
        <f>P102*N(Crédits!$D$6)/12</f>
        <v>0</v>
      </c>
      <c r="R103" s="93">
        <f t="shared" si="18"/>
        <v>0</v>
      </c>
      <c r="S103" s="93">
        <f>R103*N(Crédits!$D$7)/12</f>
        <v>0</v>
      </c>
      <c r="T103" s="93">
        <f>MIN(N(Crédits!$E$7),R103+S103)</f>
        <v>0</v>
      </c>
      <c r="U103" s="93">
        <f t="shared" si="4"/>
        <v>0</v>
      </c>
      <c r="V103" s="94">
        <f>IF(Crédits!$K$7="",0,MAX(0,MIN(U103,Plan!$L$105-(IF(Crédits!$K$5="",0,IF(Crédits!$K$5&lt;Crédits!$K$7,E103,0))+IF(Crédits!$K$6="",0,IF(Crédits!$K$6&lt;Crédits!$K$7,M103,0))+IF(Crédits!$K$8="",0,IF(Crédits!$K$8&lt;Crédits!$K$7,AC103,0))+IF(Crédits!$K$9="",0,IF(Crédits!$K$9&lt;Crédits!$K$7,AK103,0))+IF(Crédits!$K$10="",0,IF(Crédits!$K$10&lt;Crédits!$K$7,AS103,0))))))</f>
        <v>0</v>
      </c>
      <c r="W103" s="95">
        <f t="shared" si="5"/>
        <v>0</v>
      </c>
      <c r="X103" s="88">
        <f>ROUND(X102+Y103-MIN(N(Crédits!$E$7),X102+Y103),2)</f>
        <v>0</v>
      </c>
      <c r="Y103" s="89">
        <f>X102*N(Crédits!$D$7)/12</f>
        <v>0</v>
      </c>
      <c r="Z103" s="96">
        <f t="shared" si="19"/>
        <v>0</v>
      </c>
      <c r="AA103" s="96">
        <f>Z103*N(Crédits!$D$8)/12</f>
        <v>0</v>
      </c>
      <c r="AB103" s="96">
        <f>MIN(N(Crédits!$E$8),Z103+AA103)</f>
        <v>0</v>
      </c>
      <c r="AC103" s="96">
        <f t="shared" si="6"/>
        <v>0</v>
      </c>
      <c r="AD103" s="97">
        <f>IF(Crédits!$K$8="",0,MAX(0,MIN(AC103,Plan!$L$105-(IF(Crédits!$K$5="",0,IF(Crédits!$K$5&lt;Crédits!$K$8,E103,0))+IF(Crédits!$K$6="",0,IF(Crédits!$K$6&lt;Crédits!$K$8,M103,0))+IF(Crédits!$K$7="",0,IF(Crédits!$K$7&lt;Crédits!$K$8,U103,0))+IF(Crédits!$K$9="",0,IF(Crédits!$K$9&lt;Crédits!$K$8,AK103,0))+IF(Crédits!$K$10="",0,IF(Crédits!$K$10&lt;Crédits!$K$8,AS103,0))))))</f>
        <v>0</v>
      </c>
      <c r="AE103" s="98">
        <f t="shared" si="7"/>
        <v>0</v>
      </c>
      <c r="AF103" s="88">
        <f>ROUND(AF102+AG103-MIN(N(Crédits!$E$8),AF102+AG103),2)</f>
        <v>0</v>
      </c>
      <c r="AG103" s="89">
        <f>AF102*N(Crédits!$D$8)/12</f>
        <v>0</v>
      </c>
      <c r="AH103" s="99">
        <f t="shared" si="20"/>
        <v>0</v>
      </c>
      <c r="AI103" s="99">
        <f>AH103*N(Crédits!$D$9)/12</f>
        <v>0</v>
      </c>
      <c r="AJ103" s="99">
        <f>MIN(N(Crédits!$E$9),AH103+AI103)</f>
        <v>0</v>
      </c>
      <c r="AK103" s="99">
        <f t="shared" si="8"/>
        <v>0</v>
      </c>
      <c r="AL103" s="100">
        <f>IF(Crédits!$K$9="",0,MAX(0,MIN(AK103,Plan!$L$105-(IF(Crédits!$K$5="",0,IF(Crédits!$K$5&lt;Crédits!$K$9,E103,0))+IF(Crédits!$K$6="",0,IF(Crédits!$K$6&lt;Crédits!$K$9,M103,0))+IF(Crédits!$K$7="",0,IF(Crédits!$K$7&lt;Crédits!$K$9,U103,0))+IF(Crédits!$K$8="",0,IF(Crédits!$K$8&lt;Crédits!$K$9,AC103,0))+IF(Crédits!$K$10="",0,IF(Crédits!$K$10&lt;Crédits!$K$9,AS103,0))))))</f>
        <v>0</v>
      </c>
      <c r="AM103" s="101">
        <f t="shared" si="9"/>
        <v>0</v>
      </c>
      <c r="AN103" s="88">
        <f>ROUND(AN102+AO103-MIN(N(Crédits!$E$9),AN102+AO103),2)</f>
        <v>0</v>
      </c>
      <c r="AO103" s="89">
        <f>AN102*N(Crédits!$D$9)/12</f>
        <v>0</v>
      </c>
      <c r="AP103" s="102">
        <f t="shared" si="21"/>
        <v>0</v>
      </c>
      <c r="AQ103" s="102">
        <f>AP103*N(Crédits!$D$10)/12</f>
        <v>0</v>
      </c>
      <c r="AR103" s="102">
        <f>MIN(N(Crédits!$E$10),AP103+AQ103)</f>
        <v>0</v>
      </c>
      <c r="AS103" s="102">
        <f t="shared" si="10"/>
        <v>0</v>
      </c>
      <c r="AT103" s="103">
        <f>IF(Crédits!$K$10="",0,MAX(0,MIN(AS103,Plan!$L$105-(IF(Crédits!$K$5="",0,IF(Crédits!$K$5&lt;Crédits!$K$10,E103,0))+IF(Crédits!$K$6="",0,IF(Crédits!$K$6&lt;Crédits!$K$10,M103,0))+IF(Crédits!$K$7="",0,IF(Crédits!$K$7&lt;Crédits!$K$10,U103,0))+IF(Crédits!$K$8="",0,IF(Crédits!$K$8&lt;Crédits!$K$10,AC103,0))+IF(Crédits!$K$9="",0,IF(Crédits!$K$9&lt;Crédits!$K$10,AK103,0))))))</f>
        <v>0</v>
      </c>
      <c r="AU103" s="104">
        <f t="shared" si="11"/>
        <v>0</v>
      </c>
      <c r="AV103" s="88">
        <f>ROUND(AV102+AW103-MIN(N(Crédits!$E$10),AV102+AW103),2)</f>
        <v>0</v>
      </c>
      <c r="AW103" s="89">
        <f>AV102*N(Crédits!$D$10)/12</f>
        <v>0</v>
      </c>
      <c r="AX103" s="105">
        <f t="shared" si="12"/>
        <v>0</v>
      </c>
      <c r="AY103" s="105">
        <f t="shared" ref="AY103:AZ103" si="121">F103+N103+V103+AD103+AL103+AT103</f>
        <v>0</v>
      </c>
      <c r="AZ103" s="105">
        <f t="shared" si="121"/>
        <v>0</v>
      </c>
      <c r="BA103" s="105">
        <f t="shared" si="14"/>
        <v>0</v>
      </c>
      <c r="BB103" s="105">
        <f t="shared" si="15"/>
        <v>0</v>
      </c>
    </row>
    <row r="104" spans="1:54" ht="15" customHeight="1" x14ac:dyDescent="0.25">
      <c r="A104" s="2">
        <v>102</v>
      </c>
      <c r="B104" s="83">
        <f t="shared" si="16"/>
        <v>0</v>
      </c>
      <c r="C104" s="83">
        <f>B104*N(Crédits!$D$5)/12</f>
        <v>0</v>
      </c>
      <c r="D104" s="83">
        <f>MIN(N(Crédits!$E$5),B104+C104)</f>
        <v>0</v>
      </c>
      <c r="E104" s="83">
        <f t="shared" si="0"/>
        <v>0</v>
      </c>
      <c r="F104" s="86">
        <f>IF(Crédits!$K$5="",0,MAX(0,MIN(E104,Plan!$L$106-(IF(Crédits!$K$6="",0,IF(Crédits!$K$6&lt;Crédits!$K$5,M104,0))+IF(Crédits!$K$7="",0,IF(Crédits!$K$7&lt;Crédits!$K$5,U104,0))+IF(Crédits!$K$8="",0,IF(Crédits!$K$8&lt;Crédits!$K$5,AC104,0))+IF(Crédits!$K$9="",0,IF(Crédits!$K$9&lt;Crédits!$K$5,AK104,0))+IF(Crédits!$K$10="",0,IF(Crédits!$K$10&lt;Crédits!$K$5,AS104,0))))))</f>
        <v>0</v>
      </c>
      <c r="G104" s="87">
        <f t="shared" si="1"/>
        <v>0</v>
      </c>
      <c r="H104" s="88">
        <f>ROUND(H103+I104-MIN(N(Crédits!$E$5),H103+I104),2)</f>
        <v>0</v>
      </c>
      <c r="I104" s="89">
        <f>H103*N(Crédits!$D$5)/12</f>
        <v>0</v>
      </c>
      <c r="J104" s="90">
        <f t="shared" si="17"/>
        <v>0</v>
      </c>
      <c r="K104" s="90">
        <f>J104*N(Crédits!$D$6)/12</f>
        <v>0</v>
      </c>
      <c r="L104" s="90">
        <f>MIN(N(Crédits!$E$6),J104+K104)</f>
        <v>0</v>
      </c>
      <c r="M104" s="90">
        <f t="shared" si="2"/>
        <v>0</v>
      </c>
      <c r="N104" s="91">
        <f>IF(Crédits!$K$6="",0,MAX(0,MIN(M104,Plan!$L$106-(IF(Crédits!$K$5="",0,IF(Crédits!$K$5&lt;Crédits!$K$6,E104,0))+IF(Crédits!$K$7="",0,IF(Crédits!$K$7&lt;Crédits!$K$6,U104,0))+IF(Crédits!$K$8="",0,IF(Crédits!$K$8&lt;Crédits!$K$6,AC104,0))+IF(Crédits!$K$9="",0,IF(Crédits!$K$9&lt;Crédits!$K$6,AK104,0))+IF(Crédits!$K$10="",0,IF(Crédits!$K$10&lt;Crédits!$K$6,AS104,0))))))</f>
        <v>0</v>
      </c>
      <c r="O104" s="92">
        <f t="shared" si="3"/>
        <v>0</v>
      </c>
      <c r="P104" s="88">
        <f>ROUND(P103+Q104-MIN(N(Crédits!$E$6),P103+Q104),2)</f>
        <v>0</v>
      </c>
      <c r="Q104" s="89">
        <f>P103*N(Crédits!$D$6)/12</f>
        <v>0</v>
      </c>
      <c r="R104" s="93">
        <f t="shared" si="18"/>
        <v>0</v>
      </c>
      <c r="S104" s="93">
        <f>R104*N(Crédits!$D$7)/12</f>
        <v>0</v>
      </c>
      <c r="T104" s="93">
        <f>MIN(N(Crédits!$E$7),R104+S104)</f>
        <v>0</v>
      </c>
      <c r="U104" s="93">
        <f t="shared" si="4"/>
        <v>0</v>
      </c>
      <c r="V104" s="94">
        <f>IF(Crédits!$K$7="",0,MAX(0,MIN(U104,Plan!$L$106-(IF(Crédits!$K$5="",0,IF(Crédits!$K$5&lt;Crédits!$K$7,E104,0))+IF(Crédits!$K$6="",0,IF(Crédits!$K$6&lt;Crédits!$K$7,M104,0))+IF(Crédits!$K$8="",0,IF(Crédits!$K$8&lt;Crédits!$K$7,AC104,0))+IF(Crédits!$K$9="",0,IF(Crédits!$K$9&lt;Crédits!$K$7,AK104,0))+IF(Crédits!$K$10="",0,IF(Crédits!$K$10&lt;Crédits!$K$7,AS104,0))))))</f>
        <v>0</v>
      </c>
      <c r="W104" s="95">
        <f t="shared" si="5"/>
        <v>0</v>
      </c>
      <c r="X104" s="88">
        <f>ROUND(X103+Y104-MIN(N(Crédits!$E$7),X103+Y104),2)</f>
        <v>0</v>
      </c>
      <c r="Y104" s="89">
        <f>X103*N(Crédits!$D$7)/12</f>
        <v>0</v>
      </c>
      <c r="Z104" s="96">
        <f t="shared" si="19"/>
        <v>0</v>
      </c>
      <c r="AA104" s="96">
        <f>Z104*N(Crédits!$D$8)/12</f>
        <v>0</v>
      </c>
      <c r="AB104" s="96">
        <f>MIN(N(Crédits!$E$8),Z104+AA104)</f>
        <v>0</v>
      </c>
      <c r="AC104" s="96">
        <f t="shared" si="6"/>
        <v>0</v>
      </c>
      <c r="AD104" s="97">
        <f>IF(Crédits!$K$8="",0,MAX(0,MIN(AC104,Plan!$L$106-(IF(Crédits!$K$5="",0,IF(Crédits!$K$5&lt;Crédits!$K$8,E104,0))+IF(Crédits!$K$6="",0,IF(Crédits!$K$6&lt;Crédits!$K$8,M104,0))+IF(Crédits!$K$7="",0,IF(Crédits!$K$7&lt;Crédits!$K$8,U104,0))+IF(Crédits!$K$9="",0,IF(Crédits!$K$9&lt;Crédits!$K$8,AK104,0))+IF(Crédits!$K$10="",0,IF(Crédits!$K$10&lt;Crédits!$K$8,AS104,0))))))</f>
        <v>0</v>
      </c>
      <c r="AE104" s="98">
        <f t="shared" si="7"/>
        <v>0</v>
      </c>
      <c r="AF104" s="88">
        <f>ROUND(AF103+AG104-MIN(N(Crédits!$E$8),AF103+AG104),2)</f>
        <v>0</v>
      </c>
      <c r="AG104" s="89">
        <f>AF103*N(Crédits!$D$8)/12</f>
        <v>0</v>
      </c>
      <c r="AH104" s="99">
        <f t="shared" si="20"/>
        <v>0</v>
      </c>
      <c r="AI104" s="99">
        <f>AH104*N(Crédits!$D$9)/12</f>
        <v>0</v>
      </c>
      <c r="AJ104" s="99">
        <f>MIN(N(Crédits!$E$9),AH104+AI104)</f>
        <v>0</v>
      </c>
      <c r="AK104" s="99">
        <f t="shared" si="8"/>
        <v>0</v>
      </c>
      <c r="AL104" s="100">
        <f>IF(Crédits!$K$9="",0,MAX(0,MIN(AK104,Plan!$L$106-(IF(Crédits!$K$5="",0,IF(Crédits!$K$5&lt;Crédits!$K$9,E104,0))+IF(Crédits!$K$6="",0,IF(Crédits!$K$6&lt;Crédits!$K$9,M104,0))+IF(Crédits!$K$7="",0,IF(Crédits!$K$7&lt;Crédits!$K$9,U104,0))+IF(Crédits!$K$8="",0,IF(Crédits!$K$8&lt;Crédits!$K$9,AC104,0))+IF(Crédits!$K$10="",0,IF(Crédits!$K$10&lt;Crédits!$K$9,AS104,0))))))</f>
        <v>0</v>
      </c>
      <c r="AM104" s="101">
        <f t="shared" si="9"/>
        <v>0</v>
      </c>
      <c r="AN104" s="88">
        <f>ROUND(AN103+AO104-MIN(N(Crédits!$E$9),AN103+AO104),2)</f>
        <v>0</v>
      </c>
      <c r="AO104" s="89">
        <f>AN103*N(Crédits!$D$9)/12</f>
        <v>0</v>
      </c>
      <c r="AP104" s="102">
        <f t="shared" si="21"/>
        <v>0</v>
      </c>
      <c r="AQ104" s="102">
        <f>AP104*N(Crédits!$D$10)/12</f>
        <v>0</v>
      </c>
      <c r="AR104" s="102">
        <f>MIN(N(Crédits!$E$10),AP104+AQ104)</f>
        <v>0</v>
      </c>
      <c r="AS104" s="102">
        <f t="shared" si="10"/>
        <v>0</v>
      </c>
      <c r="AT104" s="103">
        <f>IF(Crédits!$K$10="",0,MAX(0,MIN(AS104,Plan!$L$106-(IF(Crédits!$K$5="",0,IF(Crédits!$K$5&lt;Crédits!$K$10,E104,0))+IF(Crédits!$K$6="",0,IF(Crédits!$K$6&lt;Crédits!$K$10,M104,0))+IF(Crédits!$K$7="",0,IF(Crédits!$K$7&lt;Crédits!$K$10,U104,0))+IF(Crédits!$K$8="",0,IF(Crédits!$K$8&lt;Crédits!$K$10,AC104,0))+IF(Crédits!$K$9="",0,IF(Crédits!$K$9&lt;Crédits!$K$10,AK104,0))))))</f>
        <v>0</v>
      </c>
      <c r="AU104" s="104">
        <f t="shared" si="11"/>
        <v>0</v>
      </c>
      <c r="AV104" s="88">
        <f>ROUND(AV103+AW104-MIN(N(Crédits!$E$10),AV103+AW104),2)</f>
        <v>0</v>
      </c>
      <c r="AW104" s="89">
        <f>AV103*N(Crédits!$D$10)/12</f>
        <v>0</v>
      </c>
      <c r="AX104" s="105">
        <f t="shared" si="12"/>
        <v>0</v>
      </c>
      <c r="AY104" s="105">
        <f t="shared" ref="AY104:AZ104" si="122">F104+N104+V104+AD104+AL104+AT104</f>
        <v>0</v>
      </c>
      <c r="AZ104" s="105">
        <f t="shared" si="122"/>
        <v>0</v>
      </c>
      <c r="BA104" s="105">
        <f t="shared" si="14"/>
        <v>0</v>
      </c>
      <c r="BB104" s="105">
        <f t="shared" si="15"/>
        <v>0</v>
      </c>
    </row>
    <row r="105" spans="1:54" ht="15" customHeight="1" x14ac:dyDescent="0.25">
      <c r="A105" s="2">
        <v>103</v>
      </c>
      <c r="B105" s="83">
        <f t="shared" si="16"/>
        <v>0</v>
      </c>
      <c r="C105" s="83">
        <f>B105*N(Crédits!$D$5)/12</f>
        <v>0</v>
      </c>
      <c r="D105" s="83">
        <f>MIN(N(Crédits!$E$5),B105+C105)</f>
        <v>0</v>
      </c>
      <c r="E105" s="83">
        <f t="shared" si="0"/>
        <v>0</v>
      </c>
      <c r="F105" s="86">
        <f>IF(Crédits!$K$5="",0,MAX(0,MIN(E105,Plan!$L$107-(IF(Crédits!$K$6="",0,IF(Crédits!$K$6&lt;Crédits!$K$5,M105,0))+IF(Crédits!$K$7="",0,IF(Crédits!$K$7&lt;Crédits!$K$5,U105,0))+IF(Crédits!$K$8="",0,IF(Crédits!$K$8&lt;Crédits!$K$5,AC105,0))+IF(Crédits!$K$9="",0,IF(Crédits!$K$9&lt;Crédits!$K$5,AK105,0))+IF(Crédits!$K$10="",0,IF(Crédits!$K$10&lt;Crédits!$K$5,AS105,0))))))</f>
        <v>0</v>
      </c>
      <c r="G105" s="87">
        <f t="shared" si="1"/>
        <v>0</v>
      </c>
      <c r="H105" s="88">
        <f>ROUND(H104+I105-MIN(N(Crédits!$E$5),H104+I105),2)</f>
        <v>0</v>
      </c>
      <c r="I105" s="89">
        <f>H104*N(Crédits!$D$5)/12</f>
        <v>0</v>
      </c>
      <c r="J105" s="90">
        <f t="shared" si="17"/>
        <v>0</v>
      </c>
      <c r="K105" s="90">
        <f>J105*N(Crédits!$D$6)/12</f>
        <v>0</v>
      </c>
      <c r="L105" s="90">
        <f>MIN(N(Crédits!$E$6),J105+K105)</f>
        <v>0</v>
      </c>
      <c r="M105" s="90">
        <f t="shared" si="2"/>
        <v>0</v>
      </c>
      <c r="N105" s="91">
        <f>IF(Crédits!$K$6="",0,MAX(0,MIN(M105,Plan!$L$107-(IF(Crédits!$K$5="",0,IF(Crédits!$K$5&lt;Crédits!$K$6,E105,0))+IF(Crédits!$K$7="",0,IF(Crédits!$K$7&lt;Crédits!$K$6,U105,0))+IF(Crédits!$K$8="",0,IF(Crédits!$K$8&lt;Crédits!$K$6,AC105,0))+IF(Crédits!$K$9="",0,IF(Crédits!$K$9&lt;Crédits!$K$6,AK105,0))+IF(Crédits!$K$10="",0,IF(Crédits!$K$10&lt;Crédits!$K$6,AS105,0))))))</f>
        <v>0</v>
      </c>
      <c r="O105" s="92">
        <f t="shared" si="3"/>
        <v>0</v>
      </c>
      <c r="P105" s="88">
        <f>ROUND(P104+Q105-MIN(N(Crédits!$E$6),P104+Q105),2)</f>
        <v>0</v>
      </c>
      <c r="Q105" s="89">
        <f>P104*N(Crédits!$D$6)/12</f>
        <v>0</v>
      </c>
      <c r="R105" s="93">
        <f t="shared" si="18"/>
        <v>0</v>
      </c>
      <c r="S105" s="93">
        <f>R105*N(Crédits!$D$7)/12</f>
        <v>0</v>
      </c>
      <c r="T105" s="93">
        <f>MIN(N(Crédits!$E$7),R105+S105)</f>
        <v>0</v>
      </c>
      <c r="U105" s="93">
        <f t="shared" si="4"/>
        <v>0</v>
      </c>
      <c r="V105" s="94">
        <f>IF(Crédits!$K$7="",0,MAX(0,MIN(U105,Plan!$L$107-(IF(Crédits!$K$5="",0,IF(Crédits!$K$5&lt;Crédits!$K$7,E105,0))+IF(Crédits!$K$6="",0,IF(Crédits!$K$6&lt;Crédits!$K$7,M105,0))+IF(Crédits!$K$8="",0,IF(Crédits!$K$8&lt;Crédits!$K$7,AC105,0))+IF(Crédits!$K$9="",0,IF(Crédits!$K$9&lt;Crédits!$K$7,AK105,0))+IF(Crédits!$K$10="",0,IF(Crédits!$K$10&lt;Crédits!$K$7,AS105,0))))))</f>
        <v>0</v>
      </c>
      <c r="W105" s="95">
        <f t="shared" si="5"/>
        <v>0</v>
      </c>
      <c r="X105" s="88">
        <f>ROUND(X104+Y105-MIN(N(Crédits!$E$7),X104+Y105),2)</f>
        <v>0</v>
      </c>
      <c r="Y105" s="89">
        <f>X104*N(Crédits!$D$7)/12</f>
        <v>0</v>
      </c>
      <c r="Z105" s="96">
        <f t="shared" si="19"/>
        <v>0</v>
      </c>
      <c r="AA105" s="96">
        <f>Z105*N(Crédits!$D$8)/12</f>
        <v>0</v>
      </c>
      <c r="AB105" s="96">
        <f>MIN(N(Crédits!$E$8),Z105+AA105)</f>
        <v>0</v>
      </c>
      <c r="AC105" s="96">
        <f t="shared" si="6"/>
        <v>0</v>
      </c>
      <c r="AD105" s="97">
        <f>IF(Crédits!$K$8="",0,MAX(0,MIN(AC105,Plan!$L$107-(IF(Crédits!$K$5="",0,IF(Crédits!$K$5&lt;Crédits!$K$8,E105,0))+IF(Crédits!$K$6="",0,IF(Crédits!$K$6&lt;Crédits!$K$8,M105,0))+IF(Crédits!$K$7="",0,IF(Crédits!$K$7&lt;Crédits!$K$8,U105,0))+IF(Crédits!$K$9="",0,IF(Crédits!$K$9&lt;Crédits!$K$8,AK105,0))+IF(Crédits!$K$10="",0,IF(Crédits!$K$10&lt;Crédits!$K$8,AS105,0))))))</f>
        <v>0</v>
      </c>
      <c r="AE105" s="98">
        <f t="shared" si="7"/>
        <v>0</v>
      </c>
      <c r="AF105" s="88">
        <f>ROUND(AF104+AG105-MIN(N(Crédits!$E$8),AF104+AG105),2)</f>
        <v>0</v>
      </c>
      <c r="AG105" s="89">
        <f>AF104*N(Crédits!$D$8)/12</f>
        <v>0</v>
      </c>
      <c r="AH105" s="99">
        <f t="shared" si="20"/>
        <v>0</v>
      </c>
      <c r="AI105" s="99">
        <f>AH105*N(Crédits!$D$9)/12</f>
        <v>0</v>
      </c>
      <c r="AJ105" s="99">
        <f>MIN(N(Crédits!$E$9),AH105+AI105)</f>
        <v>0</v>
      </c>
      <c r="AK105" s="99">
        <f t="shared" si="8"/>
        <v>0</v>
      </c>
      <c r="AL105" s="100">
        <f>IF(Crédits!$K$9="",0,MAX(0,MIN(AK105,Plan!$L$107-(IF(Crédits!$K$5="",0,IF(Crédits!$K$5&lt;Crédits!$K$9,E105,0))+IF(Crédits!$K$6="",0,IF(Crédits!$K$6&lt;Crédits!$K$9,M105,0))+IF(Crédits!$K$7="",0,IF(Crédits!$K$7&lt;Crédits!$K$9,U105,0))+IF(Crédits!$K$8="",0,IF(Crédits!$K$8&lt;Crédits!$K$9,AC105,0))+IF(Crédits!$K$10="",0,IF(Crédits!$K$10&lt;Crédits!$K$9,AS105,0))))))</f>
        <v>0</v>
      </c>
      <c r="AM105" s="101">
        <f t="shared" si="9"/>
        <v>0</v>
      </c>
      <c r="AN105" s="88">
        <f>ROUND(AN104+AO105-MIN(N(Crédits!$E$9),AN104+AO105),2)</f>
        <v>0</v>
      </c>
      <c r="AO105" s="89">
        <f>AN104*N(Crédits!$D$9)/12</f>
        <v>0</v>
      </c>
      <c r="AP105" s="102">
        <f t="shared" si="21"/>
        <v>0</v>
      </c>
      <c r="AQ105" s="102">
        <f>AP105*N(Crédits!$D$10)/12</f>
        <v>0</v>
      </c>
      <c r="AR105" s="102">
        <f>MIN(N(Crédits!$E$10),AP105+AQ105)</f>
        <v>0</v>
      </c>
      <c r="AS105" s="102">
        <f t="shared" si="10"/>
        <v>0</v>
      </c>
      <c r="AT105" s="103">
        <f>IF(Crédits!$K$10="",0,MAX(0,MIN(AS105,Plan!$L$107-(IF(Crédits!$K$5="",0,IF(Crédits!$K$5&lt;Crédits!$K$10,E105,0))+IF(Crédits!$K$6="",0,IF(Crédits!$K$6&lt;Crédits!$K$10,M105,0))+IF(Crédits!$K$7="",0,IF(Crédits!$K$7&lt;Crédits!$K$10,U105,0))+IF(Crédits!$K$8="",0,IF(Crédits!$K$8&lt;Crédits!$K$10,AC105,0))+IF(Crédits!$K$9="",0,IF(Crédits!$K$9&lt;Crédits!$K$10,AK105,0))))))</f>
        <v>0</v>
      </c>
      <c r="AU105" s="104">
        <f t="shared" si="11"/>
        <v>0</v>
      </c>
      <c r="AV105" s="88">
        <f>ROUND(AV104+AW105-MIN(N(Crédits!$E$10),AV104+AW105),2)</f>
        <v>0</v>
      </c>
      <c r="AW105" s="89">
        <f>AV104*N(Crédits!$D$10)/12</f>
        <v>0</v>
      </c>
      <c r="AX105" s="105">
        <f t="shared" si="12"/>
        <v>0</v>
      </c>
      <c r="AY105" s="105">
        <f t="shared" ref="AY105:AZ105" si="123">F105+N105+V105+AD105+AL105+AT105</f>
        <v>0</v>
      </c>
      <c r="AZ105" s="105">
        <f t="shared" si="123"/>
        <v>0</v>
      </c>
      <c r="BA105" s="105">
        <f t="shared" si="14"/>
        <v>0</v>
      </c>
      <c r="BB105" s="105">
        <f t="shared" si="15"/>
        <v>0</v>
      </c>
    </row>
    <row r="106" spans="1:54" ht="15" customHeight="1" x14ac:dyDescent="0.25">
      <c r="A106" s="2">
        <v>104</v>
      </c>
      <c r="B106" s="83">
        <f t="shared" si="16"/>
        <v>0</v>
      </c>
      <c r="C106" s="83">
        <f>B106*N(Crédits!$D$5)/12</f>
        <v>0</v>
      </c>
      <c r="D106" s="83">
        <f>MIN(N(Crédits!$E$5),B106+C106)</f>
        <v>0</v>
      </c>
      <c r="E106" s="83">
        <f t="shared" si="0"/>
        <v>0</v>
      </c>
      <c r="F106" s="86">
        <f>IF(Crédits!$K$5="",0,MAX(0,MIN(E106,Plan!$L$108-(IF(Crédits!$K$6="",0,IF(Crédits!$K$6&lt;Crédits!$K$5,M106,0))+IF(Crédits!$K$7="",0,IF(Crédits!$K$7&lt;Crédits!$K$5,U106,0))+IF(Crédits!$K$8="",0,IF(Crédits!$K$8&lt;Crédits!$K$5,AC106,0))+IF(Crédits!$K$9="",0,IF(Crédits!$K$9&lt;Crédits!$K$5,AK106,0))+IF(Crédits!$K$10="",0,IF(Crédits!$K$10&lt;Crédits!$K$5,AS106,0))))))</f>
        <v>0</v>
      </c>
      <c r="G106" s="87">
        <f t="shared" si="1"/>
        <v>0</v>
      </c>
      <c r="H106" s="88">
        <f>ROUND(H105+I106-MIN(N(Crédits!$E$5),H105+I106),2)</f>
        <v>0</v>
      </c>
      <c r="I106" s="89">
        <f>H105*N(Crédits!$D$5)/12</f>
        <v>0</v>
      </c>
      <c r="J106" s="90">
        <f t="shared" si="17"/>
        <v>0</v>
      </c>
      <c r="K106" s="90">
        <f>J106*N(Crédits!$D$6)/12</f>
        <v>0</v>
      </c>
      <c r="L106" s="90">
        <f>MIN(N(Crédits!$E$6),J106+K106)</f>
        <v>0</v>
      </c>
      <c r="M106" s="90">
        <f t="shared" si="2"/>
        <v>0</v>
      </c>
      <c r="N106" s="91">
        <f>IF(Crédits!$K$6="",0,MAX(0,MIN(M106,Plan!$L$108-(IF(Crédits!$K$5="",0,IF(Crédits!$K$5&lt;Crédits!$K$6,E106,0))+IF(Crédits!$K$7="",0,IF(Crédits!$K$7&lt;Crédits!$K$6,U106,0))+IF(Crédits!$K$8="",0,IF(Crédits!$K$8&lt;Crédits!$K$6,AC106,0))+IF(Crédits!$K$9="",0,IF(Crédits!$K$9&lt;Crédits!$K$6,AK106,0))+IF(Crédits!$K$10="",0,IF(Crédits!$K$10&lt;Crédits!$K$6,AS106,0))))))</f>
        <v>0</v>
      </c>
      <c r="O106" s="92">
        <f t="shared" si="3"/>
        <v>0</v>
      </c>
      <c r="P106" s="88">
        <f>ROUND(P105+Q106-MIN(N(Crédits!$E$6),P105+Q106),2)</f>
        <v>0</v>
      </c>
      <c r="Q106" s="89">
        <f>P105*N(Crédits!$D$6)/12</f>
        <v>0</v>
      </c>
      <c r="R106" s="93">
        <f t="shared" si="18"/>
        <v>0</v>
      </c>
      <c r="S106" s="93">
        <f>R106*N(Crédits!$D$7)/12</f>
        <v>0</v>
      </c>
      <c r="T106" s="93">
        <f>MIN(N(Crédits!$E$7),R106+S106)</f>
        <v>0</v>
      </c>
      <c r="U106" s="93">
        <f t="shared" si="4"/>
        <v>0</v>
      </c>
      <c r="V106" s="94">
        <f>IF(Crédits!$K$7="",0,MAX(0,MIN(U106,Plan!$L$108-(IF(Crédits!$K$5="",0,IF(Crédits!$K$5&lt;Crédits!$K$7,E106,0))+IF(Crédits!$K$6="",0,IF(Crédits!$K$6&lt;Crédits!$K$7,M106,0))+IF(Crédits!$K$8="",0,IF(Crédits!$K$8&lt;Crédits!$K$7,AC106,0))+IF(Crédits!$K$9="",0,IF(Crédits!$K$9&lt;Crédits!$K$7,AK106,0))+IF(Crédits!$K$10="",0,IF(Crédits!$K$10&lt;Crédits!$K$7,AS106,0))))))</f>
        <v>0</v>
      </c>
      <c r="W106" s="95">
        <f t="shared" si="5"/>
        <v>0</v>
      </c>
      <c r="X106" s="88">
        <f>ROUND(X105+Y106-MIN(N(Crédits!$E$7),X105+Y106),2)</f>
        <v>0</v>
      </c>
      <c r="Y106" s="89">
        <f>X105*N(Crédits!$D$7)/12</f>
        <v>0</v>
      </c>
      <c r="Z106" s="96">
        <f t="shared" si="19"/>
        <v>0</v>
      </c>
      <c r="AA106" s="96">
        <f>Z106*N(Crédits!$D$8)/12</f>
        <v>0</v>
      </c>
      <c r="AB106" s="96">
        <f>MIN(N(Crédits!$E$8),Z106+AA106)</f>
        <v>0</v>
      </c>
      <c r="AC106" s="96">
        <f t="shared" si="6"/>
        <v>0</v>
      </c>
      <c r="AD106" s="97">
        <f>IF(Crédits!$K$8="",0,MAX(0,MIN(AC106,Plan!$L$108-(IF(Crédits!$K$5="",0,IF(Crédits!$K$5&lt;Crédits!$K$8,E106,0))+IF(Crédits!$K$6="",0,IF(Crédits!$K$6&lt;Crédits!$K$8,M106,0))+IF(Crédits!$K$7="",0,IF(Crédits!$K$7&lt;Crédits!$K$8,U106,0))+IF(Crédits!$K$9="",0,IF(Crédits!$K$9&lt;Crédits!$K$8,AK106,0))+IF(Crédits!$K$10="",0,IF(Crédits!$K$10&lt;Crédits!$K$8,AS106,0))))))</f>
        <v>0</v>
      </c>
      <c r="AE106" s="98">
        <f t="shared" si="7"/>
        <v>0</v>
      </c>
      <c r="AF106" s="88">
        <f>ROUND(AF105+AG106-MIN(N(Crédits!$E$8),AF105+AG106),2)</f>
        <v>0</v>
      </c>
      <c r="AG106" s="89">
        <f>AF105*N(Crédits!$D$8)/12</f>
        <v>0</v>
      </c>
      <c r="AH106" s="99">
        <f t="shared" si="20"/>
        <v>0</v>
      </c>
      <c r="AI106" s="99">
        <f>AH106*N(Crédits!$D$9)/12</f>
        <v>0</v>
      </c>
      <c r="AJ106" s="99">
        <f>MIN(N(Crédits!$E$9),AH106+AI106)</f>
        <v>0</v>
      </c>
      <c r="AK106" s="99">
        <f t="shared" si="8"/>
        <v>0</v>
      </c>
      <c r="AL106" s="100">
        <f>IF(Crédits!$K$9="",0,MAX(0,MIN(AK106,Plan!$L$108-(IF(Crédits!$K$5="",0,IF(Crédits!$K$5&lt;Crédits!$K$9,E106,0))+IF(Crédits!$K$6="",0,IF(Crédits!$K$6&lt;Crédits!$K$9,M106,0))+IF(Crédits!$K$7="",0,IF(Crédits!$K$7&lt;Crédits!$K$9,U106,0))+IF(Crédits!$K$8="",0,IF(Crédits!$K$8&lt;Crédits!$K$9,AC106,0))+IF(Crédits!$K$10="",0,IF(Crédits!$K$10&lt;Crédits!$K$9,AS106,0))))))</f>
        <v>0</v>
      </c>
      <c r="AM106" s="101">
        <f t="shared" si="9"/>
        <v>0</v>
      </c>
      <c r="AN106" s="88">
        <f>ROUND(AN105+AO106-MIN(N(Crédits!$E$9),AN105+AO106),2)</f>
        <v>0</v>
      </c>
      <c r="AO106" s="89">
        <f>AN105*N(Crédits!$D$9)/12</f>
        <v>0</v>
      </c>
      <c r="AP106" s="102">
        <f t="shared" si="21"/>
        <v>0</v>
      </c>
      <c r="AQ106" s="102">
        <f>AP106*N(Crédits!$D$10)/12</f>
        <v>0</v>
      </c>
      <c r="AR106" s="102">
        <f>MIN(N(Crédits!$E$10),AP106+AQ106)</f>
        <v>0</v>
      </c>
      <c r="AS106" s="102">
        <f t="shared" si="10"/>
        <v>0</v>
      </c>
      <c r="AT106" s="103">
        <f>IF(Crédits!$K$10="",0,MAX(0,MIN(AS106,Plan!$L$108-(IF(Crédits!$K$5="",0,IF(Crédits!$K$5&lt;Crédits!$K$10,E106,0))+IF(Crédits!$K$6="",0,IF(Crédits!$K$6&lt;Crédits!$K$10,M106,0))+IF(Crédits!$K$7="",0,IF(Crédits!$K$7&lt;Crédits!$K$10,U106,0))+IF(Crédits!$K$8="",0,IF(Crédits!$K$8&lt;Crédits!$K$10,AC106,0))+IF(Crédits!$K$9="",0,IF(Crédits!$K$9&lt;Crédits!$K$10,AK106,0))))))</f>
        <v>0</v>
      </c>
      <c r="AU106" s="104">
        <f t="shared" si="11"/>
        <v>0</v>
      </c>
      <c r="AV106" s="88">
        <f>ROUND(AV105+AW106-MIN(N(Crédits!$E$10),AV105+AW106),2)</f>
        <v>0</v>
      </c>
      <c r="AW106" s="89">
        <f>AV105*N(Crédits!$D$10)/12</f>
        <v>0</v>
      </c>
      <c r="AX106" s="105">
        <f t="shared" si="12"/>
        <v>0</v>
      </c>
      <c r="AY106" s="105">
        <f t="shared" ref="AY106:AZ106" si="124">F106+N106+V106+AD106+AL106+AT106</f>
        <v>0</v>
      </c>
      <c r="AZ106" s="105">
        <f t="shared" si="124"/>
        <v>0</v>
      </c>
      <c r="BA106" s="105">
        <f t="shared" si="14"/>
        <v>0</v>
      </c>
      <c r="BB106" s="105">
        <f t="shared" si="15"/>
        <v>0</v>
      </c>
    </row>
    <row r="107" spans="1:54" ht="15" customHeight="1" x14ac:dyDescent="0.25">
      <c r="A107" s="2">
        <v>105</v>
      </c>
      <c r="B107" s="83">
        <f t="shared" si="16"/>
        <v>0</v>
      </c>
      <c r="C107" s="83">
        <f>B107*N(Crédits!$D$5)/12</f>
        <v>0</v>
      </c>
      <c r="D107" s="83">
        <f>MIN(N(Crédits!$E$5),B107+C107)</f>
        <v>0</v>
      </c>
      <c r="E107" s="83">
        <f t="shared" si="0"/>
        <v>0</v>
      </c>
      <c r="F107" s="86">
        <f>IF(Crédits!$K$5="",0,MAX(0,MIN(E107,Plan!$L$109-(IF(Crédits!$K$6="",0,IF(Crédits!$K$6&lt;Crédits!$K$5,M107,0))+IF(Crédits!$K$7="",0,IF(Crédits!$K$7&lt;Crédits!$K$5,U107,0))+IF(Crédits!$K$8="",0,IF(Crédits!$K$8&lt;Crédits!$K$5,AC107,0))+IF(Crédits!$K$9="",0,IF(Crédits!$K$9&lt;Crédits!$K$5,AK107,0))+IF(Crédits!$K$10="",0,IF(Crédits!$K$10&lt;Crédits!$K$5,AS107,0))))))</f>
        <v>0</v>
      </c>
      <c r="G107" s="87">
        <f t="shared" si="1"/>
        <v>0</v>
      </c>
      <c r="H107" s="88">
        <f>ROUND(H106+I107-MIN(N(Crédits!$E$5),H106+I107),2)</f>
        <v>0</v>
      </c>
      <c r="I107" s="89">
        <f>H106*N(Crédits!$D$5)/12</f>
        <v>0</v>
      </c>
      <c r="J107" s="90">
        <f t="shared" si="17"/>
        <v>0</v>
      </c>
      <c r="K107" s="90">
        <f>J107*N(Crédits!$D$6)/12</f>
        <v>0</v>
      </c>
      <c r="L107" s="90">
        <f>MIN(N(Crédits!$E$6),J107+K107)</f>
        <v>0</v>
      </c>
      <c r="M107" s="90">
        <f t="shared" si="2"/>
        <v>0</v>
      </c>
      <c r="N107" s="91">
        <f>IF(Crédits!$K$6="",0,MAX(0,MIN(M107,Plan!$L$109-(IF(Crédits!$K$5="",0,IF(Crédits!$K$5&lt;Crédits!$K$6,E107,0))+IF(Crédits!$K$7="",0,IF(Crédits!$K$7&lt;Crédits!$K$6,U107,0))+IF(Crédits!$K$8="",0,IF(Crédits!$K$8&lt;Crédits!$K$6,AC107,0))+IF(Crédits!$K$9="",0,IF(Crédits!$K$9&lt;Crédits!$K$6,AK107,0))+IF(Crédits!$K$10="",0,IF(Crédits!$K$10&lt;Crédits!$K$6,AS107,0))))))</f>
        <v>0</v>
      </c>
      <c r="O107" s="92">
        <f t="shared" si="3"/>
        <v>0</v>
      </c>
      <c r="P107" s="88">
        <f>ROUND(P106+Q107-MIN(N(Crédits!$E$6),P106+Q107),2)</f>
        <v>0</v>
      </c>
      <c r="Q107" s="89">
        <f>P106*N(Crédits!$D$6)/12</f>
        <v>0</v>
      </c>
      <c r="R107" s="93">
        <f t="shared" si="18"/>
        <v>0</v>
      </c>
      <c r="S107" s="93">
        <f>R107*N(Crédits!$D$7)/12</f>
        <v>0</v>
      </c>
      <c r="T107" s="93">
        <f>MIN(N(Crédits!$E$7),R107+S107)</f>
        <v>0</v>
      </c>
      <c r="U107" s="93">
        <f t="shared" si="4"/>
        <v>0</v>
      </c>
      <c r="V107" s="94">
        <f>IF(Crédits!$K$7="",0,MAX(0,MIN(U107,Plan!$L$109-(IF(Crédits!$K$5="",0,IF(Crédits!$K$5&lt;Crédits!$K$7,E107,0))+IF(Crédits!$K$6="",0,IF(Crédits!$K$6&lt;Crédits!$K$7,M107,0))+IF(Crédits!$K$8="",0,IF(Crédits!$K$8&lt;Crédits!$K$7,AC107,0))+IF(Crédits!$K$9="",0,IF(Crédits!$K$9&lt;Crédits!$K$7,AK107,0))+IF(Crédits!$K$10="",0,IF(Crédits!$K$10&lt;Crédits!$K$7,AS107,0))))))</f>
        <v>0</v>
      </c>
      <c r="W107" s="95">
        <f t="shared" si="5"/>
        <v>0</v>
      </c>
      <c r="X107" s="88">
        <f>ROUND(X106+Y107-MIN(N(Crédits!$E$7),X106+Y107),2)</f>
        <v>0</v>
      </c>
      <c r="Y107" s="89">
        <f>X106*N(Crédits!$D$7)/12</f>
        <v>0</v>
      </c>
      <c r="Z107" s="96">
        <f t="shared" si="19"/>
        <v>0</v>
      </c>
      <c r="AA107" s="96">
        <f>Z107*N(Crédits!$D$8)/12</f>
        <v>0</v>
      </c>
      <c r="AB107" s="96">
        <f>MIN(N(Crédits!$E$8),Z107+AA107)</f>
        <v>0</v>
      </c>
      <c r="AC107" s="96">
        <f t="shared" si="6"/>
        <v>0</v>
      </c>
      <c r="AD107" s="97">
        <f>IF(Crédits!$K$8="",0,MAX(0,MIN(AC107,Plan!$L$109-(IF(Crédits!$K$5="",0,IF(Crédits!$K$5&lt;Crédits!$K$8,E107,0))+IF(Crédits!$K$6="",0,IF(Crédits!$K$6&lt;Crédits!$K$8,M107,0))+IF(Crédits!$K$7="",0,IF(Crédits!$K$7&lt;Crédits!$K$8,U107,0))+IF(Crédits!$K$9="",0,IF(Crédits!$K$9&lt;Crédits!$K$8,AK107,0))+IF(Crédits!$K$10="",0,IF(Crédits!$K$10&lt;Crédits!$K$8,AS107,0))))))</f>
        <v>0</v>
      </c>
      <c r="AE107" s="98">
        <f t="shared" si="7"/>
        <v>0</v>
      </c>
      <c r="AF107" s="88">
        <f>ROUND(AF106+AG107-MIN(N(Crédits!$E$8),AF106+AG107),2)</f>
        <v>0</v>
      </c>
      <c r="AG107" s="89">
        <f>AF106*N(Crédits!$D$8)/12</f>
        <v>0</v>
      </c>
      <c r="AH107" s="99">
        <f t="shared" si="20"/>
        <v>0</v>
      </c>
      <c r="AI107" s="99">
        <f>AH107*N(Crédits!$D$9)/12</f>
        <v>0</v>
      </c>
      <c r="AJ107" s="99">
        <f>MIN(N(Crédits!$E$9),AH107+AI107)</f>
        <v>0</v>
      </c>
      <c r="AK107" s="99">
        <f t="shared" si="8"/>
        <v>0</v>
      </c>
      <c r="AL107" s="100">
        <f>IF(Crédits!$K$9="",0,MAX(0,MIN(AK107,Plan!$L$109-(IF(Crédits!$K$5="",0,IF(Crédits!$K$5&lt;Crédits!$K$9,E107,0))+IF(Crédits!$K$6="",0,IF(Crédits!$K$6&lt;Crédits!$K$9,M107,0))+IF(Crédits!$K$7="",0,IF(Crédits!$K$7&lt;Crédits!$K$9,U107,0))+IF(Crédits!$K$8="",0,IF(Crédits!$K$8&lt;Crédits!$K$9,AC107,0))+IF(Crédits!$K$10="",0,IF(Crédits!$K$10&lt;Crédits!$K$9,AS107,0))))))</f>
        <v>0</v>
      </c>
      <c r="AM107" s="101">
        <f t="shared" si="9"/>
        <v>0</v>
      </c>
      <c r="AN107" s="88">
        <f>ROUND(AN106+AO107-MIN(N(Crédits!$E$9),AN106+AO107),2)</f>
        <v>0</v>
      </c>
      <c r="AO107" s="89">
        <f>AN106*N(Crédits!$D$9)/12</f>
        <v>0</v>
      </c>
      <c r="AP107" s="102">
        <f t="shared" si="21"/>
        <v>0</v>
      </c>
      <c r="AQ107" s="102">
        <f>AP107*N(Crédits!$D$10)/12</f>
        <v>0</v>
      </c>
      <c r="AR107" s="102">
        <f>MIN(N(Crédits!$E$10),AP107+AQ107)</f>
        <v>0</v>
      </c>
      <c r="AS107" s="102">
        <f t="shared" si="10"/>
        <v>0</v>
      </c>
      <c r="AT107" s="103">
        <f>IF(Crédits!$K$10="",0,MAX(0,MIN(AS107,Plan!$L$109-(IF(Crédits!$K$5="",0,IF(Crédits!$K$5&lt;Crédits!$K$10,E107,0))+IF(Crédits!$K$6="",0,IF(Crédits!$K$6&lt;Crédits!$K$10,M107,0))+IF(Crédits!$K$7="",0,IF(Crédits!$K$7&lt;Crédits!$K$10,U107,0))+IF(Crédits!$K$8="",0,IF(Crédits!$K$8&lt;Crédits!$K$10,AC107,0))+IF(Crédits!$K$9="",0,IF(Crédits!$K$9&lt;Crédits!$K$10,AK107,0))))))</f>
        <v>0</v>
      </c>
      <c r="AU107" s="104">
        <f t="shared" si="11"/>
        <v>0</v>
      </c>
      <c r="AV107" s="88">
        <f>ROUND(AV106+AW107-MIN(N(Crédits!$E$10),AV106+AW107),2)</f>
        <v>0</v>
      </c>
      <c r="AW107" s="89">
        <f>AV106*N(Crédits!$D$10)/12</f>
        <v>0</v>
      </c>
      <c r="AX107" s="105">
        <f t="shared" si="12"/>
        <v>0</v>
      </c>
      <c r="AY107" s="105">
        <f t="shared" ref="AY107:AZ107" si="125">F107+N107+V107+AD107+AL107+AT107</f>
        <v>0</v>
      </c>
      <c r="AZ107" s="105">
        <f t="shared" si="125"/>
        <v>0</v>
      </c>
      <c r="BA107" s="105">
        <f t="shared" si="14"/>
        <v>0</v>
      </c>
      <c r="BB107" s="105">
        <f t="shared" si="15"/>
        <v>0</v>
      </c>
    </row>
    <row r="108" spans="1:54" ht="15" customHeight="1" x14ac:dyDescent="0.25">
      <c r="A108" s="2">
        <v>106</v>
      </c>
      <c r="B108" s="83">
        <f t="shared" si="16"/>
        <v>0</v>
      </c>
      <c r="C108" s="83">
        <f>B108*N(Crédits!$D$5)/12</f>
        <v>0</v>
      </c>
      <c r="D108" s="83">
        <f>MIN(N(Crédits!$E$5),B108+C108)</f>
        <v>0</v>
      </c>
      <c r="E108" s="83">
        <f t="shared" si="0"/>
        <v>0</v>
      </c>
      <c r="F108" s="86">
        <f>IF(Crédits!$K$5="",0,MAX(0,MIN(E108,Plan!$L$110-(IF(Crédits!$K$6="",0,IF(Crédits!$K$6&lt;Crédits!$K$5,M108,0))+IF(Crédits!$K$7="",0,IF(Crédits!$K$7&lt;Crédits!$K$5,U108,0))+IF(Crédits!$K$8="",0,IF(Crédits!$K$8&lt;Crédits!$K$5,AC108,0))+IF(Crédits!$K$9="",0,IF(Crédits!$K$9&lt;Crédits!$K$5,AK108,0))+IF(Crédits!$K$10="",0,IF(Crédits!$K$10&lt;Crédits!$K$5,AS108,0))))))</f>
        <v>0</v>
      </c>
      <c r="G108" s="87">
        <f t="shared" si="1"/>
        <v>0</v>
      </c>
      <c r="H108" s="88">
        <f>ROUND(H107+I108-MIN(N(Crédits!$E$5),H107+I108),2)</f>
        <v>0</v>
      </c>
      <c r="I108" s="89">
        <f>H107*N(Crédits!$D$5)/12</f>
        <v>0</v>
      </c>
      <c r="J108" s="90">
        <f t="shared" si="17"/>
        <v>0</v>
      </c>
      <c r="K108" s="90">
        <f>J108*N(Crédits!$D$6)/12</f>
        <v>0</v>
      </c>
      <c r="L108" s="90">
        <f>MIN(N(Crédits!$E$6),J108+K108)</f>
        <v>0</v>
      </c>
      <c r="M108" s="90">
        <f t="shared" si="2"/>
        <v>0</v>
      </c>
      <c r="N108" s="91">
        <f>IF(Crédits!$K$6="",0,MAX(0,MIN(M108,Plan!$L$110-(IF(Crédits!$K$5="",0,IF(Crédits!$K$5&lt;Crédits!$K$6,E108,0))+IF(Crédits!$K$7="",0,IF(Crédits!$K$7&lt;Crédits!$K$6,U108,0))+IF(Crédits!$K$8="",0,IF(Crédits!$K$8&lt;Crédits!$K$6,AC108,0))+IF(Crédits!$K$9="",0,IF(Crédits!$K$9&lt;Crédits!$K$6,AK108,0))+IF(Crédits!$K$10="",0,IF(Crédits!$K$10&lt;Crédits!$K$6,AS108,0))))))</f>
        <v>0</v>
      </c>
      <c r="O108" s="92">
        <f t="shared" si="3"/>
        <v>0</v>
      </c>
      <c r="P108" s="88">
        <f>ROUND(P107+Q108-MIN(N(Crédits!$E$6),P107+Q108),2)</f>
        <v>0</v>
      </c>
      <c r="Q108" s="89">
        <f>P107*N(Crédits!$D$6)/12</f>
        <v>0</v>
      </c>
      <c r="R108" s="93">
        <f t="shared" si="18"/>
        <v>0</v>
      </c>
      <c r="S108" s="93">
        <f>R108*N(Crédits!$D$7)/12</f>
        <v>0</v>
      </c>
      <c r="T108" s="93">
        <f>MIN(N(Crédits!$E$7),R108+S108)</f>
        <v>0</v>
      </c>
      <c r="U108" s="93">
        <f t="shared" si="4"/>
        <v>0</v>
      </c>
      <c r="V108" s="94">
        <f>IF(Crédits!$K$7="",0,MAX(0,MIN(U108,Plan!$L$110-(IF(Crédits!$K$5="",0,IF(Crédits!$K$5&lt;Crédits!$K$7,E108,0))+IF(Crédits!$K$6="",0,IF(Crédits!$K$6&lt;Crédits!$K$7,M108,0))+IF(Crédits!$K$8="",0,IF(Crédits!$K$8&lt;Crédits!$K$7,AC108,0))+IF(Crédits!$K$9="",0,IF(Crédits!$K$9&lt;Crédits!$K$7,AK108,0))+IF(Crédits!$K$10="",0,IF(Crédits!$K$10&lt;Crédits!$K$7,AS108,0))))))</f>
        <v>0</v>
      </c>
      <c r="W108" s="95">
        <f t="shared" si="5"/>
        <v>0</v>
      </c>
      <c r="X108" s="88">
        <f>ROUND(X107+Y108-MIN(N(Crédits!$E$7),X107+Y108),2)</f>
        <v>0</v>
      </c>
      <c r="Y108" s="89">
        <f>X107*N(Crédits!$D$7)/12</f>
        <v>0</v>
      </c>
      <c r="Z108" s="96">
        <f t="shared" si="19"/>
        <v>0</v>
      </c>
      <c r="AA108" s="96">
        <f>Z108*N(Crédits!$D$8)/12</f>
        <v>0</v>
      </c>
      <c r="AB108" s="96">
        <f>MIN(N(Crédits!$E$8),Z108+AA108)</f>
        <v>0</v>
      </c>
      <c r="AC108" s="96">
        <f t="shared" si="6"/>
        <v>0</v>
      </c>
      <c r="AD108" s="97">
        <f>IF(Crédits!$K$8="",0,MAX(0,MIN(AC108,Plan!$L$110-(IF(Crédits!$K$5="",0,IF(Crédits!$K$5&lt;Crédits!$K$8,E108,0))+IF(Crédits!$K$6="",0,IF(Crédits!$K$6&lt;Crédits!$K$8,M108,0))+IF(Crédits!$K$7="",0,IF(Crédits!$K$7&lt;Crédits!$K$8,U108,0))+IF(Crédits!$K$9="",0,IF(Crédits!$K$9&lt;Crédits!$K$8,AK108,0))+IF(Crédits!$K$10="",0,IF(Crédits!$K$10&lt;Crédits!$K$8,AS108,0))))))</f>
        <v>0</v>
      </c>
      <c r="AE108" s="98">
        <f t="shared" si="7"/>
        <v>0</v>
      </c>
      <c r="AF108" s="88">
        <f>ROUND(AF107+AG108-MIN(N(Crédits!$E$8),AF107+AG108),2)</f>
        <v>0</v>
      </c>
      <c r="AG108" s="89">
        <f>AF107*N(Crédits!$D$8)/12</f>
        <v>0</v>
      </c>
      <c r="AH108" s="99">
        <f t="shared" si="20"/>
        <v>0</v>
      </c>
      <c r="AI108" s="99">
        <f>AH108*N(Crédits!$D$9)/12</f>
        <v>0</v>
      </c>
      <c r="AJ108" s="99">
        <f>MIN(N(Crédits!$E$9),AH108+AI108)</f>
        <v>0</v>
      </c>
      <c r="AK108" s="99">
        <f t="shared" si="8"/>
        <v>0</v>
      </c>
      <c r="AL108" s="100">
        <f>IF(Crédits!$K$9="",0,MAX(0,MIN(AK108,Plan!$L$110-(IF(Crédits!$K$5="",0,IF(Crédits!$K$5&lt;Crédits!$K$9,E108,0))+IF(Crédits!$K$6="",0,IF(Crédits!$K$6&lt;Crédits!$K$9,M108,0))+IF(Crédits!$K$7="",0,IF(Crédits!$K$7&lt;Crédits!$K$9,U108,0))+IF(Crédits!$K$8="",0,IF(Crédits!$K$8&lt;Crédits!$K$9,AC108,0))+IF(Crédits!$K$10="",0,IF(Crédits!$K$10&lt;Crédits!$K$9,AS108,0))))))</f>
        <v>0</v>
      </c>
      <c r="AM108" s="101">
        <f t="shared" si="9"/>
        <v>0</v>
      </c>
      <c r="AN108" s="88">
        <f>ROUND(AN107+AO108-MIN(N(Crédits!$E$9),AN107+AO108),2)</f>
        <v>0</v>
      </c>
      <c r="AO108" s="89">
        <f>AN107*N(Crédits!$D$9)/12</f>
        <v>0</v>
      </c>
      <c r="AP108" s="102">
        <f t="shared" si="21"/>
        <v>0</v>
      </c>
      <c r="AQ108" s="102">
        <f>AP108*N(Crédits!$D$10)/12</f>
        <v>0</v>
      </c>
      <c r="AR108" s="102">
        <f>MIN(N(Crédits!$E$10),AP108+AQ108)</f>
        <v>0</v>
      </c>
      <c r="AS108" s="102">
        <f t="shared" si="10"/>
        <v>0</v>
      </c>
      <c r="AT108" s="103">
        <f>IF(Crédits!$K$10="",0,MAX(0,MIN(AS108,Plan!$L$110-(IF(Crédits!$K$5="",0,IF(Crédits!$K$5&lt;Crédits!$K$10,E108,0))+IF(Crédits!$K$6="",0,IF(Crédits!$K$6&lt;Crédits!$K$10,M108,0))+IF(Crédits!$K$7="",0,IF(Crédits!$K$7&lt;Crédits!$K$10,U108,0))+IF(Crédits!$K$8="",0,IF(Crédits!$K$8&lt;Crédits!$K$10,AC108,0))+IF(Crédits!$K$9="",0,IF(Crédits!$K$9&lt;Crédits!$K$10,AK108,0))))))</f>
        <v>0</v>
      </c>
      <c r="AU108" s="104">
        <f t="shared" si="11"/>
        <v>0</v>
      </c>
      <c r="AV108" s="88">
        <f>ROUND(AV107+AW108-MIN(N(Crédits!$E$10),AV107+AW108),2)</f>
        <v>0</v>
      </c>
      <c r="AW108" s="89">
        <f>AV107*N(Crédits!$D$10)/12</f>
        <v>0</v>
      </c>
      <c r="AX108" s="105">
        <f t="shared" si="12"/>
        <v>0</v>
      </c>
      <c r="AY108" s="105">
        <f t="shared" ref="AY108:AZ108" si="126">F108+N108+V108+AD108+AL108+AT108</f>
        <v>0</v>
      </c>
      <c r="AZ108" s="105">
        <f t="shared" si="126"/>
        <v>0</v>
      </c>
      <c r="BA108" s="105">
        <f t="shared" si="14"/>
        <v>0</v>
      </c>
      <c r="BB108" s="105">
        <f t="shared" si="15"/>
        <v>0</v>
      </c>
    </row>
    <row r="109" spans="1:54" ht="15" customHeight="1" x14ac:dyDescent="0.25">
      <c r="A109" s="2">
        <v>107</v>
      </c>
      <c r="B109" s="83">
        <f t="shared" si="16"/>
        <v>0</v>
      </c>
      <c r="C109" s="83">
        <f>B109*N(Crédits!$D$5)/12</f>
        <v>0</v>
      </c>
      <c r="D109" s="83">
        <f>MIN(N(Crédits!$E$5),B109+C109)</f>
        <v>0</v>
      </c>
      <c r="E109" s="83">
        <f t="shared" si="0"/>
        <v>0</v>
      </c>
      <c r="F109" s="86">
        <f>IF(Crédits!$K$5="",0,MAX(0,MIN(E109,Plan!$L$111-(IF(Crédits!$K$6="",0,IF(Crédits!$K$6&lt;Crédits!$K$5,M109,0))+IF(Crédits!$K$7="",0,IF(Crédits!$K$7&lt;Crédits!$K$5,U109,0))+IF(Crédits!$K$8="",0,IF(Crédits!$K$8&lt;Crédits!$K$5,AC109,0))+IF(Crédits!$K$9="",0,IF(Crédits!$K$9&lt;Crédits!$K$5,AK109,0))+IF(Crédits!$K$10="",0,IF(Crédits!$K$10&lt;Crédits!$K$5,AS109,0))))))</f>
        <v>0</v>
      </c>
      <c r="G109" s="87">
        <f t="shared" si="1"/>
        <v>0</v>
      </c>
      <c r="H109" s="88">
        <f>ROUND(H108+I109-MIN(N(Crédits!$E$5),H108+I109),2)</f>
        <v>0</v>
      </c>
      <c r="I109" s="89">
        <f>H108*N(Crédits!$D$5)/12</f>
        <v>0</v>
      </c>
      <c r="J109" s="90">
        <f t="shared" si="17"/>
        <v>0</v>
      </c>
      <c r="K109" s="90">
        <f>J109*N(Crédits!$D$6)/12</f>
        <v>0</v>
      </c>
      <c r="L109" s="90">
        <f>MIN(N(Crédits!$E$6),J109+K109)</f>
        <v>0</v>
      </c>
      <c r="M109" s="90">
        <f t="shared" si="2"/>
        <v>0</v>
      </c>
      <c r="N109" s="91">
        <f>IF(Crédits!$K$6="",0,MAX(0,MIN(M109,Plan!$L$111-(IF(Crédits!$K$5="",0,IF(Crédits!$K$5&lt;Crédits!$K$6,E109,0))+IF(Crédits!$K$7="",0,IF(Crédits!$K$7&lt;Crédits!$K$6,U109,0))+IF(Crédits!$K$8="",0,IF(Crédits!$K$8&lt;Crédits!$K$6,AC109,0))+IF(Crédits!$K$9="",0,IF(Crédits!$K$9&lt;Crédits!$K$6,AK109,0))+IF(Crédits!$K$10="",0,IF(Crédits!$K$10&lt;Crédits!$K$6,AS109,0))))))</f>
        <v>0</v>
      </c>
      <c r="O109" s="92">
        <f t="shared" si="3"/>
        <v>0</v>
      </c>
      <c r="P109" s="88">
        <f>ROUND(P108+Q109-MIN(N(Crédits!$E$6),P108+Q109),2)</f>
        <v>0</v>
      </c>
      <c r="Q109" s="89">
        <f>P108*N(Crédits!$D$6)/12</f>
        <v>0</v>
      </c>
      <c r="R109" s="93">
        <f t="shared" si="18"/>
        <v>0</v>
      </c>
      <c r="S109" s="93">
        <f>R109*N(Crédits!$D$7)/12</f>
        <v>0</v>
      </c>
      <c r="T109" s="93">
        <f>MIN(N(Crédits!$E$7),R109+S109)</f>
        <v>0</v>
      </c>
      <c r="U109" s="93">
        <f t="shared" si="4"/>
        <v>0</v>
      </c>
      <c r="V109" s="94">
        <f>IF(Crédits!$K$7="",0,MAX(0,MIN(U109,Plan!$L$111-(IF(Crédits!$K$5="",0,IF(Crédits!$K$5&lt;Crédits!$K$7,E109,0))+IF(Crédits!$K$6="",0,IF(Crédits!$K$6&lt;Crédits!$K$7,M109,0))+IF(Crédits!$K$8="",0,IF(Crédits!$K$8&lt;Crédits!$K$7,AC109,0))+IF(Crédits!$K$9="",0,IF(Crédits!$K$9&lt;Crédits!$K$7,AK109,0))+IF(Crédits!$K$10="",0,IF(Crédits!$K$10&lt;Crédits!$K$7,AS109,0))))))</f>
        <v>0</v>
      </c>
      <c r="W109" s="95">
        <f t="shared" si="5"/>
        <v>0</v>
      </c>
      <c r="X109" s="88">
        <f>ROUND(X108+Y109-MIN(N(Crédits!$E$7),X108+Y109),2)</f>
        <v>0</v>
      </c>
      <c r="Y109" s="89">
        <f>X108*N(Crédits!$D$7)/12</f>
        <v>0</v>
      </c>
      <c r="Z109" s="96">
        <f t="shared" si="19"/>
        <v>0</v>
      </c>
      <c r="AA109" s="96">
        <f>Z109*N(Crédits!$D$8)/12</f>
        <v>0</v>
      </c>
      <c r="AB109" s="96">
        <f>MIN(N(Crédits!$E$8),Z109+AA109)</f>
        <v>0</v>
      </c>
      <c r="AC109" s="96">
        <f t="shared" si="6"/>
        <v>0</v>
      </c>
      <c r="AD109" s="97">
        <f>IF(Crédits!$K$8="",0,MAX(0,MIN(AC109,Plan!$L$111-(IF(Crédits!$K$5="",0,IF(Crédits!$K$5&lt;Crédits!$K$8,E109,0))+IF(Crédits!$K$6="",0,IF(Crédits!$K$6&lt;Crédits!$K$8,M109,0))+IF(Crédits!$K$7="",0,IF(Crédits!$K$7&lt;Crédits!$K$8,U109,0))+IF(Crédits!$K$9="",0,IF(Crédits!$K$9&lt;Crédits!$K$8,AK109,0))+IF(Crédits!$K$10="",0,IF(Crédits!$K$10&lt;Crédits!$K$8,AS109,0))))))</f>
        <v>0</v>
      </c>
      <c r="AE109" s="98">
        <f t="shared" si="7"/>
        <v>0</v>
      </c>
      <c r="AF109" s="88">
        <f>ROUND(AF108+AG109-MIN(N(Crédits!$E$8),AF108+AG109),2)</f>
        <v>0</v>
      </c>
      <c r="AG109" s="89">
        <f>AF108*N(Crédits!$D$8)/12</f>
        <v>0</v>
      </c>
      <c r="AH109" s="99">
        <f t="shared" si="20"/>
        <v>0</v>
      </c>
      <c r="AI109" s="99">
        <f>AH109*N(Crédits!$D$9)/12</f>
        <v>0</v>
      </c>
      <c r="AJ109" s="99">
        <f>MIN(N(Crédits!$E$9),AH109+AI109)</f>
        <v>0</v>
      </c>
      <c r="AK109" s="99">
        <f t="shared" si="8"/>
        <v>0</v>
      </c>
      <c r="AL109" s="100">
        <f>IF(Crédits!$K$9="",0,MAX(0,MIN(AK109,Plan!$L$111-(IF(Crédits!$K$5="",0,IF(Crédits!$K$5&lt;Crédits!$K$9,E109,0))+IF(Crédits!$K$6="",0,IF(Crédits!$K$6&lt;Crédits!$K$9,M109,0))+IF(Crédits!$K$7="",0,IF(Crédits!$K$7&lt;Crédits!$K$9,U109,0))+IF(Crédits!$K$8="",0,IF(Crédits!$K$8&lt;Crédits!$K$9,AC109,0))+IF(Crédits!$K$10="",0,IF(Crédits!$K$10&lt;Crédits!$K$9,AS109,0))))))</f>
        <v>0</v>
      </c>
      <c r="AM109" s="101">
        <f t="shared" si="9"/>
        <v>0</v>
      </c>
      <c r="AN109" s="88">
        <f>ROUND(AN108+AO109-MIN(N(Crédits!$E$9),AN108+AO109),2)</f>
        <v>0</v>
      </c>
      <c r="AO109" s="89">
        <f>AN108*N(Crédits!$D$9)/12</f>
        <v>0</v>
      </c>
      <c r="AP109" s="102">
        <f t="shared" si="21"/>
        <v>0</v>
      </c>
      <c r="AQ109" s="102">
        <f>AP109*N(Crédits!$D$10)/12</f>
        <v>0</v>
      </c>
      <c r="AR109" s="102">
        <f>MIN(N(Crédits!$E$10),AP109+AQ109)</f>
        <v>0</v>
      </c>
      <c r="AS109" s="102">
        <f t="shared" si="10"/>
        <v>0</v>
      </c>
      <c r="AT109" s="103">
        <f>IF(Crédits!$K$10="",0,MAX(0,MIN(AS109,Plan!$L$111-(IF(Crédits!$K$5="",0,IF(Crédits!$K$5&lt;Crédits!$K$10,E109,0))+IF(Crédits!$K$6="",0,IF(Crédits!$K$6&lt;Crédits!$K$10,M109,0))+IF(Crédits!$K$7="",0,IF(Crédits!$K$7&lt;Crédits!$K$10,U109,0))+IF(Crédits!$K$8="",0,IF(Crédits!$K$8&lt;Crédits!$K$10,AC109,0))+IF(Crédits!$K$9="",0,IF(Crédits!$K$9&lt;Crédits!$K$10,AK109,0))))))</f>
        <v>0</v>
      </c>
      <c r="AU109" s="104">
        <f t="shared" si="11"/>
        <v>0</v>
      </c>
      <c r="AV109" s="88">
        <f>ROUND(AV108+AW109-MIN(N(Crédits!$E$10),AV108+AW109),2)</f>
        <v>0</v>
      </c>
      <c r="AW109" s="89">
        <f>AV108*N(Crédits!$D$10)/12</f>
        <v>0</v>
      </c>
      <c r="AX109" s="105">
        <f t="shared" si="12"/>
        <v>0</v>
      </c>
      <c r="AY109" s="105">
        <f t="shared" ref="AY109:AZ109" si="127">F109+N109+V109+AD109+AL109+AT109</f>
        <v>0</v>
      </c>
      <c r="AZ109" s="105">
        <f t="shared" si="127"/>
        <v>0</v>
      </c>
      <c r="BA109" s="105">
        <f t="shared" si="14"/>
        <v>0</v>
      </c>
      <c r="BB109" s="105">
        <f t="shared" si="15"/>
        <v>0</v>
      </c>
    </row>
    <row r="110" spans="1:54" ht="15" customHeight="1" x14ac:dyDescent="0.25">
      <c r="A110" s="2">
        <v>108</v>
      </c>
      <c r="B110" s="83">
        <f t="shared" si="16"/>
        <v>0</v>
      </c>
      <c r="C110" s="83">
        <f>B110*N(Crédits!$D$5)/12</f>
        <v>0</v>
      </c>
      <c r="D110" s="83">
        <f>MIN(N(Crédits!$E$5),B110+C110)</f>
        <v>0</v>
      </c>
      <c r="E110" s="83">
        <f t="shared" si="0"/>
        <v>0</v>
      </c>
      <c r="F110" s="86">
        <f>IF(Crédits!$K$5="",0,MAX(0,MIN(E110,Plan!$L$112-(IF(Crédits!$K$6="",0,IF(Crédits!$K$6&lt;Crédits!$K$5,M110,0))+IF(Crédits!$K$7="",0,IF(Crédits!$K$7&lt;Crédits!$K$5,U110,0))+IF(Crédits!$K$8="",0,IF(Crédits!$K$8&lt;Crédits!$K$5,AC110,0))+IF(Crédits!$K$9="",0,IF(Crédits!$K$9&lt;Crédits!$K$5,AK110,0))+IF(Crédits!$K$10="",0,IF(Crédits!$K$10&lt;Crédits!$K$5,AS110,0))))))</f>
        <v>0</v>
      </c>
      <c r="G110" s="87">
        <f t="shared" si="1"/>
        <v>0</v>
      </c>
      <c r="H110" s="88">
        <f>ROUND(H109+I110-MIN(N(Crédits!$E$5),H109+I110),2)</f>
        <v>0</v>
      </c>
      <c r="I110" s="89">
        <f>H109*N(Crédits!$D$5)/12</f>
        <v>0</v>
      </c>
      <c r="J110" s="90">
        <f t="shared" si="17"/>
        <v>0</v>
      </c>
      <c r="K110" s="90">
        <f>J110*N(Crédits!$D$6)/12</f>
        <v>0</v>
      </c>
      <c r="L110" s="90">
        <f>MIN(N(Crédits!$E$6),J110+K110)</f>
        <v>0</v>
      </c>
      <c r="M110" s="90">
        <f t="shared" si="2"/>
        <v>0</v>
      </c>
      <c r="N110" s="91">
        <f>IF(Crédits!$K$6="",0,MAX(0,MIN(M110,Plan!$L$112-(IF(Crédits!$K$5="",0,IF(Crédits!$K$5&lt;Crédits!$K$6,E110,0))+IF(Crédits!$K$7="",0,IF(Crédits!$K$7&lt;Crédits!$K$6,U110,0))+IF(Crédits!$K$8="",0,IF(Crédits!$K$8&lt;Crédits!$K$6,AC110,0))+IF(Crédits!$K$9="",0,IF(Crédits!$K$9&lt;Crédits!$K$6,AK110,0))+IF(Crédits!$K$10="",0,IF(Crédits!$K$10&lt;Crédits!$K$6,AS110,0))))))</f>
        <v>0</v>
      </c>
      <c r="O110" s="92">
        <f t="shared" si="3"/>
        <v>0</v>
      </c>
      <c r="P110" s="88">
        <f>ROUND(P109+Q110-MIN(N(Crédits!$E$6),P109+Q110),2)</f>
        <v>0</v>
      </c>
      <c r="Q110" s="89">
        <f>P109*N(Crédits!$D$6)/12</f>
        <v>0</v>
      </c>
      <c r="R110" s="93">
        <f t="shared" si="18"/>
        <v>0</v>
      </c>
      <c r="S110" s="93">
        <f>R110*N(Crédits!$D$7)/12</f>
        <v>0</v>
      </c>
      <c r="T110" s="93">
        <f>MIN(N(Crédits!$E$7),R110+S110)</f>
        <v>0</v>
      </c>
      <c r="U110" s="93">
        <f t="shared" si="4"/>
        <v>0</v>
      </c>
      <c r="V110" s="94">
        <f>IF(Crédits!$K$7="",0,MAX(0,MIN(U110,Plan!$L$112-(IF(Crédits!$K$5="",0,IF(Crédits!$K$5&lt;Crédits!$K$7,E110,0))+IF(Crédits!$K$6="",0,IF(Crédits!$K$6&lt;Crédits!$K$7,M110,0))+IF(Crédits!$K$8="",0,IF(Crédits!$K$8&lt;Crédits!$K$7,AC110,0))+IF(Crédits!$K$9="",0,IF(Crédits!$K$9&lt;Crédits!$K$7,AK110,0))+IF(Crédits!$K$10="",0,IF(Crédits!$K$10&lt;Crédits!$K$7,AS110,0))))))</f>
        <v>0</v>
      </c>
      <c r="W110" s="95">
        <f t="shared" si="5"/>
        <v>0</v>
      </c>
      <c r="X110" s="88">
        <f>ROUND(X109+Y110-MIN(N(Crédits!$E$7),X109+Y110),2)</f>
        <v>0</v>
      </c>
      <c r="Y110" s="89">
        <f>X109*N(Crédits!$D$7)/12</f>
        <v>0</v>
      </c>
      <c r="Z110" s="96">
        <f t="shared" si="19"/>
        <v>0</v>
      </c>
      <c r="AA110" s="96">
        <f>Z110*N(Crédits!$D$8)/12</f>
        <v>0</v>
      </c>
      <c r="AB110" s="96">
        <f>MIN(N(Crédits!$E$8),Z110+AA110)</f>
        <v>0</v>
      </c>
      <c r="AC110" s="96">
        <f t="shared" si="6"/>
        <v>0</v>
      </c>
      <c r="AD110" s="97">
        <f>IF(Crédits!$K$8="",0,MAX(0,MIN(AC110,Plan!$L$112-(IF(Crédits!$K$5="",0,IF(Crédits!$K$5&lt;Crédits!$K$8,E110,0))+IF(Crédits!$K$6="",0,IF(Crédits!$K$6&lt;Crédits!$K$8,M110,0))+IF(Crédits!$K$7="",0,IF(Crédits!$K$7&lt;Crédits!$K$8,U110,0))+IF(Crédits!$K$9="",0,IF(Crédits!$K$9&lt;Crédits!$K$8,AK110,0))+IF(Crédits!$K$10="",0,IF(Crédits!$K$10&lt;Crédits!$K$8,AS110,0))))))</f>
        <v>0</v>
      </c>
      <c r="AE110" s="98">
        <f t="shared" si="7"/>
        <v>0</v>
      </c>
      <c r="AF110" s="88">
        <f>ROUND(AF109+AG110-MIN(N(Crédits!$E$8),AF109+AG110),2)</f>
        <v>0</v>
      </c>
      <c r="AG110" s="89">
        <f>AF109*N(Crédits!$D$8)/12</f>
        <v>0</v>
      </c>
      <c r="AH110" s="99">
        <f t="shared" si="20"/>
        <v>0</v>
      </c>
      <c r="AI110" s="99">
        <f>AH110*N(Crédits!$D$9)/12</f>
        <v>0</v>
      </c>
      <c r="AJ110" s="99">
        <f>MIN(N(Crédits!$E$9),AH110+AI110)</f>
        <v>0</v>
      </c>
      <c r="AK110" s="99">
        <f t="shared" si="8"/>
        <v>0</v>
      </c>
      <c r="AL110" s="100">
        <f>IF(Crédits!$K$9="",0,MAX(0,MIN(AK110,Plan!$L$112-(IF(Crédits!$K$5="",0,IF(Crédits!$K$5&lt;Crédits!$K$9,E110,0))+IF(Crédits!$K$6="",0,IF(Crédits!$K$6&lt;Crédits!$K$9,M110,0))+IF(Crédits!$K$7="",0,IF(Crédits!$K$7&lt;Crédits!$K$9,U110,0))+IF(Crédits!$K$8="",0,IF(Crédits!$K$8&lt;Crédits!$K$9,AC110,0))+IF(Crédits!$K$10="",0,IF(Crédits!$K$10&lt;Crédits!$K$9,AS110,0))))))</f>
        <v>0</v>
      </c>
      <c r="AM110" s="101">
        <f t="shared" si="9"/>
        <v>0</v>
      </c>
      <c r="AN110" s="88">
        <f>ROUND(AN109+AO110-MIN(N(Crédits!$E$9),AN109+AO110),2)</f>
        <v>0</v>
      </c>
      <c r="AO110" s="89">
        <f>AN109*N(Crédits!$D$9)/12</f>
        <v>0</v>
      </c>
      <c r="AP110" s="102">
        <f t="shared" si="21"/>
        <v>0</v>
      </c>
      <c r="AQ110" s="102">
        <f>AP110*N(Crédits!$D$10)/12</f>
        <v>0</v>
      </c>
      <c r="AR110" s="102">
        <f>MIN(N(Crédits!$E$10),AP110+AQ110)</f>
        <v>0</v>
      </c>
      <c r="AS110" s="102">
        <f t="shared" si="10"/>
        <v>0</v>
      </c>
      <c r="AT110" s="103">
        <f>IF(Crédits!$K$10="",0,MAX(0,MIN(AS110,Plan!$L$112-(IF(Crédits!$K$5="",0,IF(Crédits!$K$5&lt;Crédits!$K$10,E110,0))+IF(Crédits!$K$6="",0,IF(Crédits!$K$6&lt;Crédits!$K$10,M110,0))+IF(Crédits!$K$7="",0,IF(Crédits!$K$7&lt;Crédits!$K$10,U110,0))+IF(Crédits!$K$8="",0,IF(Crédits!$K$8&lt;Crédits!$K$10,AC110,0))+IF(Crédits!$K$9="",0,IF(Crédits!$K$9&lt;Crédits!$K$10,AK110,0))))))</f>
        <v>0</v>
      </c>
      <c r="AU110" s="104">
        <f t="shared" si="11"/>
        <v>0</v>
      </c>
      <c r="AV110" s="88">
        <f>ROUND(AV109+AW110-MIN(N(Crédits!$E$10),AV109+AW110),2)</f>
        <v>0</v>
      </c>
      <c r="AW110" s="89">
        <f>AV109*N(Crédits!$D$10)/12</f>
        <v>0</v>
      </c>
      <c r="AX110" s="105">
        <f t="shared" si="12"/>
        <v>0</v>
      </c>
      <c r="AY110" s="105">
        <f t="shared" ref="AY110:AZ110" si="128">F110+N110+V110+AD110+AL110+AT110</f>
        <v>0</v>
      </c>
      <c r="AZ110" s="105">
        <f t="shared" si="128"/>
        <v>0</v>
      </c>
      <c r="BA110" s="105">
        <f t="shared" si="14"/>
        <v>0</v>
      </c>
      <c r="BB110" s="105">
        <f t="shared" si="15"/>
        <v>0</v>
      </c>
    </row>
    <row r="111" spans="1:54" ht="15" customHeight="1" x14ac:dyDescent="0.25">
      <c r="A111" s="2">
        <v>109</v>
      </c>
      <c r="B111" s="83">
        <f t="shared" si="16"/>
        <v>0</v>
      </c>
      <c r="C111" s="83">
        <f>B111*N(Crédits!$D$5)/12</f>
        <v>0</v>
      </c>
      <c r="D111" s="83">
        <f>MIN(N(Crédits!$E$5),B111+C111)</f>
        <v>0</v>
      </c>
      <c r="E111" s="83">
        <f t="shared" si="0"/>
        <v>0</v>
      </c>
      <c r="F111" s="86">
        <f>IF(Crédits!$K$5="",0,MAX(0,MIN(E111,Plan!$L$113-(IF(Crédits!$K$6="",0,IF(Crédits!$K$6&lt;Crédits!$K$5,M111,0))+IF(Crédits!$K$7="",0,IF(Crédits!$K$7&lt;Crédits!$K$5,U111,0))+IF(Crédits!$K$8="",0,IF(Crédits!$K$8&lt;Crédits!$K$5,AC111,0))+IF(Crédits!$K$9="",0,IF(Crédits!$K$9&lt;Crédits!$K$5,AK111,0))+IF(Crédits!$K$10="",0,IF(Crédits!$K$10&lt;Crédits!$K$5,AS111,0))))))</f>
        <v>0</v>
      </c>
      <c r="G111" s="87">
        <f t="shared" si="1"/>
        <v>0</v>
      </c>
      <c r="H111" s="88">
        <f>ROUND(H110+I111-MIN(N(Crédits!$E$5),H110+I111),2)</f>
        <v>0</v>
      </c>
      <c r="I111" s="89">
        <f>H110*N(Crédits!$D$5)/12</f>
        <v>0</v>
      </c>
      <c r="J111" s="90">
        <f t="shared" si="17"/>
        <v>0</v>
      </c>
      <c r="K111" s="90">
        <f>J111*N(Crédits!$D$6)/12</f>
        <v>0</v>
      </c>
      <c r="L111" s="90">
        <f>MIN(N(Crédits!$E$6),J111+K111)</f>
        <v>0</v>
      </c>
      <c r="M111" s="90">
        <f t="shared" si="2"/>
        <v>0</v>
      </c>
      <c r="N111" s="91">
        <f>IF(Crédits!$K$6="",0,MAX(0,MIN(M111,Plan!$L$113-(IF(Crédits!$K$5="",0,IF(Crédits!$K$5&lt;Crédits!$K$6,E111,0))+IF(Crédits!$K$7="",0,IF(Crédits!$K$7&lt;Crédits!$K$6,U111,0))+IF(Crédits!$K$8="",0,IF(Crédits!$K$8&lt;Crédits!$K$6,AC111,0))+IF(Crédits!$K$9="",0,IF(Crédits!$K$9&lt;Crédits!$K$6,AK111,0))+IF(Crédits!$K$10="",0,IF(Crédits!$K$10&lt;Crédits!$K$6,AS111,0))))))</f>
        <v>0</v>
      </c>
      <c r="O111" s="92">
        <f t="shared" si="3"/>
        <v>0</v>
      </c>
      <c r="P111" s="88">
        <f>ROUND(P110+Q111-MIN(N(Crédits!$E$6),P110+Q111),2)</f>
        <v>0</v>
      </c>
      <c r="Q111" s="89">
        <f>P110*N(Crédits!$D$6)/12</f>
        <v>0</v>
      </c>
      <c r="R111" s="93">
        <f t="shared" si="18"/>
        <v>0</v>
      </c>
      <c r="S111" s="93">
        <f>R111*N(Crédits!$D$7)/12</f>
        <v>0</v>
      </c>
      <c r="T111" s="93">
        <f>MIN(N(Crédits!$E$7),R111+S111)</f>
        <v>0</v>
      </c>
      <c r="U111" s="93">
        <f t="shared" si="4"/>
        <v>0</v>
      </c>
      <c r="V111" s="94">
        <f>IF(Crédits!$K$7="",0,MAX(0,MIN(U111,Plan!$L$113-(IF(Crédits!$K$5="",0,IF(Crédits!$K$5&lt;Crédits!$K$7,E111,0))+IF(Crédits!$K$6="",0,IF(Crédits!$K$6&lt;Crédits!$K$7,M111,0))+IF(Crédits!$K$8="",0,IF(Crédits!$K$8&lt;Crédits!$K$7,AC111,0))+IF(Crédits!$K$9="",0,IF(Crédits!$K$9&lt;Crédits!$K$7,AK111,0))+IF(Crédits!$K$10="",0,IF(Crédits!$K$10&lt;Crédits!$K$7,AS111,0))))))</f>
        <v>0</v>
      </c>
      <c r="W111" s="95">
        <f t="shared" si="5"/>
        <v>0</v>
      </c>
      <c r="X111" s="88">
        <f>ROUND(X110+Y111-MIN(N(Crédits!$E$7),X110+Y111),2)</f>
        <v>0</v>
      </c>
      <c r="Y111" s="89">
        <f>X110*N(Crédits!$D$7)/12</f>
        <v>0</v>
      </c>
      <c r="Z111" s="96">
        <f t="shared" si="19"/>
        <v>0</v>
      </c>
      <c r="AA111" s="96">
        <f>Z111*N(Crédits!$D$8)/12</f>
        <v>0</v>
      </c>
      <c r="AB111" s="96">
        <f>MIN(N(Crédits!$E$8),Z111+AA111)</f>
        <v>0</v>
      </c>
      <c r="AC111" s="96">
        <f t="shared" si="6"/>
        <v>0</v>
      </c>
      <c r="AD111" s="97">
        <f>IF(Crédits!$K$8="",0,MAX(0,MIN(AC111,Plan!$L$113-(IF(Crédits!$K$5="",0,IF(Crédits!$K$5&lt;Crédits!$K$8,E111,0))+IF(Crédits!$K$6="",0,IF(Crédits!$K$6&lt;Crédits!$K$8,M111,0))+IF(Crédits!$K$7="",0,IF(Crédits!$K$7&lt;Crédits!$K$8,U111,0))+IF(Crédits!$K$9="",0,IF(Crédits!$K$9&lt;Crédits!$K$8,AK111,0))+IF(Crédits!$K$10="",0,IF(Crédits!$K$10&lt;Crédits!$K$8,AS111,0))))))</f>
        <v>0</v>
      </c>
      <c r="AE111" s="98">
        <f t="shared" si="7"/>
        <v>0</v>
      </c>
      <c r="AF111" s="88">
        <f>ROUND(AF110+AG111-MIN(N(Crédits!$E$8),AF110+AG111),2)</f>
        <v>0</v>
      </c>
      <c r="AG111" s="89">
        <f>AF110*N(Crédits!$D$8)/12</f>
        <v>0</v>
      </c>
      <c r="AH111" s="99">
        <f t="shared" si="20"/>
        <v>0</v>
      </c>
      <c r="AI111" s="99">
        <f>AH111*N(Crédits!$D$9)/12</f>
        <v>0</v>
      </c>
      <c r="AJ111" s="99">
        <f>MIN(N(Crédits!$E$9),AH111+AI111)</f>
        <v>0</v>
      </c>
      <c r="AK111" s="99">
        <f t="shared" si="8"/>
        <v>0</v>
      </c>
      <c r="AL111" s="100">
        <f>IF(Crédits!$K$9="",0,MAX(0,MIN(AK111,Plan!$L$113-(IF(Crédits!$K$5="",0,IF(Crédits!$K$5&lt;Crédits!$K$9,E111,0))+IF(Crédits!$K$6="",0,IF(Crédits!$K$6&lt;Crédits!$K$9,M111,0))+IF(Crédits!$K$7="",0,IF(Crédits!$K$7&lt;Crédits!$K$9,U111,0))+IF(Crédits!$K$8="",0,IF(Crédits!$K$8&lt;Crédits!$K$9,AC111,0))+IF(Crédits!$K$10="",0,IF(Crédits!$K$10&lt;Crédits!$K$9,AS111,0))))))</f>
        <v>0</v>
      </c>
      <c r="AM111" s="101">
        <f t="shared" si="9"/>
        <v>0</v>
      </c>
      <c r="AN111" s="88">
        <f>ROUND(AN110+AO111-MIN(N(Crédits!$E$9),AN110+AO111),2)</f>
        <v>0</v>
      </c>
      <c r="AO111" s="89">
        <f>AN110*N(Crédits!$D$9)/12</f>
        <v>0</v>
      </c>
      <c r="AP111" s="102">
        <f t="shared" si="21"/>
        <v>0</v>
      </c>
      <c r="AQ111" s="102">
        <f>AP111*N(Crédits!$D$10)/12</f>
        <v>0</v>
      </c>
      <c r="AR111" s="102">
        <f>MIN(N(Crédits!$E$10),AP111+AQ111)</f>
        <v>0</v>
      </c>
      <c r="AS111" s="102">
        <f t="shared" si="10"/>
        <v>0</v>
      </c>
      <c r="AT111" s="103">
        <f>IF(Crédits!$K$10="",0,MAX(0,MIN(AS111,Plan!$L$113-(IF(Crédits!$K$5="",0,IF(Crédits!$K$5&lt;Crédits!$K$10,E111,0))+IF(Crédits!$K$6="",0,IF(Crédits!$K$6&lt;Crédits!$K$10,M111,0))+IF(Crédits!$K$7="",0,IF(Crédits!$K$7&lt;Crédits!$K$10,U111,0))+IF(Crédits!$K$8="",0,IF(Crédits!$K$8&lt;Crédits!$K$10,AC111,0))+IF(Crédits!$K$9="",0,IF(Crédits!$K$9&lt;Crédits!$K$10,AK111,0))))))</f>
        <v>0</v>
      </c>
      <c r="AU111" s="104">
        <f t="shared" si="11"/>
        <v>0</v>
      </c>
      <c r="AV111" s="88">
        <f>ROUND(AV110+AW111-MIN(N(Crédits!$E$10),AV110+AW111),2)</f>
        <v>0</v>
      </c>
      <c r="AW111" s="89">
        <f>AV110*N(Crédits!$D$10)/12</f>
        <v>0</v>
      </c>
      <c r="AX111" s="105">
        <f t="shared" si="12"/>
        <v>0</v>
      </c>
      <c r="AY111" s="105">
        <f t="shared" ref="AY111:AZ111" si="129">F111+N111+V111+AD111+AL111+AT111</f>
        <v>0</v>
      </c>
      <c r="AZ111" s="105">
        <f t="shared" si="129"/>
        <v>0</v>
      </c>
      <c r="BA111" s="105">
        <f t="shared" si="14"/>
        <v>0</v>
      </c>
      <c r="BB111" s="105">
        <f t="shared" si="15"/>
        <v>0</v>
      </c>
    </row>
    <row r="112" spans="1:54" ht="15" customHeight="1" x14ac:dyDescent="0.25">
      <c r="A112" s="2">
        <v>110</v>
      </c>
      <c r="B112" s="83">
        <f t="shared" si="16"/>
        <v>0</v>
      </c>
      <c r="C112" s="83">
        <f>B112*N(Crédits!$D$5)/12</f>
        <v>0</v>
      </c>
      <c r="D112" s="83">
        <f>MIN(N(Crédits!$E$5),B112+C112)</f>
        <v>0</v>
      </c>
      <c r="E112" s="83">
        <f t="shared" si="0"/>
        <v>0</v>
      </c>
      <c r="F112" s="86">
        <f>IF(Crédits!$K$5="",0,MAX(0,MIN(E112,Plan!$L$114-(IF(Crédits!$K$6="",0,IF(Crédits!$K$6&lt;Crédits!$K$5,M112,0))+IF(Crédits!$K$7="",0,IF(Crédits!$K$7&lt;Crédits!$K$5,U112,0))+IF(Crédits!$K$8="",0,IF(Crédits!$K$8&lt;Crédits!$K$5,AC112,0))+IF(Crédits!$K$9="",0,IF(Crédits!$K$9&lt;Crédits!$K$5,AK112,0))+IF(Crédits!$K$10="",0,IF(Crédits!$K$10&lt;Crédits!$K$5,AS112,0))))))</f>
        <v>0</v>
      </c>
      <c r="G112" s="87">
        <f t="shared" si="1"/>
        <v>0</v>
      </c>
      <c r="H112" s="88">
        <f>ROUND(H111+I112-MIN(N(Crédits!$E$5),H111+I112),2)</f>
        <v>0</v>
      </c>
      <c r="I112" s="89">
        <f>H111*N(Crédits!$D$5)/12</f>
        <v>0</v>
      </c>
      <c r="J112" s="90">
        <f t="shared" si="17"/>
        <v>0</v>
      </c>
      <c r="K112" s="90">
        <f>J112*N(Crédits!$D$6)/12</f>
        <v>0</v>
      </c>
      <c r="L112" s="90">
        <f>MIN(N(Crédits!$E$6),J112+K112)</f>
        <v>0</v>
      </c>
      <c r="M112" s="90">
        <f t="shared" si="2"/>
        <v>0</v>
      </c>
      <c r="N112" s="91">
        <f>IF(Crédits!$K$6="",0,MAX(0,MIN(M112,Plan!$L$114-(IF(Crédits!$K$5="",0,IF(Crédits!$K$5&lt;Crédits!$K$6,E112,0))+IF(Crédits!$K$7="",0,IF(Crédits!$K$7&lt;Crédits!$K$6,U112,0))+IF(Crédits!$K$8="",0,IF(Crédits!$K$8&lt;Crédits!$K$6,AC112,0))+IF(Crédits!$K$9="",0,IF(Crédits!$K$9&lt;Crédits!$K$6,AK112,0))+IF(Crédits!$K$10="",0,IF(Crédits!$K$10&lt;Crédits!$K$6,AS112,0))))))</f>
        <v>0</v>
      </c>
      <c r="O112" s="92">
        <f t="shared" si="3"/>
        <v>0</v>
      </c>
      <c r="P112" s="88">
        <f>ROUND(P111+Q112-MIN(N(Crédits!$E$6),P111+Q112),2)</f>
        <v>0</v>
      </c>
      <c r="Q112" s="89">
        <f>P111*N(Crédits!$D$6)/12</f>
        <v>0</v>
      </c>
      <c r="R112" s="93">
        <f t="shared" si="18"/>
        <v>0</v>
      </c>
      <c r="S112" s="93">
        <f>R112*N(Crédits!$D$7)/12</f>
        <v>0</v>
      </c>
      <c r="T112" s="93">
        <f>MIN(N(Crédits!$E$7),R112+S112)</f>
        <v>0</v>
      </c>
      <c r="U112" s="93">
        <f t="shared" si="4"/>
        <v>0</v>
      </c>
      <c r="V112" s="94">
        <f>IF(Crédits!$K$7="",0,MAX(0,MIN(U112,Plan!$L$114-(IF(Crédits!$K$5="",0,IF(Crédits!$K$5&lt;Crédits!$K$7,E112,0))+IF(Crédits!$K$6="",0,IF(Crédits!$K$6&lt;Crédits!$K$7,M112,0))+IF(Crédits!$K$8="",0,IF(Crédits!$K$8&lt;Crédits!$K$7,AC112,0))+IF(Crédits!$K$9="",0,IF(Crédits!$K$9&lt;Crédits!$K$7,AK112,0))+IF(Crédits!$K$10="",0,IF(Crédits!$K$10&lt;Crédits!$K$7,AS112,0))))))</f>
        <v>0</v>
      </c>
      <c r="W112" s="95">
        <f t="shared" si="5"/>
        <v>0</v>
      </c>
      <c r="X112" s="88">
        <f>ROUND(X111+Y112-MIN(N(Crédits!$E$7),X111+Y112),2)</f>
        <v>0</v>
      </c>
      <c r="Y112" s="89">
        <f>X111*N(Crédits!$D$7)/12</f>
        <v>0</v>
      </c>
      <c r="Z112" s="96">
        <f t="shared" si="19"/>
        <v>0</v>
      </c>
      <c r="AA112" s="96">
        <f>Z112*N(Crédits!$D$8)/12</f>
        <v>0</v>
      </c>
      <c r="AB112" s="96">
        <f>MIN(N(Crédits!$E$8),Z112+AA112)</f>
        <v>0</v>
      </c>
      <c r="AC112" s="96">
        <f t="shared" si="6"/>
        <v>0</v>
      </c>
      <c r="AD112" s="97">
        <f>IF(Crédits!$K$8="",0,MAX(0,MIN(AC112,Plan!$L$114-(IF(Crédits!$K$5="",0,IF(Crédits!$K$5&lt;Crédits!$K$8,E112,0))+IF(Crédits!$K$6="",0,IF(Crédits!$K$6&lt;Crédits!$K$8,M112,0))+IF(Crédits!$K$7="",0,IF(Crédits!$K$7&lt;Crédits!$K$8,U112,0))+IF(Crédits!$K$9="",0,IF(Crédits!$K$9&lt;Crédits!$K$8,AK112,0))+IF(Crédits!$K$10="",0,IF(Crédits!$K$10&lt;Crédits!$K$8,AS112,0))))))</f>
        <v>0</v>
      </c>
      <c r="AE112" s="98">
        <f t="shared" si="7"/>
        <v>0</v>
      </c>
      <c r="AF112" s="88">
        <f>ROUND(AF111+AG112-MIN(N(Crédits!$E$8),AF111+AG112),2)</f>
        <v>0</v>
      </c>
      <c r="AG112" s="89">
        <f>AF111*N(Crédits!$D$8)/12</f>
        <v>0</v>
      </c>
      <c r="AH112" s="99">
        <f t="shared" si="20"/>
        <v>0</v>
      </c>
      <c r="AI112" s="99">
        <f>AH112*N(Crédits!$D$9)/12</f>
        <v>0</v>
      </c>
      <c r="AJ112" s="99">
        <f>MIN(N(Crédits!$E$9),AH112+AI112)</f>
        <v>0</v>
      </c>
      <c r="AK112" s="99">
        <f t="shared" si="8"/>
        <v>0</v>
      </c>
      <c r="AL112" s="100">
        <f>IF(Crédits!$K$9="",0,MAX(0,MIN(AK112,Plan!$L$114-(IF(Crédits!$K$5="",0,IF(Crédits!$K$5&lt;Crédits!$K$9,E112,0))+IF(Crédits!$K$6="",0,IF(Crédits!$K$6&lt;Crédits!$K$9,M112,0))+IF(Crédits!$K$7="",0,IF(Crédits!$K$7&lt;Crédits!$K$9,U112,0))+IF(Crédits!$K$8="",0,IF(Crédits!$K$8&lt;Crédits!$K$9,AC112,0))+IF(Crédits!$K$10="",0,IF(Crédits!$K$10&lt;Crédits!$K$9,AS112,0))))))</f>
        <v>0</v>
      </c>
      <c r="AM112" s="101">
        <f t="shared" si="9"/>
        <v>0</v>
      </c>
      <c r="AN112" s="88">
        <f>ROUND(AN111+AO112-MIN(N(Crédits!$E$9),AN111+AO112),2)</f>
        <v>0</v>
      </c>
      <c r="AO112" s="89">
        <f>AN111*N(Crédits!$D$9)/12</f>
        <v>0</v>
      </c>
      <c r="AP112" s="102">
        <f t="shared" si="21"/>
        <v>0</v>
      </c>
      <c r="AQ112" s="102">
        <f>AP112*N(Crédits!$D$10)/12</f>
        <v>0</v>
      </c>
      <c r="AR112" s="102">
        <f>MIN(N(Crédits!$E$10),AP112+AQ112)</f>
        <v>0</v>
      </c>
      <c r="AS112" s="102">
        <f t="shared" si="10"/>
        <v>0</v>
      </c>
      <c r="AT112" s="103">
        <f>IF(Crédits!$K$10="",0,MAX(0,MIN(AS112,Plan!$L$114-(IF(Crédits!$K$5="",0,IF(Crédits!$K$5&lt;Crédits!$K$10,E112,0))+IF(Crédits!$K$6="",0,IF(Crédits!$K$6&lt;Crédits!$K$10,M112,0))+IF(Crédits!$K$7="",0,IF(Crédits!$K$7&lt;Crédits!$K$10,U112,0))+IF(Crédits!$K$8="",0,IF(Crédits!$K$8&lt;Crédits!$K$10,AC112,0))+IF(Crédits!$K$9="",0,IF(Crédits!$K$9&lt;Crédits!$K$10,AK112,0))))))</f>
        <v>0</v>
      </c>
      <c r="AU112" s="104">
        <f t="shared" si="11"/>
        <v>0</v>
      </c>
      <c r="AV112" s="88">
        <f>ROUND(AV111+AW112-MIN(N(Crédits!$E$10),AV111+AW112),2)</f>
        <v>0</v>
      </c>
      <c r="AW112" s="89">
        <f>AV111*N(Crédits!$D$10)/12</f>
        <v>0</v>
      </c>
      <c r="AX112" s="105">
        <f t="shared" si="12"/>
        <v>0</v>
      </c>
      <c r="AY112" s="105">
        <f t="shared" ref="AY112:AZ112" si="130">F112+N112+V112+AD112+AL112+AT112</f>
        <v>0</v>
      </c>
      <c r="AZ112" s="105">
        <f t="shared" si="130"/>
        <v>0</v>
      </c>
      <c r="BA112" s="105">
        <f t="shared" si="14"/>
        <v>0</v>
      </c>
      <c r="BB112" s="105">
        <f t="shared" si="15"/>
        <v>0</v>
      </c>
    </row>
    <row r="113" spans="1:54" ht="15" customHeight="1" x14ac:dyDescent="0.25">
      <c r="A113" s="2">
        <v>111</v>
      </c>
      <c r="B113" s="83">
        <f t="shared" si="16"/>
        <v>0</v>
      </c>
      <c r="C113" s="83">
        <f>B113*N(Crédits!$D$5)/12</f>
        <v>0</v>
      </c>
      <c r="D113" s="83">
        <f>MIN(N(Crédits!$E$5),B113+C113)</f>
        <v>0</v>
      </c>
      <c r="E113" s="83">
        <f t="shared" si="0"/>
        <v>0</v>
      </c>
      <c r="F113" s="86">
        <f>IF(Crédits!$K$5="",0,MAX(0,MIN(E113,Plan!$L$115-(IF(Crédits!$K$6="",0,IF(Crédits!$K$6&lt;Crédits!$K$5,M113,0))+IF(Crédits!$K$7="",0,IF(Crédits!$K$7&lt;Crédits!$K$5,U113,0))+IF(Crédits!$K$8="",0,IF(Crédits!$K$8&lt;Crédits!$K$5,AC113,0))+IF(Crédits!$K$9="",0,IF(Crédits!$K$9&lt;Crédits!$K$5,AK113,0))+IF(Crédits!$K$10="",0,IF(Crédits!$K$10&lt;Crédits!$K$5,AS113,0))))))</f>
        <v>0</v>
      </c>
      <c r="G113" s="87">
        <f t="shared" si="1"/>
        <v>0</v>
      </c>
      <c r="H113" s="88">
        <f>ROUND(H112+I113-MIN(N(Crédits!$E$5),H112+I113),2)</f>
        <v>0</v>
      </c>
      <c r="I113" s="89">
        <f>H112*N(Crédits!$D$5)/12</f>
        <v>0</v>
      </c>
      <c r="J113" s="90">
        <f t="shared" si="17"/>
        <v>0</v>
      </c>
      <c r="K113" s="90">
        <f>J113*N(Crédits!$D$6)/12</f>
        <v>0</v>
      </c>
      <c r="L113" s="90">
        <f>MIN(N(Crédits!$E$6),J113+K113)</f>
        <v>0</v>
      </c>
      <c r="M113" s="90">
        <f t="shared" si="2"/>
        <v>0</v>
      </c>
      <c r="N113" s="91">
        <f>IF(Crédits!$K$6="",0,MAX(0,MIN(M113,Plan!$L$115-(IF(Crédits!$K$5="",0,IF(Crédits!$K$5&lt;Crédits!$K$6,E113,0))+IF(Crédits!$K$7="",0,IF(Crédits!$K$7&lt;Crédits!$K$6,U113,0))+IF(Crédits!$K$8="",0,IF(Crédits!$K$8&lt;Crédits!$K$6,AC113,0))+IF(Crédits!$K$9="",0,IF(Crédits!$K$9&lt;Crédits!$K$6,AK113,0))+IF(Crédits!$K$10="",0,IF(Crédits!$K$10&lt;Crédits!$K$6,AS113,0))))))</f>
        <v>0</v>
      </c>
      <c r="O113" s="92">
        <f t="shared" si="3"/>
        <v>0</v>
      </c>
      <c r="P113" s="88">
        <f>ROUND(P112+Q113-MIN(N(Crédits!$E$6),P112+Q113),2)</f>
        <v>0</v>
      </c>
      <c r="Q113" s="89">
        <f>P112*N(Crédits!$D$6)/12</f>
        <v>0</v>
      </c>
      <c r="R113" s="93">
        <f t="shared" si="18"/>
        <v>0</v>
      </c>
      <c r="S113" s="93">
        <f>R113*N(Crédits!$D$7)/12</f>
        <v>0</v>
      </c>
      <c r="T113" s="93">
        <f>MIN(N(Crédits!$E$7),R113+S113)</f>
        <v>0</v>
      </c>
      <c r="U113" s="93">
        <f t="shared" si="4"/>
        <v>0</v>
      </c>
      <c r="V113" s="94">
        <f>IF(Crédits!$K$7="",0,MAX(0,MIN(U113,Plan!$L$115-(IF(Crédits!$K$5="",0,IF(Crédits!$K$5&lt;Crédits!$K$7,E113,0))+IF(Crédits!$K$6="",0,IF(Crédits!$K$6&lt;Crédits!$K$7,M113,0))+IF(Crédits!$K$8="",0,IF(Crédits!$K$8&lt;Crédits!$K$7,AC113,0))+IF(Crédits!$K$9="",0,IF(Crédits!$K$9&lt;Crédits!$K$7,AK113,0))+IF(Crédits!$K$10="",0,IF(Crédits!$K$10&lt;Crédits!$K$7,AS113,0))))))</f>
        <v>0</v>
      </c>
      <c r="W113" s="95">
        <f t="shared" si="5"/>
        <v>0</v>
      </c>
      <c r="X113" s="88">
        <f>ROUND(X112+Y113-MIN(N(Crédits!$E$7),X112+Y113),2)</f>
        <v>0</v>
      </c>
      <c r="Y113" s="89">
        <f>X112*N(Crédits!$D$7)/12</f>
        <v>0</v>
      </c>
      <c r="Z113" s="96">
        <f t="shared" si="19"/>
        <v>0</v>
      </c>
      <c r="AA113" s="96">
        <f>Z113*N(Crédits!$D$8)/12</f>
        <v>0</v>
      </c>
      <c r="AB113" s="96">
        <f>MIN(N(Crédits!$E$8),Z113+AA113)</f>
        <v>0</v>
      </c>
      <c r="AC113" s="96">
        <f t="shared" si="6"/>
        <v>0</v>
      </c>
      <c r="AD113" s="97">
        <f>IF(Crédits!$K$8="",0,MAX(0,MIN(AC113,Plan!$L$115-(IF(Crédits!$K$5="",0,IF(Crédits!$K$5&lt;Crédits!$K$8,E113,0))+IF(Crédits!$K$6="",0,IF(Crédits!$K$6&lt;Crédits!$K$8,M113,0))+IF(Crédits!$K$7="",0,IF(Crédits!$K$7&lt;Crédits!$K$8,U113,0))+IF(Crédits!$K$9="",0,IF(Crédits!$K$9&lt;Crédits!$K$8,AK113,0))+IF(Crédits!$K$10="",0,IF(Crédits!$K$10&lt;Crédits!$K$8,AS113,0))))))</f>
        <v>0</v>
      </c>
      <c r="AE113" s="98">
        <f t="shared" si="7"/>
        <v>0</v>
      </c>
      <c r="AF113" s="88">
        <f>ROUND(AF112+AG113-MIN(N(Crédits!$E$8),AF112+AG113),2)</f>
        <v>0</v>
      </c>
      <c r="AG113" s="89">
        <f>AF112*N(Crédits!$D$8)/12</f>
        <v>0</v>
      </c>
      <c r="AH113" s="99">
        <f t="shared" si="20"/>
        <v>0</v>
      </c>
      <c r="AI113" s="99">
        <f>AH113*N(Crédits!$D$9)/12</f>
        <v>0</v>
      </c>
      <c r="AJ113" s="99">
        <f>MIN(N(Crédits!$E$9),AH113+AI113)</f>
        <v>0</v>
      </c>
      <c r="AK113" s="99">
        <f t="shared" si="8"/>
        <v>0</v>
      </c>
      <c r="AL113" s="100">
        <f>IF(Crédits!$K$9="",0,MAX(0,MIN(AK113,Plan!$L$115-(IF(Crédits!$K$5="",0,IF(Crédits!$K$5&lt;Crédits!$K$9,E113,0))+IF(Crédits!$K$6="",0,IF(Crédits!$K$6&lt;Crédits!$K$9,M113,0))+IF(Crédits!$K$7="",0,IF(Crédits!$K$7&lt;Crédits!$K$9,U113,0))+IF(Crédits!$K$8="",0,IF(Crédits!$K$8&lt;Crédits!$K$9,AC113,0))+IF(Crédits!$K$10="",0,IF(Crédits!$K$10&lt;Crédits!$K$9,AS113,0))))))</f>
        <v>0</v>
      </c>
      <c r="AM113" s="101">
        <f t="shared" si="9"/>
        <v>0</v>
      </c>
      <c r="AN113" s="88">
        <f>ROUND(AN112+AO113-MIN(N(Crédits!$E$9),AN112+AO113),2)</f>
        <v>0</v>
      </c>
      <c r="AO113" s="89">
        <f>AN112*N(Crédits!$D$9)/12</f>
        <v>0</v>
      </c>
      <c r="AP113" s="102">
        <f t="shared" si="21"/>
        <v>0</v>
      </c>
      <c r="AQ113" s="102">
        <f>AP113*N(Crédits!$D$10)/12</f>
        <v>0</v>
      </c>
      <c r="AR113" s="102">
        <f>MIN(N(Crédits!$E$10),AP113+AQ113)</f>
        <v>0</v>
      </c>
      <c r="AS113" s="102">
        <f t="shared" si="10"/>
        <v>0</v>
      </c>
      <c r="AT113" s="103">
        <f>IF(Crédits!$K$10="",0,MAX(0,MIN(AS113,Plan!$L$115-(IF(Crédits!$K$5="",0,IF(Crédits!$K$5&lt;Crédits!$K$10,E113,0))+IF(Crédits!$K$6="",0,IF(Crédits!$K$6&lt;Crédits!$K$10,M113,0))+IF(Crédits!$K$7="",0,IF(Crédits!$K$7&lt;Crédits!$K$10,U113,0))+IF(Crédits!$K$8="",0,IF(Crédits!$K$8&lt;Crédits!$K$10,AC113,0))+IF(Crédits!$K$9="",0,IF(Crédits!$K$9&lt;Crédits!$K$10,AK113,0))))))</f>
        <v>0</v>
      </c>
      <c r="AU113" s="104">
        <f t="shared" si="11"/>
        <v>0</v>
      </c>
      <c r="AV113" s="88">
        <f>ROUND(AV112+AW113-MIN(N(Crédits!$E$10),AV112+AW113),2)</f>
        <v>0</v>
      </c>
      <c r="AW113" s="89">
        <f>AV112*N(Crédits!$D$10)/12</f>
        <v>0</v>
      </c>
      <c r="AX113" s="105">
        <f t="shared" si="12"/>
        <v>0</v>
      </c>
      <c r="AY113" s="105">
        <f t="shared" ref="AY113:AZ113" si="131">F113+N113+V113+AD113+AL113+AT113</f>
        <v>0</v>
      </c>
      <c r="AZ113" s="105">
        <f t="shared" si="131"/>
        <v>0</v>
      </c>
      <c r="BA113" s="105">
        <f t="shared" si="14"/>
        <v>0</v>
      </c>
      <c r="BB113" s="105">
        <f t="shared" si="15"/>
        <v>0</v>
      </c>
    </row>
    <row r="114" spans="1:54" ht="15" customHeight="1" x14ac:dyDescent="0.25">
      <c r="A114" s="2">
        <v>112</v>
      </c>
      <c r="B114" s="83">
        <f t="shared" si="16"/>
        <v>0</v>
      </c>
      <c r="C114" s="83">
        <f>B114*N(Crédits!$D$5)/12</f>
        <v>0</v>
      </c>
      <c r="D114" s="83">
        <f>MIN(N(Crédits!$E$5),B114+C114)</f>
        <v>0</v>
      </c>
      <c r="E114" s="83">
        <f t="shared" si="0"/>
        <v>0</v>
      </c>
      <c r="F114" s="86">
        <f>IF(Crédits!$K$5="",0,MAX(0,MIN(E114,Plan!$L$116-(IF(Crédits!$K$6="",0,IF(Crédits!$K$6&lt;Crédits!$K$5,M114,0))+IF(Crédits!$K$7="",0,IF(Crédits!$K$7&lt;Crédits!$K$5,U114,0))+IF(Crédits!$K$8="",0,IF(Crédits!$K$8&lt;Crédits!$K$5,AC114,0))+IF(Crédits!$K$9="",0,IF(Crédits!$K$9&lt;Crédits!$K$5,AK114,0))+IF(Crédits!$K$10="",0,IF(Crédits!$K$10&lt;Crédits!$K$5,AS114,0))))))</f>
        <v>0</v>
      </c>
      <c r="G114" s="87">
        <f t="shared" si="1"/>
        <v>0</v>
      </c>
      <c r="H114" s="88">
        <f>ROUND(H113+I114-MIN(N(Crédits!$E$5),H113+I114),2)</f>
        <v>0</v>
      </c>
      <c r="I114" s="89">
        <f>H113*N(Crédits!$D$5)/12</f>
        <v>0</v>
      </c>
      <c r="J114" s="90">
        <f t="shared" si="17"/>
        <v>0</v>
      </c>
      <c r="K114" s="90">
        <f>J114*N(Crédits!$D$6)/12</f>
        <v>0</v>
      </c>
      <c r="L114" s="90">
        <f>MIN(N(Crédits!$E$6),J114+K114)</f>
        <v>0</v>
      </c>
      <c r="M114" s="90">
        <f t="shared" si="2"/>
        <v>0</v>
      </c>
      <c r="N114" s="91">
        <f>IF(Crédits!$K$6="",0,MAX(0,MIN(M114,Plan!$L$116-(IF(Crédits!$K$5="",0,IF(Crédits!$K$5&lt;Crédits!$K$6,E114,0))+IF(Crédits!$K$7="",0,IF(Crédits!$K$7&lt;Crédits!$K$6,U114,0))+IF(Crédits!$K$8="",0,IF(Crédits!$K$8&lt;Crédits!$K$6,AC114,0))+IF(Crédits!$K$9="",0,IF(Crédits!$K$9&lt;Crédits!$K$6,AK114,0))+IF(Crédits!$K$10="",0,IF(Crédits!$K$10&lt;Crédits!$K$6,AS114,0))))))</f>
        <v>0</v>
      </c>
      <c r="O114" s="92">
        <f t="shared" si="3"/>
        <v>0</v>
      </c>
      <c r="P114" s="88">
        <f>ROUND(P113+Q114-MIN(N(Crédits!$E$6),P113+Q114),2)</f>
        <v>0</v>
      </c>
      <c r="Q114" s="89">
        <f>P113*N(Crédits!$D$6)/12</f>
        <v>0</v>
      </c>
      <c r="R114" s="93">
        <f t="shared" si="18"/>
        <v>0</v>
      </c>
      <c r="S114" s="93">
        <f>R114*N(Crédits!$D$7)/12</f>
        <v>0</v>
      </c>
      <c r="T114" s="93">
        <f>MIN(N(Crédits!$E$7),R114+S114)</f>
        <v>0</v>
      </c>
      <c r="U114" s="93">
        <f t="shared" si="4"/>
        <v>0</v>
      </c>
      <c r="V114" s="94">
        <f>IF(Crédits!$K$7="",0,MAX(0,MIN(U114,Plan!$L$116-(IF(Crédits!$K$5="",0,IF(Crédits!$K$5&lt;Crédits!$K$7,E114,0))+IF(Crédits!$K$6="",0,IF(Crédits!$K$6&lt;Crédits!$K$7,M114,0))+IF(Crédits!$K$8="",0,IF(Crédits!$K$8&lt;Crédits!$K$7,AC114,0))+IF(Crédits!$K$9="",0,IF(Crédits!$K$9&lt;Crédits!$K$7,AK114,0))+IF(Crédits!$K$10="",0,IF(Crédits!$K$10&lt;Crédits!$K$7,AS114,0))))))</f>
        <v>0</v>
      </c>
      <c r="W114" s="95">
        <f t="shared" si="5"/>
        <v>0</v>
      </c>
      <c r="X114" s="88">
        <f>ROUND(X113+Y114-MIN(N(Crédits!$E$7),X113+Y114),2)</f>
        <v>0</v>
      </c>
      <c r="Y114" s="89">
        <f>X113*N(Crédits!$D$7)/12</f>
        <v>0</v>
      </c>
      <c r="Z114" s="96">
        <f t="shared" si="19"/>
        <v>0</v>
      </c>
      <c r="AA114" s="96">
        <f>Z114*N(Crédits!$D$8)/12</f>
        <v>0</v>
      </c>
      <c r="AB114" s="96">
        <f>MIN(N(Crédits!$E$8),Z114+AA114)</f>
        <v>0</v>
      </c>
      <c r="AC114" s="96">
        <f t="shared" si="6"/>
        <v>0</v>
      </c>
      <c r="AD114" s="97">
        <f>IF(Crédits!$K$8="",0,MAX(0,MIN(AC114,Plan!$L$116-(IF(Crédits!$K$5="",0,IF(Crédits!$K$5&lt;Crédits!$K$8,E114,0))+IF(Crédits!$K$6="",0,IF(Crédits!$K$6&lt;Crédits!$K$8,M114,0))+IF(Crédits!$K$7="",0,IF(Crédits!$K$7&lt;Crédits!$K$8,U114,0))+IF(Crédits!$K$9="",0,IF(Crédits!$K$9&lt;Crédits!$K$8,AK114,0))+IF(Crédits!$K$10="",0,IF(Crédits!$K$10&lt;Crédits!$K$8,AS114,0))))))</f>
        <v>0</v>
      </c>
      <c r="AE114" s="98">
        <f t="shared" si="7"/>
        <v>0</v>
      </c>
      <c r="AF114" s="88">
        <f>ROUND(AF113+AG114-MIN(N(Crédits!$E$8),AF113+AG114),2)</f>
        <v>0</v>
      </c>
      <c r="AG114" s="89">
        <f>AF113*N(Crédits!$D$8)/12</f>
        <v>0</v>
      </c>
      <c r="AH114" s="99">
        <f t="shared" si="20"/>
        <v>0</v>
      </c>
      <c r="AI114" s="99">
        <f>AH114*N(Crédits!$D$9)/12</f>
        <v>0</v>
      </c>
      <c r="AJ114" s="99">
        <f>MIN(N(Crédits!$E$9),AH114+AI114)</f>
        <v>0</v>
      </c>
      <c r="AK114" s="99">
        <f t="shared" si="8"/>
        <v>0</v>
      </c>
      <c r="AL114" s="100">
        <f>IF(Crédits!$K$9="",0,MAX(0,MIN(AK114,Plan!$L$116-(IF(Crédits!$K$5="",0,IF(Crédits!$K$5&lt;Crédits!$K$9,E114,0))+IF(Crédits!$K$6="",0,IF(Crédits!$K$6&lt;Crédits!$K$9,M114,0))+IF(Crédits!$K$7="",0,IF(Crédits!$K$7&lt;Crédits!$K$9,U114,0))+IF(Crédits!$K$8="",0,IF(Crédits!$K$8&lt;Crédits!$K$9,AC114,0))+IF(Crédits!$K$10="",0,IF(Crédits!$K$10&lt;Crédits!$K$9,AS114,0))))))</f>
        <v>0</v>
      </c>
      <c r="AM114" s="101">
        <f t="shared" si="9"/>
        <v>0</v>
      </c>
      <c r="AN114" s="88">
        <f>ROUND(AN113+AO114-MIN(N(Crédits!$E$9),AN113+AO114),2)</f>
        <v>0</v>
      </c>
      <c r="AO114" s="89">
        <f>AN113*N(Crédits!$D$9)/12</f>
        <v>0</v>
      </c>
      <c r="AP114" s="102">
        <f t="shared" si="21"/>
        <v>0</v>
      </c>
      <c r="AQ114" s="102">
        <f>AP114*N(Crédits!$D$10)/12</f>
        <v>0</v>
      </c>
      <c r="AR114" s="102">
        <f>MIN(N(Crédits!$E$10),AP114+AQ114)</f>
        <v>0</v>
      </c>
      <c r="AS114" s="102">
        <f t="shared" si="10"/>
        <v>0</v>
      </c>
      <c r="AT114" s="103">
        <f>IF(Crédits!$K$10="",0,MAX(0,MIN(AS114,Plan!$L$116-(IF(Crédits!$K$5="",0,IF(Crédits!$K$5&lt;Crédits!$K$10,E114,0))+IF(Crédits!$K$6="",0,IF(Crédits!$K$6&lt;Crédits!$K$10,M114,0))+IF(Crédits!$K$7="",0,IF(Crédits!$K$7&lt;Crédits!$K$10,U114,0))+IF(Crédits!$K$8="",0,IF(Crédits!$K$8&lt;Crédits!$K$10,AC114,0))+IF(Crédits!$K$9="",0,IF(Crédits!$K$9&lt;Crédits!$K$10,AK114,0))))))</f>
        <v>0</v>
      </c>
      <c r="AU114" s="104">
        <f t="shared" si="11"/>
        <v>0</v>
      </c>
      <c r="AV114" s="88">
        <f>ROUND(AV113+AW114-MIN(N(Crédits!$E$10),AV113+AW114),2)</f>
        <v>0</v>
      </c>
      <c r="AW114" s="89">
        <f>AV113*N(Crédits!$D$10)/12</f>
        <v>0</v>
      </c>
      <c r="AX114" s="105">
        <f t="shared" si="12"/>
        <v>0</v>
      </c>
      <c r="AY114" s="105">
        <f t="shared" ref="AY114:AZ114" si="132">F114+N114+V114+AD114+AL114+AT114</f>
        <v>0</v>
      </c>
      <c r="AZ114" s="105">
        <f t="shared" si="132"/>
        <v>0</v>
      </c>
      <c r="BA114" s="105">
        <f t="shared" si="14"/>
        <v>0</v>
      </c>
      <c r="BB114" s="105">
        <f t="shared" si="15"/>
        <v>0</v>
      </c>
    </row>
    <row r="115" spans="1:54" ht="15" customHeight="1" x14ac:dyDescent="0.25">
      <c r="A115" s="2">
        <v>113</v>
      </c>
      <c r="B115" s="83">
        <f t="shared" si="16"/>
        <v>0</v>
      </c>
      <c r="C115" s="83">
        <f>B115*N(Crédits!$D$5)/12</f>
        <v>0</v>
      </c>
      <c r="D115" s="83">
        <f>MIN(N(Crédits!$E$5),B115+C115)</f>
        <v>0</v>
      </c>
      <c r="E115" s="83">
        <f t="shared" si="0"/>
        <v>0</v>
      </c>
      <c r="F115" s="86">
        <f>IF(Crédits!$K$5="",0,MAX(0,MIN(E115,Plan!$L$117-(IF(Crédits!$K$6="",0,IF(Crédits!$K$6&lt;Crédits!$K$5,M115,0))+IF(Crédits!$K$7="",0,IF(Crédits!$K$7&lt;Crédits!$K$5,U115,0))+IF(Crédits!$K$8="",0,IF(Crédits!$K$8&lt;Crédits!$K$5,AC115,0))+IF(Crédits!$K$9="",0,IF(Crédits!$K$9&lt;Crédits!$K$5,AK115,0))+IF(Crédits!$K$10="",0,IF(Crédits!$K$10&lt;Crédits!$K$5,AS115,0))))))</f>
        <v>0</v>
      </c>
      <c r="G115" s="87">
        <f t="shared" si="1"/>
        <v>0</v>
      </c>
      <c r="H115" s="88">
        <f>ROUND(H114+I115-MIN(N(Crédits!$E$5),H114+I115),2)</f>
        <v>0</v>
      </c>
      <c r="I115" s="89">
        <f>H114*N(Crédits!$D$5)/12</f>
        <v>0</v>
      </c>
      <c r="J115" s="90">
        <f t="shared" si="17"/>
        <v>0</v>
      </c>
      <c r="K115" s="90">
        <f>J115*N(Crédits!$D$6)/12</f>
        <v>0</v>
      </c>
      <c r="L115" s="90">
        <f>MIN(N(Crédits!$E$6),J115+K115)</f>
        <v>0</v>
      </c>
      <c r="M115" s="90">
        <f t="shared" si="2"/>
        <v>0</v>
      </c>
      <c r="N115" s="91">
        <f>IF(Crédits!$K$6="",0,MAX(0,MIN(M115,Plan!$L$117-(IF(Crédits!$K$5="",0,IF(Crédits!$K$5&lt;Crédits!$K$6,E115,0))+IF(Crédits!$K$7="",0,IF(Crédits!$K$7&lt;Crédits!$K$6,U115,0))+IF(Crédits!$K$8="",0,IF(Crédits!$K$8&lt;Crédits!$K$6,AC115,0))+IF(Crédits!$K$9="",0,IF(Crédits!$K$9&lt;Crédits!$K$6,AK115,0))+IF(Crédits!$K$10="",0,IF(Crédits!$K$10&lt;Crédits!$K$6,AS115,0))))))</f>
        <v>0</v>
      </c>
      <c r="O115" s="92">
        <f t="shared" si="3"/>
        <v>0</v>
      </c>
      <c r="P115" s="88">
        <f>ROUND(P114+Q115-MIN(N(Crédits!$E$6),P114+Q115),2)</f>
        <v>0</v>
      </c>
      <c r="Q115" s="89">
        <f>P114*N(Crédits!$D$6)/12</f>
        <v>0</v>
      </c>
      <c r="R115" s="93">
        <f t="shared" si="18"/>
        <v>0</v>
      </c>
      <c r="S115" s="93">
        <f>R115*N(Crédits!$D$7)/12</f>
        <v>0</v>
      </c>
      <c r="T115" s="93">
        <f>MIN(N(Crédits!$E$7),R115+S115)</f>
        <v>0</v>
      </c>
      <c r="U115" s="93">
        <f t="shared" si="4"/>
        <v>0</v>
      </c>
      <c r="V115" s="94">
        <f>IF(Crédits!$K$7="",0,MAX(0,MIN(U115,Plan!$L$117-(IF(Crédits!$K$5="",0,IF(Crédits!$K$5&lt;Crédits!$K$7,E115,0))+IF(Crédits!$K$6="",0,IF(Crédits!$K$6&lt;Crédits!$K$7,M115,0))+IF(Crédits!$K$8="",0,IF(Crédits!$K$8&lt;Crédits!$K$7,AC115,0))+IF(Crédits!$K$9="",0,IF(Crédits!$K$9&lt;Crédits!$K$7,AK115,0))+IF(Crédits!$K$10="",0,IF(Crédits!$K$10&lt;Crédits!$K$7,AS115,0))))))</f>
        <v>0</v>
      </c>
      <c r="W115" s="95">
        <f t="shared" si="5"/>
        <v>0</v>
      </c>
      <c r="X115" s="88">
        <f>ROUND(X114+Y115-MIN(N(Crédits!$E$7),X114+Y115),2)</f>
        <v>0</v>
      </c>
      <c r="Y115" s="89">
        <f>X114*N(Crédits!$D$7)/12</f>
        <v>0</v>
      </c>
      <c r="Z115" s="96">
        <f t="shared" si="19"/>
        <v>0</v>
      </c>
      <c r="AA115" s="96">
        <f>Z115*N(Crédits!$D$8)/12</f>
        <v>0</v>
      </c>
      <c r="AB115" s="96">
        <f>MIN(N(Crédits!$E$8),Z115+AA115)</f>
        <v>0</v>
      </c>
      <c r="AC115" s="96">
        <f t="shared" si="6"/>
        <v>0</v>
      </c>
      <c r="AD115" s="97">
        <f>IF(Crédits!$K$8="",0,MAX(0,MIN(AC115,Plan!$L$117-(IF(Crédits!$K$5="",0,IF(Crédits!$K$5&lt;Crédits!$K$8,E115,0))+IF(Crédits!$K$6="",0,IF(Crédits!$K$6&lt;Crédits!$K$8,M115,0))+IF(Crédits!$K$7="",0,IF(Crédits!$K$7&lt;Crédits!$K$8,U115,0))+IF(Crédits!$K$9="",0,IF(Crédits!$K$9&lt;Crédits!$K$8,AK115,0))+IF(Crédits!$K$10="",0,IF(Crédits!$K$10&lt;Crédits!$K$8,AS115,0))))))</f>
        <v>0</v>
      </c>
      <c r="AE115" s="98">
        <f t="shared" si="7"/>
        <v>0</v>
      </c>
      <c r="AF115" s="88">
        <f>ROUND(AF114+AG115-MIN(N(Crédits!$E$8),AF114+AG115),2)</f>
        <v>0</v>
      </c>
      <c r="AG115" s="89">
        <f>AF114*N(Crédits!$D$8)/12</f>
        <v>0</v>
      </c>
      <c r="AH115" s="99">
        <f t="shared" si="20"/>
        <v>0</v>
      </c>
      <c r="AI115" s="99">
        <f>AH115*N(Crédits!$D$9)/12</f>
        <v>0</v>
      </c>
      <c r="AJ115" s="99">
        <f>MIN(N(Crédits!$E$9),AH115+AI115)</f>
        <v>0</v>
      </c>
      <c r="AK115" s="99">
        <f t="shared" si="8"/>
        <v>0</v>
      </c>
      <c r="AL115" s="100">
        <f>IF(Crédits!$K$9="",0,MAX(0,MIN(AK115,Plan!$L$117-(IF(Crédits!$K$5="",0,IF(Crédits!$K$5&lt;Crédits!$K$9,E115,0))+IF(Crédits!$K$6="",0,IF(Crédits!$K$6&lt;Crédits!$K$9,M115,0))+IF(Crédits!$K$7="",0,IF(Crédits!$K$7&lt;Crédits!$K$9,U115,0))+IF(Crédits!$K$8="",0,IF(Crédits!$K$8&lt;Crédits!$K$9,AC115,0))+IF(Crédits!$K$10="",0,IF(Crédits!$K$10&lt;Crédits!$K$9,AS115,0))))))</f>
        <v>0</v>
      </c>
      <c r="AM115" s="101">
        <f t="shared" si="9"/>
        <v>0</v>
      </c>
      <c r="AN115" s="88">
        <f>ROUND(AN114+AO115-MIN(N(Crédits!$E$9),AN114+AO115),2)</f>
        <v>0</v>
      </c>
      <c r="AO115" s="89">
        <f>AN114*N(Crédits!$D$9)/12</f>
        <v>0</v>
      </c>
      <c r="AP115" s="102">
        <f t="shared" si="21"/>
        <v>0</v>
      </c>
      <c r="AQ115" s="102">
        <f>AP115*N(Crédits!$D$10)/12</f>
        <v>0</v>
      </c>
      <c r="AR115" s="102">
        <f>MIN(N(Crédits!$E$10),AP115+AQ115)</f>
        <v>0</v>
      </c>
      <c r="AS115" s="102">
        <f t="shared" si="10"/>
        <v>0</v>
      </c>
      <c r="AT115" s="103">
        <f>IF(Crédits!$K$10="",0,MAX(0,MIN(AS115,Plan!$L$117-(IF(Crédits!$K$5="",0,IF(Crédits!$K$5&lt;Crédits!$K$10,E115,0))+IF(Crédits!$K$6="",0,IF(Crédits!$K$6&lt;Crédits!$K$10,M115,0))+IF(Crédits!$K$7="",0,IF(Crédits!$K$7&lt;Crédits!$K$10,U115,0))+IF(Crédits!$K$8="",0,IF(Crédits!$K$8&lt;Crédits!$K$10,AC115,0))+IF(Crédits!$K$9="",0,IF(Crédits!$K$9&lt;Crédits!$K$10,AK115,0))))))</f>
        <v>0</v>
      </c>
      <c r="AU115" s="104">
        <f t="shared" si="11"/>
        <v>0</v>
      </c>
      <c r="AV115" s="88">
        <f>ROUND(AV114+AW115-MIN(N(Crédits!$E$10),AV114+AW115),2)</f>
        <v>0</v>
      </c>
      <c r="AW115" s="89">
        <f>AV114*N(Crédits!$D$10)/12</f>
        <v>0</v>
      </c>
      <c r="AX115" s="105">
        <f t="shared" si="12"/>
        <v>0</v>
      </c>
      <c r="AY115" s="105">
        <f t="shared" ref="AY115:AZ115" si="133">F115+N115+V115+AD115+AL115+AT115</f>
        <v>0</v>
      </c>
      <c r="AZ115" s="105">
        <f t="shared" si="133"/>
        <v>0</v>
      </c>
      <c r="BA115" s="105">
        <f t="shared" si="14"/>
        <v>0</v>
      </c>
      <c r="BB115" s="105">
        <f t="shared" si="15"/>
        <v>0</v>
      </c>
    </row>
    <row r="116" spans="1:54" ht="15" customHeight="1" x14ac:dyDescent="0.25">
      <c r="A116" s="2">
        <v>114</v>
      </c>
      <c r="B116" s="83">
        <f t="shared" si="16"/>
        <v>0</v>
      </c>
      <c r="C116" s="83">
        <f>B116*N(Crédits!$D$5)/12</f>
        <v>0</v>
      </c>
      <c r="D116" s="83">
        <f>MIN(N(Crédits!$E$5),B116+C116)</f>
        <v>0</v>
      </c>
      <c r="E116" s="83">
        <f t="shared" si="0"/>
        <v>0</v>
      </c>
      <c r="F116" s="86">
        <f>IF(Crédits!$K$5="",0,MAX(0,MIN(E116,Plan!$L$118-(IF(Crédits!$K$6="",0,IF(Crédits!$K$6&lt;Crédits!$K$5,M116,0))+IF(Crédits!$K$7="",0,IF(Crédits!$K$7&lt;Crédits!$K$5,U116,0))+IF(Crédits!$K$8="",0,IF(Crédits!$K$8&lt;Crédits!$K$5,AC116,0))+IF(Crédits!$K$9="",0,IF(Crédits!$K$9&lt;Crédits!$K$5,AK116,0))+IF(Crédits!$K$10="",0,IF(Crédits!$K$10&lt;Crédits!$K$5,AS116,0))))))</f>
        <v>0</v>
      </c>
      <c r="G116" s="87">
        <f t="shared" si="1"/>
        <v>0</v>
      </c>
      <c r="H116" s="88">
        <f>ROUND(H115+I116-MIN(N(Crédits!$E$5),H115+I116),2)</f>
        <v>0</v>
      </c>
      <c r="I116" s="89">
        <f>H115*N(Crédits!$D$5)/12</f>
        <v>0</v>
      </c>
      <c r="J116" s="90">
        <f t="shared" si="17"/>
        <v>0</v>
      </c>
      <c r="K116" s="90">
        <f>J116*N(Crédits!$D$6)/12</f>
        <v>0</v>
      </c>
      <c r="L116" s="90">
        <f>MIN(N(Crédits!$E$6),J116+K116)</f>
        <v>0</v>
      </c>
      <c r="M116" s="90">
        <f t="shared" si="2"/>
        <v>0</v>
      </c>
      <c r="N116" s="91">
        <f>IF(Crédits!$K$6="",0,MAX(0,MIN(M116,Plan!$L$118-(IF(Crédits!$K$5="",0,IF(Crédits!$K$5&lt;Crédits!$K$6,E116,0))+IF(Crédits!$K$7="",0,IF(Crédits!$K$7&lt;Crédits!$K$6,U116,0))+IF(Crédits!$K$8="",0,IF(Crédits!$K$8&lt;Crédits!$K$6,AC116,0))+IF(Crédits!$K$9="",0,IF(Crédits!$K$9&lt;Crédits!$K$6,AK116,0))+IF(Crédits!$K$10="",0,IF(Crédits!$K$10&lt;Crédits!$K$6,AS116,0))))))</f>
        <v>0</v>
      </c>
      <c r="O116" s="92">
        <f t="shared" si="3"/>
        <v>0</v>
      </c>
      <c r="P116" s="88">
        <f>ROUND(P115+Q116-MIN(N(Crédits!$E$6),P115+Q116),2)</f>
        <v>0</v>
      </c>
      <c r="Q116" s="89">
        <f>P115*N(Crédits!$D$6)/12</f>
        <v>0</v>
      </c>
      <c r="R116" s="93">
        <f t="shared" si="18"/>
        <v>0</v>
      </c>
      <c r="S116" s="93">
        <f>R116*N(Crédits!$D$7)/12</f>
        <v>0</v>
      </c>
      <c r="T116" s="93">
        <f>MIN(N(Crédits!$E$7),R116+S116)</f>
        <v>0</v>
      </c>
      <c r="U116" s="93">
        <f t="shared" si="4"/>
        <v>0</v>
      </c>
      <c r="V116" s="94">
        <f>IF(Crédits!$K$7="",0,MAX(0,MIN(U116,Plan!$L$118-(IF(Crédits!$K$5="",0,IF(Crédits!$K$5&lt;Crédits!$K$7,E116,0))+IF(Crédits!$K$6="",0,IF(Crédits!$K$6&lt;Crédits!$K$7,M116,0))+IF(Crédits!$K$8="",0,IF(Crédits!$K$8&lt;Crédits!$K$7,AC116,0))+IF(Crédits!$K$9="",0,IF(Crédits!$K$9&lt;Crédits!$K$7,AK116,0))+IF(Crédits!$K$10="",0,IF(Crédits!$K$10&lt;Crédits!$K$7,AS116,0))))))</f>
        <v>0</v>
      </c>
      <c r="W116" s="95">
        <f t="shared" si="5"/>
        <v>0</v>
      </c>
      <c r="X116" s="88">
        <f>ROUND(X115+Y116-MIN(N(Crédits!$E$7),X115+Y116),2)</f>
        <v>0</v>
      </c>
      <c r="Y116" s="89">
        <f>X115*N(Crédits!$D$7)/12</f>
        <v>0</v>
      </c>
      <c r="Z116" s="96">
        <f t="shared" si="19"/>
        <v>0</v>
      </c>
      <c r="AA116" s="96">
        <f>Z116*N(Crédits!$D$8)/12</f>
        <v>0</v>
      </c>
      <c r="AB116" s="96">
        <f>MIN(N(Crédits!$E$8),Z116+AA116)</f>
        <v>0</v>
      </c>
      <c r="AC116" s="96">
        <f t="shared" si="6"/>
        <v>0</v>
      </c>
      <c r="AD116" s="97">
        <f>IF(Crédits!$K$8="",0,MAX(0,MIN(AC116,Plan!$L$118-(IF(Crédits!$K$5="",0,IF(Crédits!$K$5&lt;Crédits!$K$8,E116,0))+IF(Crédits!$K$6="",0,IF(Crédits!$K$6&lt;Crédits!$K$8,M116,0))+IF(Crédits!$K$7="",0,IF(Crédits!$K$7&lt;Crédits!$K$8,U116,0))+IF(Crédits!$K$9="",0,IF(Crédits!$K$9&lt;Crédits!$K$8,AK116,0))+IF(Crédits!$K$10="",0,IF(Crédits!$K$10&lt;Crédits!$K$8,AS116,0))))))</f>
        <v>0</v>
      </c>
      <c r="AE116" s="98">
        <f t="shared" si="7"/>
        <v>0</v>
      </c>
      <c r="AF116" s="88">
        <f>ROUND(AF115+AG116-MIN(N(Crédits!$E$8),AF115+AG116),2)</f>
        <v>0</v>
      </c>
      <c r="AG116" s="89">
        <f>AF115*N(Crédits!$D$8)/12</f>
        <v>0</v>
      </c>
      <c r="AH116" s="99">
        <f t="shared" si="20"/>
        <v>0</v>
      </c>
      <c r="AI116" s="99">
        <f>AH116*N(Crédits!$D$9)/12</f>
        <v>0</v>
      </c>
      <c r="AJ116" s="99">
        <f>MIN(N(Crédits!$E$9),AH116+AI116)</f>
        <v>0</v>
      </c>
      <c r="AK116" s="99">
        <f t="shared" si="8"/>
        <v>0</v>
      </c>
      <c r="AL116" s="100">
        <f>IF(Crédits!$K$9="",0,MAX(0,MIN(AK116,Plan!$L$118-(IF(Crédits!$K$5="",0,IF(Crédits!$K$5&lt;Crédits!$K$9,E116,0))+IF(Crédits!$K$6="",0,IF(Crédits!$K$6&lt;Crédits!$K$9,M116,0))+IF(Crédits!$K$7="",0,IF(Crédits!$K$7&lt;Crédits!$K$9,U116,0))+IF(Crédits!$K$8="",0,IF(Crédits!$K$8&lt;Crédits!$K$9,AC116,0))+IF(Crédits!$K$10="",0,IF(Crédits!$K$10&lt;Crédits!$K$9,AS116,0))))))</f>
        <v>0</v>
      </c>
      <c r="AM116" s="101">
        <f t="shared" si="9"/>
        <v>0</v>
      </c>
      <c r="AN116" s="88">
        <f>ROUND(AN115+AO116-MIN(N(Crédits!$E$9),AN115+AO116),2)</f>
        <v>0</v>
      </c>
      <c r="AO116" s="89">
        <f>AN115*N(Crédits!$D$9)/12</f>
        <v>0</v>
      </c>
      <c r="AP116" s="102">
        <f t="shared" si="21"/>
        <v>0</v>
      </c>
      <c r="AQ116" s="102">
        <f>AP116*N(Crédits!$D$10)/12</f>
        <v>0</v>
      </c>
      <c r="AR116" s="102">
        <f>MIN(N(Crédits!$E$10),AP116+AQ116)</f>
        <v>0</v>
      </c>
      <c r="AS116" s="102">
        <f t="shared" si="10"/>
        <v>0</v>
      </c>
      <c r="AT116" s="103">
        <f>IF(Crédits!$K$10="",0,MAX(0,MIN(AS116,Plan!$L$118-(IF(Crédits!$K$5="",0,IF(Crédits!$K$5&lt;Crédits!$K$10,E116,0))+IF(Crédits!$K$6="",0,IF(Crédits!$K$6&lt;Crédits!$K$10,M116,0))+IF(Crédits!$K$7="",0,IF(Crédits!$K$7&lt;Crédits!$K$10,U116,0))+IF(Crédits!$K$8="",0,IF(Crédits!$K$8&lt;Crédits!$K$10,AC116,0))+IF(Crédits!$K$9="",0,IF(Crédits!$K$9&lt;Crédits!$K$10,AK116,0))))))</f>
        <v>0</v>
      </c>
      <c r="AU116" s="104">
        <f t="shared" si="11"/>
        <v>0</v>
      </c>
      <c r="AV116" s="88">
        <f>ROUND(AV115+AW116-MIN(N(Crédits!$E$10),AV115+AW116),2)</f>
        <v>0</v>
      </c>
      <c r="AW116" s="89">
        <f>AV115*N(Crédits!$D$10)/12</f>
        <v>0</v>
      </c>
      <c r="AX116" s="105">
        <f t="shared" si="12"/>
        <v>0</v>
      </c>
      <c r="AY116" s="105">
        <f t="shared" ref="AY116:AZ116" si="134">F116+N116+V116+AD116+AL116+AT116</f>
        <v>0</v>
      </c>
      <c r="AZ116" s="105">
        <f t="shared" si="134"/>
        <v>0</v>
      </c>
      <c r="BA116" s="105">
        <f t="shared" si="14"/>
        <v>0</v>
      </c>
      <c r="BB116" s="105">
        <f t="shared" si="15"/>
        <v>0</v>
      </c>
    </row>
    <row r="117" spans="1:54" ht="15" customHeight="1" x14ac:dyDescent="0.25">
      <c r="A117" s="2">
        <v>115</v>
      </c>
      <c r="B117" s="83">
        <f t="shared" si="16"/>
        <v>0</v>
      </c>
      <c r="C117" s="83">
        <f>B117*N(Crédits!$D$5)/12</f>
        <v>0</v>
      </c>
      <c r="D117" s="83">
        <f>MIN(N(Crédits!$E$5),B117+C117)</f>
        <v>0</v>
      </c>
      <c r="E117" s="83">
        <f t="shared" si="0"/>
        <v>0</v>
      </c>
      <c r="F117" s="86">
        <f>IF(Crédits!$K$5="",0,MAX(0,MIN(E117,Plan!$L$119-(IF(Crédits!$K$6="",0,IF(Crédits!$K$6&lt;Crédits!$K$5,M117,0))+IF(Crédits!$K$7="",0,IF(Crédits!$K$7&lt;Crédits!$K$5,U117,0))+IF(Crédits!$K$8="",0,IF(Crédits!$K$8&lt;Crédits!$K$5,AC117,0))+IF(Crédits!$K$9="",0,IF(Crédits!$K$9&lt;Crédits!$K$5,AK117,0))+IF(Crédits!$K$10="",0,IF(Crédits!$K$10&lt;Crédits!$K$5,AS117,0))))))</f>
        <v>0</v>
      </c>
      <c r="G117" s="87">
        <f t="shared" si="1"/>
        <v>0</v>
      </c>
      <c r="H117" s="88">
        <f>ROUND(H116+I117-MIN(N(Crédits!$E$5),H116+I117),2)</f>
        <v>0</v>
      </c>
      <c r="I117" s="89">
        <f>H116*N(Crédits!$D$5)/12</f>
        <v>0</v>
      </c>
      <c r="J117" s="90">
        <f t="shared" si="17"/>
        <v>0</v>
      </c>
      <c r="K117" s="90">
        <f>J117*N(Crédits!$D$6)/12</f>
        <v>0</v>
      </c>
      <c r="L117" s="90">
        <f>MIN(N(Crédits!$E$6),J117+K117)</f>
        <v>0</v>
      </c>
      <c r="M117" s="90">
        <f t="shared" si="2"/>
        <v>0</v>
      </c>
      <c r="N117" s="91">
        <f>IF(Crédits!$K$6="",0,MAX(0,MIN(M117,Plan!$L$119-(IF(Crédits!$K$5="",0,IF(Crédits!$K$5&lt;Crédits!$K$6,E117,0))+IF(Crédits!$K$7="",0,IF(Crédits!$K$7&lt;Crédits!$K$6,U117,0))+IF(Crédits!$K$8="",0,IF(Crédits!$K$8&lt;Crédits!$K$6,AC117,0))+IF(Crédits!$K$9="",0,IF(Crédits!$K$9&lt;Crédits!$K$6,AK117,0))+IF(Crédits!$K$10="",0,IF(Crédits!$K$10&lt;Crédits!$K$6,AS117,0))))))</f>
        <v>0</v>
      </c>
      <c r="O117" s="92">
        <f t="shared" si="3"/>
        <v>0</v>
      </c>
      <c r="P117" s="88">
        <f>ROUND(P116+Q117-MIN(N(Crédits!$E$6),P116+Q117),2)</f>
        <v>0</v>
      </c>
      <c r="Q117" s="89">
        <f>P116*N(Crédits!$D$6)/12</f>
        <v>0</v>
      </c>
      <c r="R117" s="93">
        <f t="shared" si="18"/>
        <v>0</v>
      </c>
      <c r="S117" s="93">
        <f>R117*N(Crédits!$D$7)/12</f>
        <v>0</v>
      </c>
      <c r="T117" s="93">
        <f>MIN(N(Crédits!$E$7),R117+S117)</f>
        <v>0</v>
      </c>
      <c r="U117" s="93">
        <f t="shared" si="4"/>
        <v>0</v>
      </c>
      <c r="V117" s="94">
        <f>IF(Crédits!$K$7="",0,MAX(0,MIN(U117,Plan!$L$119-(IF(Crédits!$K$5="",0,IF(Crédits!$K$5&lt;Crédits!$K$7,E117,0))+IF(Crédits!$K$6="",0,IF(Crédits!$K$6&lt;Crédits!$K$7,M117,0))+IF(Crédits!$K$8="",0,IF(Crédits!$K$8&lt;Crédits!$K$7,AC117,0))+IF(Crédits!$K$9="",0,IF(Crédits!$K$9&lt;Crédits!$K$7,AK117,0))+IF(Crédits!$K$10="",0,IF(Crédits!$K$10&lt;Crédits!$K$7,AS117,0))))))</f>
        <v>0</v>
      </c>
      <c r="W117" s="95">
        <f t="shared" si="5"/>
        <v>0</v>
      </c>
      <c r="X117" s="88">
        <f>ROUND(X116+Y117-MIN(N(Crédits!$E$7),X116+Y117),2)</f>
        <v>0</v>
      </c>
      <c r="Y117" s="89">
        <f>X116*N(Crédits!$D$7)/12</f>
        <v>0</v>
      </c>
      <c r="Z117" s="96">
        <f t="shared" si="19"/>
        <v>0</v>
      </c>
      <c r="AA117" s="96">
        <f>Z117*N(Crédits!$D$8)/12</f>
        <v>0</v>
      </c>
      <c r="AB117" s="96">
        <f>MIN(N(Crédits!$E$8),Z117+AA117)</f>
        <v>0</v>
      </c>
      <c r="AC117" s="96">
        <f t="shared" si="6"/>
        <v>0</v>
      </c>
      <c r="AD117" s="97">
        <f>IF(Crédits!$K$8="",0,MAX(0,MIN(AC117,Plan!$L$119-(IF(Crédits!$K$5="",0,IF(Crédits!$K$5&lt;Crédits!$K$8,E117,0))+IF(Crédits!$K$6="",0,IF(Crédits!$K$6&lt;Crédits!$K$8,M117,0))+IF(Crédits!$K$7="",0,IF(Crédits!$K$7&lt;Crédits!$K$8,U117,0))+IF(Crédits!$K$9="",0,IF(Crédits!$K$9&lt;Crédits!$K$8,AK117,0))+IF(Crédits!$K$10="",0,IF(Crédits!$K$10&lt;Crédits!$K$8,AS117,0))))))</f>
        <v>0</v>
      </c>
      <c r="AE117" s="98">
        <f t="shared" si="7"/>
        <v>0</v>
      </c>
      <c r="AF117" s="88">
        <f>ROUND(AF116+AG117-MIN(N(Crédits!$E$8),AF116+AG117),2)</f>
        <v>0</v>
      </c>
      <c r="AG117" s="89">
        <f>AF116*N(Crédits!$D$8)/12</f>
        <v>0</v>
      </c>
      <c r="AH117" s="99">
        <f t="shared" si="20"/>
        <v>0</v>
      </c>
      <c r="AI117" s="99">
        <f>AH117*N(Crédits!$D$9)/12</f>
        <v>0</v>
      </c>
      <c r="AJ117" s="99">
        <f>MIN(N(Crédits!$E$9),AH117+AI117)</f>
        <v>0</v>
      </c>
      <c r="AK117" s="99">
        <f t="shared" si="8"/>
        <v>0</v>
      </c>
      <c r="AL117" s="100">
        <f>IF(Crédits!$K$9="",0,MAX(0,MIN(AK117,Plan!$L$119-(IF(Crédits!$K$5="",0,IF(Crédits!$K$5&lt;Crédits!$K$9,E117,0))+IF(Crédits!$K$6="",0,IF(Crédits!$K$6&lt;Crédits!$K$9,M117,0))+IF(Crédits!$K$7="",0,IF(Crédits!$K$7&lt;Crédits!$K$9,U117,0))+IF(Crédits!$K$8="",0,IF(Crédits!$K$8&lt;Crédits!$K$9,AC117,0))+IF(Crédits!$K$10="",0,IF(Crédits!$K$10&lt;Crédits!$K$9,AS117,0))))))</f>
        <v>0</v>
      </c>
      <c r="AM117" s="101">
        <f t="shared" si="9"/>
        <v>0</v>
      </c>
      <c r="AN117" s="88">
        <f>ROUND(AN116+AO117-MIN(N(Crédits!$E$9),AN116+AO117),2)</f>
        <v>0</v>
      </c>
      <c r="AO117" s="89">
        <f>AN116*N(Crédits!$D$9)/12</f>
        <v>0</v>
      </c>
      <c r="AP117" s="102">
        <f t="shared" si="21"/>
        <v>0</v>
      </c>
      <c r="AQ117" s="102">
        <f>AP117*N(Crédits!$D$10)/12</f>
        <v>0</v>
      </c>
      <c r="AR117" s="102">
        <f>MIN(N(Crédits!$E$10),AP117+AQ117)</f>
        <v>0</v>
      </c>
      <c r="AS117" s="102">
        <f t="shared" si="10"/>
        <v>0</v>
      </c>
      <c r="AT117" s="103">
        <f>IF(Crédits!$K$10="",0,MAX(0,MIN(AS117,Plan!$L$119-(IF(Crédits!$K$5="",0,IF(Crédits!$K$5&lt;Crédits!$K$10,E117,0))+IF(Crédits!$K$6="",0,IF(Crédits!$K$6&lt;Crédits!$K$10,M117,0))+IF(Crédits!$K$7="",0,IF(Crédits!$K$7&lt;Crédits!$K$10,U117,0))+IF(Crédits!$K$8="",0,IF(Crédits!$K$8&lt;Crédits!$K$10,AC117,0))+IF(Crédits!$K$9="",0,IF(Crédits!$K$9&lt;Crédits!$K$10,AK117,0))))))</f>
        <v>0</v>
      </c>
      <c r="AU117" s="104">
        <f t="shared" si="11"/>
        <v>0</v>
      </c>
      <c r="AV117" s="88">
        <f>ROUND(AV116+AW117-MIN(N(Crédits!$E$10),AV116+AW117),2)</f>
        <v>0</v>
      </c>
      <c r="AW117" s="89">
        <f>AV116*N(Crédits!$D$10)/12</f>
        <v>0</v>
      </c>
      <c r="AX117" s="105">
        <f t="shared" si="12"/>
        <v>0</v>
      </c>
      <c r="AY117" s="105">
        <f t="shared" ref="AY117:AZ117" si="135">F117+N117+V117+AD117+AL117+AT117</f>
        <v>0</v>
      </c>
      <c r="AZ117" s="105">
        <f t="shared" si="135"/>
        <v>0</v>
      </c>
      <c r="BA117" s="105">
        <f t="shared" si="14"/>
        <v>0</v>
      </c>
      <c r="BB117" s="105">
        <f t="shared" si="15"/>
        <v>0</v>
      </c>
    </row>
    <row r="118" spans="1:54" ht="15" customHeight="1" x14ac:dyDescent="0.25">
      <c r="A118" s="2">
        <v>116</v>
      </c>
      <c r="B118" s="83">
        <f t="shared" si="16"/>
        <v>0</v>
      </c>
      <c r="C118" s="83">
        <f>B118*N(Crédits!$D$5)/12</f>
        <v>0</v>
      </c>
      <c r="D118" s="83">
        <f>MIN(N(Crédits!$E$5),B118+C118)</f>
        <v>0</v>
      </c>
      <c r="E118" s="83">
        <f t="shared" si="0"/>
        <v>0</v>
      </c>
      <c r="F118" s="86">
        <f>IF(Crédits!$K$5="",0,MAX(0,MIN(E118,Plan!$L$120-(IF(Crédits!$K$6="",0,IF(Crédits!$K$6&lt;Crédits!$K$5,M118,0))+IF(Crédits!$K$7="",0,IF(Crédits!$K$7&lt;Crédits!$K$5,U118,0))+IF(Crédits!$K$8="",0,IF(Crédits!$K$8&lt;Crédits!$K$5,AC118,0))+IF(Crédits!$K$9="",0,IF(Crédits!$K$9&lt;Crédits!$K$5,AK118,0))+IF(Crédits!$K$10="",0,IF(Crédits!$K$10&lt;Crédits!$K$5,AS118,0))))))</f>
        <v>0</v>
      </c>
      <c r="G118" s="87">
        <f t="shared" si="1"/>
        <v>0</v>
      </c>
      <c r="H118" s="88">
        <f>ROUND(H117+I118-MIN(N(Crédits!$E$5),H117+I118),2)</f>
        <v>0</v>
      </c>
      <c r="I118" s="89">
        <f>H117*N(Crédits!$D$5)/12</f>
        <v>0</v>
      </c>
      <c r="J118" s="90">
        <f t="shared" si="17"/>
        <v>0</v>
      </c>
      <c r="K118" s="90">
        <f>J118*N(Crédits!$D$6)/12</f>
        <v>0</v>
      </c>
      <c r="L118" s="90">
        <f>MIN(N(Crédits!$E$6),J118+K118)</f>
        <v>0</v>
      </c>
      <c r="M118" s="90">
        <f t="shared" si="2"/>
        <v>0</v>
      </c>
      <c r="N118" s="91">
        <f>IF(Crédits!$K$6="",0,MAX(0,MIN(M118,Plan!$L$120-(IF(Crédits!$K$5="",0,IF(Crédits!$K$5&lt;Crédits!$K$6,E118,0))+IF(Crédits!$K$7="",0,IF(Crédits!$K$7&lt;Crédits!$K$6,U118,0))+IF(Crédits!$K$8="",0,IF(Crédits!$K$8&lt;Crédits!$K$6,AC118,0))+IF(Crédits!$K$9="",0,IF(Crédits!$K$9&lt;Crédits!$K$6,AK118,0))+IF(Crédits!$K$10="",0,IF(Crédits!$K$10&lt;Crédits!$K$6,AS118,0))))))</f>
        <v>0</v>
      </c>
      <c r="O118" s="92">
        <f t="shared" si="3"/>
        <v>0</v>
      </c>
      <c r="P118" s="88">
        <f>ROUND(P117+Q118-MIN(N(Crédits!$E$6),P117+Q118),2)</f>
        <v>0</v>
      </c>
      <c r="Q118" s="89">
        <f>P117*N(Crédits!$D$6)/12</f>
        <v>0</v>
      </c>
      <c r="R118" s="93">
        <f t="shared" si="18"/>
        <v>0</v>
      </c>
      <c r="S118" s="93">
        <f>R118*N(Crédits!$D$7)/12</f>
        <v>0</v>
      </c>
      <c r="T118" s="93">
        <f>MIN(N(Crédits!$E$7),R118+S118)</f>
        <v>0</v>
      </c>
      <c r="U118" s="93">
        <f t="shared" si="4"/>
        <v>0</v>
      </c>
      <c r="V118" s="94">
        <f>IF(Crédits!$K$7="",0,MAX(0,MIN(U118,Plan!$L$120-(IF(Crédits!$K$5="",0,IF(Crédits!$K$5&lt;Crédits!$K$7,E118,0))+IF(Crédits!$K$6="",0,IF(Crédits!$K$6&lt;Crédits!$K$7,M118,0))+IF(Crédits!$K$8="",0,IF(Crédits!$K$8&lt;Crédits!$K$7,AC118,0))+IF(Crédits!$K$9="",0,IF(Crédits!$K$9&lt;Crédits!$K$7,AK118,0))+IF(Crédits!$K$10="",0,IF(Crédits!$K$10&lt;Crédits!$K$7,AS118,0))))))</f>
        <v>0</v>
      </c>
      <c r="W118" s="95">
        <f t="shared" si="5"/>
        <v>0</v>
      </c>
      <c r="X118" s="88">
        <f>ROUND(X117+Y118-MIN(N(Crédits!$E$7),X117+Y118),2)</f>
        <v>0</v>
      </c>
      <c r="Y118" s="89">
        <f>X117*N(Crédits!$D$7)/12</f>
        <v>0</v>
      </c>
      <c r="Z118" s="96">
        <f t="shared" si="19"/>
        <v>0</v>
      </c>
      <c r="AA118" s="96">
        <f>Z118*N(Crédits!$D$8)/12</f>
        <v>0</v>
      </c>
      <c r="AB118" s="96">
        <f>MIN(N(Crédits!$E$8),Z118+AA118)</f>
        <v>0</v>
      </c>
      <c r="AC118" s="96">
        <f t="shared" si="6"/>
        <v>0</v>
      </c>
      <c r="AD118" s="97">
        <f>IF(Crédits!$K$8="",0,MAX(0,MIN(AC118,Plan!$L$120-(IF(Crédits!$K$5="",0,IF(Crédits!$K$5&lt;Crédits!$K$8,E118,0))+IF(Crédits!$K$6="",0,IF(Crédits!$K$6&lt;Crédits!$K$8,M118,0))+IF(Crédits!$K$7="",0,IF(Crédits!$K$7&lt;Crédits!$K$8,U118,0))+IF(Crédits!$K$9="",0,IF(Crédits!$K$9&lt;Crédits!$K$8,AK118,0))+IF(Crédits!$K$10="",0,IF(Crédits!$K$10&lt;Crédits!$K$8,AS118,0))))))</f>
        <v>0</v>
      </c>
      <c r="AE118" s="98">
        <f t="shared" si="7"/>
        <v>0</v>
      </c>
      <c r="AF118" s="88">
        <f>ROUND(AF117+AG118-MIN(N(Crédits!$E$8),AF117+AG118),2)</f>
        <v>0</v>
      </c>
      <c r="AG118" s="89">
        <f>AF117*N(Crédits!$D$8)/12</f>
        <v>0</v>
      </c>
      <c r="AH118" s="99">
        <f t="shared" si="20"/>
        <v>0</v>
      </c>
      <c r="AI118" s="99">
        <f>AH118*N(Crédits!$D$9)/12</f>
        <v>0</v>
      </c>
      <c r="AJ118" s="99">
        <f>MIN(N(Crédits!$E$9),AH118+AI118)</f>
        <v>0</v>
      </c>
      <c r="AK118" s="99">
        <f t="shared" si="8"/>
        <v>0</v>
      </c>
      <c r="AL118" s="100">
        <f>IF(Crédits!$K$9="",0,MAX(0,MIN(AK118,Plan!$L$120-(IF(Crédits!$K$5="",0,IF(Crédits!$K$5&lt;Crédits!$K$9,E118,0))+IF(Crédits!$K$6="",0,IF(Crédits!$K$6&lt;Crédits!$K$9,M118,0))+IF(Crédits!$K$7="",0,IF(Crédits!$K$7&lt;Crédits!$K$9,U118,0))+IF(Crédits!$K$8="",0,IF(Crédits!$K$8&lt;Crédits!$K$9,AC118,0))+IF(Crédits!$K$10="",0,IF(Crédits!$K$10&lt;Crédits!$K$9,AS118,0))))))</f>
        <v>0</v>
      </c>
      <c r="AM118" s="101">
        <f t="shared" si="9"/>
        <v>0</v>
      </c>
      <c r="AN118" s="88">
        <f>ROUND(AN117+AO118-MIN(N(Crédits!$E$9),AN117+AO118),2)</f>
        <v>0</v>
      </c>
      <c r="AO118" s="89">
        <f>AN117*N(Crédits!$D$9)/12</f>
        <v>0</v>
      </c>
      <c r="AP118" s="102">
        <f t="shared" si="21"/>
        <v>0</v>
      </c>
      <c r="AQ118" s="102">
        <f>AP118*N(Crédits!$D$10)/12</f>
        <v>0</v>
      </c>
      <c r="AR118" s="102">
        <f>MIN(N(Crédits!$E$10),AP118+AQ118)</f>
        <v>0</v>
      </c>
      <c r="AS118" s="102">
        <f t="shared" si="10"/>
        <v>0</v>
      </c>
      <c r="AT118" s="103">
        <f>IF(Crédits!$K$10="",0,MAX(0,MIN(AS118,Plan!$L$120-(IF(Crédits!$K$5="",0,IF(Crédits!$K$5&lt;Crédits!$K$10,E118,0))+IF(Crédits!$K$6="",0,IF(Crédits!$K$6&lt;Crédits!$K$10,M118,0))+IF(Crédits!$K$7="",0,IF(Crédits!$K$7&lt;Crédits!$K$10,U118,0))+IF(Crédits!$K$8="",0,IF(Crédits!$K$8&lt;Crédits!$K$10,AC118,0))+IF(Crédits!$K$9="",0,IF(Crédits!$K$9&lt;Crédits!$K$10,AK118,0))))))</f>
        <v>0</v>
      </c>
      <c r="AU118" s="104">
        <f t="shared" si="11"/>
        <v>0</v>
      </c>
      <c r="AV118" s="88">
        <f>ROUND(AV117+AW118-MIN(N(Crédits!$E$10),AV117+AW118),2)</f>
        <v>0</v>
      </c>
      <c r="AW118" s="89">
        <f>AV117*N(Crédits!$D$10)/12</f>
        <v>0</v>
      </c>
      <c r="AX118" s="105">
        <f t="shared" si="12"/>
        <v>0</v>
      </c>
      <c r="AY118" s="105">
        <f t="shared" ref="AY118:AZ118" si="136">F118+N118+V118+AD118+AL118+AT118</f>
        <v>0</v>
      </c>
      <c r="AZ118" s="105">
        <f t="shared" si="136"/>
        <v>0</v>
      </c>
      <c r="BA118" s="105">
        <f t="shared" si="14"/>
        <v>0</v>
      </c>
      <c r="BB118" s="105">
        <f t="shared" si="15"/>
        <v>0</v>
      </c>
    </row>
    <row r="119" spans="1:54" ht="15" customHeight="1" x14ac:dyDescent="0.25">
      <c r="A119" s="2">
        <v>117</v>
      </c>
      <c r="B119" s="83">
        <f t="shared" si="16"/>
        <v>0</v>
      </c>
      <c r="C119" s="83">
        <f>B119*N(Crédits!$D$5)/12</f>
        <v>0</v>
      </c>
      <c r="D119" s="83">
        <f>MIN(N(Crédits!$E$5),B119+C119)</f>
        <v>0</v>
      </c>
      <c r="E119" s="83">
        <f t="shared" si="0"/>
        <v>0</v>
      </c>
      <c r="F119" s="86">
        <f>IF(Crédits!$K$5="",0,MAX(0,MIN(E119,Plan!$L$121-(IF(Crédits!$K$6="",0,IF(Crédits!$K$6&lt;Crédits!$K$5,M119,0))+IF(Crédits!$K$7="",0,IF(Crédits!$K$7&lt;Crédits!$K$5,U119,0))+IF(Crédits!$K$8="",0,IF(Crédits!$K$8&lt;Crédits!$K$5,AC119,0))+IF(Crédits!$K$9="",0,IF(Crédits!$K$9&lt;Crédits!$K$5,AK119,0))+IF(Crédits!$K$10="",0,IF(Crédits!$K$10&lt;Crédits!$K$5,AS119,0))))))</f>
        <v>0</v>
      </c>
      <c r="G119" s="87">
        <f t="shared" si="1"/>
        <v>0</v>
      </c>
      <c r="H119" s="88">
        <f>ROUND(H118+I119-MIN(N(Crédits!$E$5),H118+I119),2)</f>
        <v>0</v>
      </c>
      <c r="I119" s="89">
        <f>H118*N(Crédits!$D$5)/12</f>
        <v>0</v>
      </c>
      <c r="J119" s="90">
        <f t="shared" si="17"/>
        <v>0</v>
      </c>
      <c r="K119" s="90">
        <f>J119*N(Crédits!$D$6)/12</f>
        <v>0</v>
      </c>
      <c r="L119" s="90">
        <f>MIN(N(Crédits!$E$6),J119+K119)</f>
        <v>0</v>
      </c>
      <c r="M119" s="90">
        <f t="shared" si="2"/>
        <v>0</v>
      </c>
      <c r="N119" s="91">
        <f>IF(Crédits!$K$6="",0,MAX(0,MIN(M119,Plan!$L$121-(IF(Crédits!$K$5="",0,IF(Crédits!$K$5&lt;Crédits!$K$6,E119,0))+IF(Crédits!$K$7="",0,IF(Crédits!$K$7&lt;Crédits!$K$6,U119,0))+IF(Crédits!$K$8="",0,IF(Crédits!$K$8&lt;Crédits!$K$6,AC119,0))+IF(Crédits!$K$9="",0,IF(Crédits!$K$9&lt;Crédits!$K$6,AK119,0))+IF(Crédits!$K$10="",0,IF(Crédits!$K$10&lt;Crédits!$K$6,AS119,0))))))</f>
        <v>0</v>
      </c>
      <c r="O119" s="92">
        <f t="shared" si="3"/>
        <v>0</v>
      </c>
      <c r="P119" s="88">
        <f>ROUND(P118+Q119-MIN(N(Crédits!$E$6),P118+Q119),2)</f>
        <v>0</v>
      </c>
      <c r="Q119" s="89">
        <f>P118*N(Crédits!$D$6)/12</f>
        <v>0</v>
      </c>
      <c r="R119" s="93">
        <f t="shared" si="18"/>
        <v>0</v>
      </c>
      <c r="S119" s="93">
        <f>R119*N(Crédits!$D$7)/12</f>
        <v>0</v>
      </c>
      <c r="T119" s="93">
        <f>MIN(N(Crédits!$E$7),R119+S119)</f>
        <v>0</v>
      </c>
      <c r="U119" s="93">
        <f t="shared" si="4"/>
        <v>0</v>
      </c>
      <c r="V119" s="94">
        <f>IF(Crédits!$K$7="",0,MAX(0,MIN(U119,Plan!$L$121-(IF(Crédits!$K$5="",0,IF(Crédits!$K$5&lt;Crédits!$K$7,E119,0))+IF(Crédits!$K$6="",0,IF(Crédits!$K$6&lt;Crédits!$K$7,M119,0))+IF(Crédits!$K$8="",0,IF(Crédits!$K$8&lt;Crédits!$K$7,AC119,0))+IF(Crédits!$K$9="",0,IF(Crédits!$K$9&lt;Crédits!$K$7,AK119,0))+IF(Crédits!$K$10="",0,IF(Crédits!$K$10&lt;Crédits!$K$7,AS119,0))))))</f>
        <v>0</v>
      </c>
      <c r="W119" s="95">
        <f t="shared" si="5"/>
        <v>0</v>
      </c>
      <c r="X119" s="88">
        <f>ROUND(X118+Y119-MIN(N(Crédits!$E$7),X118+Y119),2)</f>
        <v>0</v>
      </c>
      <c r="Y119" s="89">
        <f>X118*N(Crédits!$D$7)/12</f>
        <v>0</v>
      </c>
      <c r="Z119" s="96">
        <f t="shared" si="19"/>
        <v>0</v>
      </c>
      <c r="AA119" s="96">
        <f>Z119*N(Crédits!$D$8)/12</f>
        <v>0</v>
      </c>
      <c r="AB119" s="96">
        <f>MIN(N(Crédits!$E$8),Z119+AA119)</f>
        <v>0</v>
      </c>
      <c r="AC119" s="96">
        <f t="shared" si="6"/>
        <v>0</v>
      </c>
      <c r="AD119" s="97">
        <f>IF(Crédits!$K$8="",0,MAX(0,MIN(AC119,Plan!$L$121-(IF(Crédits!$K$5="",0,IF(Crédits!$K$5&lt;Crédits!$K$8,E119,0))+IF(Crédits!$K$6="",0,IF(Crédits!$K$6&lt;Crédits!$K$8,M119,0))+IF(Crédits!$K$7="",0,IF(Crédits!$K$7&lt;Crédits!$K$8,U119,0))+IF(Crédits!$K$9="",0,IF(Crédits!$K$9&lt;Crédits!$K$8,AK119,0))+IF(Crédits!$K$10="",0,IF(Crédits!$K$10&lt;Crédits!$K$8,AS119,0))))))</f>
        <v>0</v>
      </c>
      <c r="AE119" s="98">
        <f t="shared" si="7"/>
        <v>0</v>
      </c>
      <c r="AF119" s="88">
        <f>ROUND(AF118+AG119-MIN(N(Crédits!$E$8),AF118+AG119),2)</f>
        <v>0</v>
      </c>
      <c r="AG119" s="89">
        <f>AF118*N(Crédits!$D$8)/12</f>
        <v>0</v>
      </c>
      <c r="AH119" s="99">
        <f t="shared" si="20"/>
        <v>0</v>
      </c>
      <c r="AI119" s="99">
        <f>AH119*N(Crédits!$D$9)/12</f>
        <v>0</v>
      </c>
      <c r="AJ119" s="99">
        <f>MIN(N(Crédits!$E$9),AH119+AI119)</f>
        <v>0</v>
      </c>
      <c r="AK119" s="99">
        <f t="shared" si="8"/>
        <v>0</v>
      </c>
      <c r="AL119" s="100">
        <f>IF(Crédits!$K$9="",0,MAX(0,MIN(AK119,Plan!$L$121-(IF(Crédits!$K$5="",0,IF(Crédits!$K$5&lt;Crédits!$K$9,E119,0))+IF(Crédits!$K$6="",0,IF(Crédits!$K$6&lt;Crédits!$K$9,M119,0))+IF(Crédits!$K$7="",0,IF(Crédits!$K$7&lt;Crédits!$K$9,U119,0))+IF(Crédits!$K$8="",0,IF(Crédits!$K$8&lt;Crédits!$K$9,AC119,0))+IF(Crédits!$K$10="",0,IF(Crédits!$K$10&lt;Crédits!$K$9,AS119,0))))))</f>
        <v>0</v>
      </c>
      <c r="AM119" s="101">
        <f t="shared" si="9"/>
        <v>0</v>
      </c>
      <c r="AN119" s="88">
        <f>ROUND(AN118+AO119-MIN(N(Crédits!$E$9),AN118+AO119),2)</f>
        <v>0</v>
      </c>
      <c r="AO119" s="89">
        <f>AN118*N(Crédits!$D$9)/12</f>
        <v>0</v>
      </c>
      <c r="AP119" s="102">
        <f t="shared" si="21"/>
        <v>0</v>
      </c>
      <c r="AQ119" s="102">
        <f>AP119*N(Crédits!$D$10)/12</f>
        <v>0</v>
      </c>
      <c r="AR119" s="102">
        <f>MIN(N(Crédits!$E$10),AP119+AQ119)</f>
        <v>0</v>
      </c>
      <c r="AS119" s="102">
        <f t="shared" si="10"/>
        <v>0</v>
      </c>
      <c r="AT119" s="103">
        <f>IF(Crédits!$K$10="",0,MAX(0,MIN(AS119,Plan!$L$121-(IF(Crédits!$K$5="",0,IF(Crédits!$K$5&lt;Crédits!$K$10,E119,0))+IF(Crédits!$K$6="",0,IF(Crédits!$K$6&lt;Crédits!$K$10,M119,0))+IF(Crédits!$K$7="",0,IF(Crédits!$K$7&lt;Crédits!$K$10,U119,0))+IF(Crédits!$K$8="",0,IF(Crédits!$K$8&lt;Crédits!$K$10,AC119,0))+IF(Crédits!$K$9="",0,IF(Crédits!$K$9&lt;Crédits!$K$10,AK119,0))))))</f>
        <v>0</v>
      </c>
      <c r="AU119" s="104">
        <f t="shared" si="11"/>
        <v>0</v>
      </c>
      <c r="AV119" s="88">
        <f>ROUND(AV118+AW119-MIN(N(Crédits!$E$10),AV118+AW119),2)</f>
        <v>0</v>
      </c>
      <c r="AW119" s="89">
        <f>AV118*N(Crédits!$D$10)/12</f>
        <v>0</v>
      </c>
      <c r="AX119" s="105">
        <f t="shared" si="12"/>
        <v>0</v>
      </c>
      <c r="AY119" s="105">
        <f t="shared" ref="AY119:AZ119" si="137">F119+N119+V119+AD119+AL119+AT119</f>
        <v>0</v>
      </c>
      <c r="AZ119" s="105">
        <f t="shared" si="137"/>
        <v>0</v>
      </c>
      <c r="BA119" s="105">
        <f t="shared" si="14"/>
        <v>0</v>
      </c>
      <c r="BB119" s="105">
        <f t="shared" si="15"/>
        <v>0</v>
      </c>
    </row>
    <row r="120" spans="1:54" ht="15" customHeight="1" x14ac:dyDescent="0.25">
      <c r="A120" s="2">
        <v>118</v>
      </c>
      <c r="B120" s="83">
        <f t="shared" si="16"/>
        <v>0</v>
      </c>
      <c r="C120" s="83">
        <f>B120*N(Crédits!$D$5)/12</f>
        <v>0</v>
      </c>
      <c r="D120" s="83">
        <f>MIN(N(Crédits!$E$5),B120+C120)</f>
        <v>0</v>
      </c>
      <c r="E120" s="83">
        <f t="shared" si="0"/>
        <v>0</v>
      </c>
      <c r="F120" s="86">
        <f>IF(Crédits!$K$5="",0,MAX(0,MIN(E120,Plan!$L$122-(IF(Crédits!$K$6="",0,IF(Crédits!$K$6&lt;Crédits!$K$5,M120,0))+IF(Crédits!$K$7="",0,IF(Crédits!$K$7&lt;Crédits!$K$5,U120,0))+IF(Crédits!$K$8="",0,IF(Crédits!$K$8&lt;Crédits!$K$5,AC120,0))+IF(Crédits!$K$9="",0,IF(Crédits!$K$9&lt;Crédits!$K$5,AK120,0))+IF(Crédits!$K$10="",0,IF(Crédits!$K$10&lt;Crédits!$K$5,AS120,0))))))</f>
        <v>0</v>
      </c>
      <c r="G120" s="87">
        <f t="shared" si="1"/>
        <v>0</v>
      </c>
      <c r="H120" s="88">
        <f>ROUND(H119+I120-MIN(N(Crédits!$E$5),H119+I120),2)</f>
        <v>0</v>
      </c>
      <c r="I120" s="89">
        <f>H119*N(Crédits!$D$5)/12</f>
        <v>0</v>
      </c>
      <c r="J120" s="90">
        <f t="shared" si="17"/>
        <v>0</v>
      </c>
      <c r="K120" s="90">
        <f>J120*N(Crédits!$D$6)/12</f>
        <v>0</v>
      </c>
      <c r="L120" s="90">
        <f>MIN(N(Crédits!$E$6),J120+K120)</f>
        <v>0</v>
      </c>
      <c r="M120" s="90">
        <f t="shared" si="2"/>
        <v>0</v>
      </c>
      <c r="N120" s="91">
        <f>IF(Crédits!$K$6="",0,MAX(0,MIN(M120,Plan!$L$122-(IF(Crédits!$K$5="",0,IF(Crédits!$K$5&lt;Crédits!$K$6,E120,0))+IF(Crédits!$K$7="",0,IF(Crédits!$K$7&lt;Crédits!$K$6,U120,0))+IF(Crédits!$K$8="",0,IF(Crédits!$K$8&lt;Crédits!$K$6,AC120,0))+IF(Crédits!$K$9="",0,IF(Crédits!$K$9&lt;Crédits!$K$6,AK120,0))+IF(Crédits!$K$10="",0,IF(Crédits!$K$10&lt;Crédits!$K$6,AS120,0))))))</f>
        <v>0</v>
      </c>
      <c r="O120" s="92">
        <f t="shared" si="3"/>
        <v>0</v>
      </c>
      <c r="P120" s="88">
        <f>ROUND(P119+Q120-MIN(N(Crédits!$E$6),P119+Q120),2)</f>
        <v>0</v>
      </c>
      <c r="Q120" s="89">
        <f>P119*N(Crédits!$D$6)/12</f>
        <v>0</v>
      </c>
      <c r="R120" s="93">
        <f t="shared" si="18"/>
        <v>0</v>
      </c>
      <c r="S120" s="93">
        <f>R120*N(Crédits!$D$7)/12</f>
        <v>0</v>
      </c>
      <c r="T120" s="93">
        <f>MIN(N(Crédits!$E$7),R120+S120)</f>
        <v>0</v>
      </c>
      <c r="U120" s="93">
        <f t="shared" si="4"/>
        <v>0</v>
      </c>
      <c r="V120" s="94">
        <f>IF(Crédits!$K$7="",0,MAX(0,MIN(U120,Plan!$L$122-(IF(Crédits!$K$5="",0,IF(Crédits!$K$5&lt;Crédits!$K$7,E120,0))+IF(Crédits!$K$6="",0,IF(Crédits!$K$6&lt;Crédits!$K$7,M120,0))+IF(Crédits!$K$8="",0,IF(Crédits!$K$8&lt;Crédits!$K$7,AC120,0))+IF(Crédits!$K$9="",0,IF(Crédits!$K$9&lt;Crédits!$K$7,AK120,0))+IF(Crédits!$K$10="",0,IF(Crédits!$K$10&lt;Crédits!$K$7,AS120,0))))))</f>
        <v>0</v>
      </c>
      <c r="W120" s="95">
        <f t="shared" si="5"/>
        <v>0</v>
      </c>
      <c r="X120" s="88">
        <f>ROUND(X119+Y120-MIN(N(Crédits!$E$7),X119+Y120),2)</f>
        <v>0</v>
      </c>
      <c r="Y120" s="89">
        <f>X119*N(Crédits!$D$7)/12</f>
        <v>0</v>
      </c>
      <c r="Z120" s="96">
        <f t="shared" si="19"/>
        <v>0</v>
      </c>
      <c r="AA120" s="96">
        <f>Z120*N(Crédits!$D$8)/12</f>
        <v>0</v>
      </c>
      <c r="AB120" s="96">
        <f>MIN(N(Crédits!$E$8),Z120+AA120)</f>
        <v>0</v>
      </c>
      <c r="AC120" s="96">
        <f t="shared" si="6"/>
        <v>0</v>
      </c>
      <c r="AD120" s="97">
        <f>IF(Crédits!$K$8="",0,MAX(0,MIN(AC120,Plan!$L$122-(IF(Crédits!$K$5="",0,IF(Crédits!$K$5&lt;Crédits!$K$8,E120,0))+IF(Crédits!$K$6="",0,IF(Crédits!$K$6&lt;Crédits!$K$8,M120,0))+IF(Crédits!$K$7="",0,IF(Crédits!$K$7&lt;Crédits!$K$8,U120,0))+IF(Crédits!$K$9="",0,IF(Crédits!$K$9&lt;Crédits!$K$8,AK120,0))+IF(Crédits!$K$10="",0,IF(Crédits!$K$10&lt;Crédits!$K$8,AS120,0))))))</f>
        <v>0</v>
      </c>
      <c r="AE120" s="98">
        <f t="shared" si="7"/>
        <v>0</v>
      </c>
      <c r="AF120" s="88">
        <f>ROUND(AF119+AG120-MIN(N(Crédits!$E$8),AF119+AG120),2)</f>
        <v>0</v>
      </c>
      <c r="AG120" s="89">
        <f>AF119*N(Crédits!$D$8)/12</f>
        <v>0</v>
      </c>
      <c r="AH120" s="99">
        <f t="shared" si="20"/>
        <v>0</v>
      </c>
      <c r="AI120" s="99">
        <f>AH120*N(Crédits!$D$9)/12</f>
        <v>0</v>
      </c>
      <c r="AJ120" s="99">
        <f>MIN(N(Crédits!$E$9),AH120+AI120)</f>
        <v>0</v>
      </c>
      <c r="AK120" s="99">
        <f t="shared" si="8"/>
        <v>0</v>
      </c>
      <c r="AL120" s="100">
        <f>IF(Crédits!$K$9="",0,MAX(0,MIN(AK120,Plan!$L$122-(IF(Crédits!$K$5="",0,IF(Crédits!$K$5&lt;Crédits!$K$9,E120,0))+IF(Crédits!$K$6="",0,IF(Crédits!$K$6&lt;Crédits!$K$9,M120,0))+IF(Crédits!$K$7="",0,IF(Crédits!$K$7&lt;Crédits!$K$9,U120,0))+IF(Crédits!$K$8="",0,IF(Crédits!$K$8&lt;Crédits!$K$9,AC120,0))+IF(Crédits!$K$10="",0,IF(Crédits!$K$10&lt;Crédits!$K$9,AS120,0))))))</f>
        <v>0</v>
      </c>
      <c r="AM120" s="101">
        <f t="shared" si="9"/>
        <v>0</v>
      </c>
      <c r="AN120" s="88">
        <f>ROUND(AN119+AO120-MIN(N(Crédits!$E$9),AN119+AO120),2)</f>
        <v>0</v>
      </c>
      <c r="AO120" s="89">
        <f>AN119*N(Crédits!$D$9)/12</f>
        <v>0</v>
      </c>
      <c r="AP120" s="102">
        <f t="shared" si="21"/>
        <v>0</v>
      </c>
      <c r="AQ120" s="102">
        <f>AP120*N(Crédits!$D$10)/12</f>
        <v>0</v>
      </c>
      <c r="AR120" s="102">
        <f>MIN(N(Crédits!$E$10),AP120+AQ120)</f>
        <v>0</v>
      </c>
      <c r="AS120" s="102">
        <f t="shared" si="10"/>
        <v>0</v>
      </c>
      <c r="AT120" s="103">
        <f>IF(Crédits!$K$10="",0,MAX(0,MIN(AS120,Plan!$L$122-(IF(Crédits!$K$5="",0,IF(Crédits!$K$5&lt;Crédits!$K$10,E120,0))+IF(Crédits!$K$6="",0,IF(Crédits!$K$6&lt;Crédits!$K$10,M120,0))+IF(Crédits!$K$7="",0,IF(Crédits!$K$7&lt;Crédits!$K$10,U120,0))+IF(Crédits!$K$8="",0,IF(Crédits!$K$8&lt;Crédits!$K$10,AC120,0))+IF(Crédits!$K$9="",0,IF(Crédits!$K$9&lt;Crédits!$K$10,AK120,0))))))</f>
        <v>0</v>
      </c>
      <c r="AU120" s="104">
        <f t="shared" si="11"/>
        <v>0</v>
      </c>
      <c r="AV120" s="88">
        <f>ROUND(AV119+AW120-MIN(N(Crédits!$E$10),AV119+AW120),2)</f>
        <v>0</v>
      </c>
      <c r="AW120" s="89">
        <f>AV119*N(Crédits!$D$10)/12</f>
        <v>0</v>
      </c>
      <c r="AX120" s="105">
        <f t="shared" si="12"/>
        <v>0</v>
      </c>
      <c r="AY120" s="105">
        <f t="shared" ref="AY120:AZ120" si="138">F120+N120+V120+AD120+AL120+AT120</f>
        <v>0</v>
      </c>
      <c r="AZ120" s="105">
        <f t="shared" si="138"/>
        <v>0</v>
      </c>
      <c r="BA120" s="105">
        <f t="shared" si="14"/>
        <v>0</v>
      </c>
      <c r="BB120" s="105">
        <f t="shared" si="15"/>
        <v>0</v>
      </c>
    </row>
    <row r="121" spans="1:54" ht="15" customHeight="1" x14ac:dyDescent="0.25">
      <c r="A121" s="2">
        <v>119</v>
      </c>
      <c r="B121" s="83">
        <f t="shared" si="16"/>
        <v>0</v>
      </c>
      <c r="C121" s="83">
        <f>B121*N(Crédits!$D$5)/12</f>
        <v>0</v>
      </c>
      <c r="D121" s="83">
        <f>MIN(N(Crédits!$E$5),B121+C121)</f>
        <v>0</v>
      </c>
      <c r="E121" s="83">
        <f t="shared" si="0"/>
        <v>0</v>
      </c>
      <c r="F121" s="86">
        <f>IF(Crédits!$K$5="",0,MAX(0,MIN(E121,Plan!$L$123-(IF(Crédits!$K$6="",0,IF(Crédits!$K$6&lt;Crédits!$K$5,M121,0))+IF(Crédits!$K$7="",0,IF(Crédits!$K$7&lt;Crédits!$K$5,U121,0))+IF(Crédits!$K$8="",0,IF(Crédits!$K$8&lt;Crédits!$K$5,AC121,0))+IF(Crédits!$K$9="",0,IF(Crédits!$K$9&lt;Crédits!$K$5,AK121,0))+IF(Crédits!$K$10="",0,IF(Crédits!$K$10&lt;Crédits!$K$5,AS121,0))))))</f>
        <v>0</v>
      </c>
      <c r="G121" s="87">
        <f t="shared" si="1"/>
        <v>0</v>
      </c>
      <c r="H121" s="88">
        <f>ROUND(H120+I121-MIN(N(Crédits!$E$5),H120+I121),2)</f>
        <v>0</v>
      </c>
      <c r="I121" s="89">
        <f>H120*N(Crédits!$D$5)/12</f>
        <v>0</v>
      </c>
      <c r="J121" s="90">
        <f t="shared" si="17"/>
        <v>0</v>
      </c>
      <c r="K121" s="90">
        <f>J121*N(Crédits!$D$6)/12</f>
        <v>0</v>
      </c>
      <c r="L121" s="90">
        <f>MIN(N(Crédits!$E$6),J121+K121)</f>
        <v>0</v>
      </c>
      <c r="M121" s="90">
        <f t="shared" si="2"/>
        <v>0</v>
      </c>
      <c r="N121" s="91">
        <f>IF(Crédits!$K$6="",0,MAX(0,MIN(M121,Plan!$L$123-(IF(Crédits!$K$5="",0,IF(Crédits!$K$5&lt;Crédits!$K$6,E121,0))+IF(Crédits!$K$7="",0,IF(Crédits!$K$7&lt;Crédits!$K$6,U121,0))+IF(Crédits!$K$8="",0,IF(Crédits!$K$8&lt;Crédits!$K$6,AC121,0))+IF(Crédits!$K$9="",0,IF(Crédits!$K$9&lt;Crédits!$K$6,AK121,0))+IF(Crédits!$K$10="",0,IF(Crédits!$K$10&lt;Crédits!$K$6,AS121,0))))))</f>
        <v>0</v>
      </c>
      <c r="O121" s="92">
        <f t="shared" si="3"/>
        <v>0</v>
      </c>
      <c r="P121" s="88">
        <f>ROUND(P120+Q121-MIN(N(Crédits!$E$6),P120+Q121),2)</f>
        <v>0</v>
      </c>
      <c r="Q121" s="89">
        <f>P120*N(Crédits!$D$6)/12</f>
        <v>0</v>
      </c>
      <c r="R121" s="93">
        <f t="shared" si="18"/>
        <v>0</v>
      </c>
      <c r="S121" s="93">
        <f>R121*N(Crédits!$D$7)/12</f>
        <v>0</v>
      </c>
      <c r="T121" s="93">
        <f>MIN(N(Crédits!$E$7),R121+S121)</f>
        <v>0</v>
      </c>
      <c r="U121" s="93">
        <f t="shared" si="4"/>
        <v>0</v>
      </c>
      <c r="V121" s="94">
        <f>IF(Crédits!$K$7="",0,MAX(0,MIN(U121,Plan!$L$123-(IF(Crédits!$K$5="",0,IF(Crédits!$K$5&lt;Crédits!$K$7,E121,0))+IF(Crédits!$K$6="",0,IF(Crédits!$K$6&lt;Crédits!$K$7,M121,0))+IF(Crédits!$K$8="",0,IF(Crédits!$K$8&lt;Crédits!$K$7,AC121,0))+IF(Crédits!$K$9="",0,IF(Crédits!$K$9&lt;Crédits!$K$7,AK121,0))+IF(Crédits!$K$10="",0,IF(Crédits!$K$10&lt;Crédits!$K$7,AS121,0))))))</f>
        <v>0</v>
      </c>
      <c r="W121" s="95">
        <f t="shared" si="5"/>
        <v>0</v>
      </c>
      <c r="X121" s="88">
        <f>ROUND(X120+Y121-MIN(N(Crédits!$E$7),X120+Y121),2)</f>
        <v>0</v>
      </c>
      <c r="Y121" s="89">
        <f>X120*N(Crédits!$D$7)/12</f>
        <v>0</v>
      </c>
      <c r="Z121" s="96">
        <f t="shared" si="19"/>
        <v>0</v>
      </c>
      <c r="AA121" s="96">
        <f>Z121*N(Crédits!$D$8)/12</f>
        <v>0</v>
      </c>
      <c r="AB121" s="96">
        <f>MIN(N(Crédits!$E$8),Z121+AA121)</f>
        <v>0</v>
      </c>
      <c r="AC121" s="96">
        <f t="shared" si="6"/>
        <v>0</v>
      </c>
      <c r="AD121" s="97">
        <f>IF(Crédits!$K$8="",0,MAX(0,MIN(AC121,Plan!$L$123-(IF(Crédits!$K$5="",0,IF(Crédits!$K$5&lt;Crédits!$K$8,E121,0))+IF(Crédits!$K$6="",0,IF(Crédits!$K$6&lt;Crédits!$K$8,M121,0))+IF(Crédits!$K$7="",0,IF(Crédits!$K$7&lt;Crédits!$K$8,U121,0))+IF(Crédits!$K$9="",0,IF(Crédits!$K$9&lt;Crédits!$K$8,AK121,0))+IF(Crédits!$K$10="",0,IF(Crédits!$K$10&lt;Crédits!$K$8,AS121,0))))))</f>
        <v>0</v>
      </c>
      <c r="AE121" s="98">
        <f t="shared" si="7"/>
        <v>0</v>
      </c>
      <c r="AF121" s="88">
        <f>ROUND(AF120+AG121-MIN(N(Crédits!$E$8),AF120+AG121),2)</f>
        <v>0</v>
      </c>
      <c r="AG121" s="89">
        <f>AF120*N(Crédits!$D$8)/12</f>
        <v>0</v>
      </c>
      <c r="AH121" s="99">
        <f t="shared" si="20"/>
        <v>0</v>
      </c>
      <c r="AI121" s="99">
        <f>AH121*N(Crédits!$D$9)/12</f>
        <v>0</v>
      </c>
      <c r="AJ121" s="99">
        <f>MIN(N(Crédits!$E$9),AH121+AI121)</f>
        <v>0</v>
      </c>
      <c r="AK121" s="99">
        <f t="shared" si="8"/>
        <v>0</v>
      </c>
      <c r="AL121" s="100">
        <f>IF(Crédits!$K$9="",0,MAX(0,MIN(AK121,Plan!$L$123-(IF(Crédits!$K$5="",0,IF(Crédits!$K$5&lt;Crédits!$K$9,E121,0))+IF(Crédits!$K$6="",0,IF(Crédits!$K$6&lt;Crédits!$K$9,M121,0))+IF(Crédits!$K$7="",0,IF(Crédits!$K$7&lt;Crédits!$K$9,U121,0))+IF(Crédits!$K$8="",0,IF(Crédits!$K$8&lt;Crédits!$K$9,AC121,0))+IF(Crédits!$K$10="",0,IF(Crédits!$K$10&lt;Crédits!$K$9,AS121,0))))))</f>
        <v>0</v>
      </c>
      <c r="AM121" s="101">
        <f t="shared" si="9"/>
        <v>0</v>
      </c>
      <c r="AN121" s="88">
        <f>ROUND(AN120+AO121-MIN(N(Crédits!$E$9),AN120+AO121),2)</f>
        <v>0</v>
      </c>
      <c r="AO121" s="89">
        <f>AN120*N(Crédits!$D$9)/12</f>
        <v>0</v>
      </c>
      <c r="AP121" s="102">
        <f t="shared" si="21"/>
        <v>0</v>
      </c>
      <c r="AQ121" s="102">
        <f>AP121*N(Crédits!$D$10)/12</f>
        <v>0</v>
      </c>
      <c r="AR121" s="102">
        <f>MIN(N(Crédits!$E$10),AP121+AQ121)</f>
        <v>0</v>
      </c>
      <c r="AS121" s="102">
        <f t="shared" si="10"/>
        <v>0</v>
      </c>
      <c r="AT121" s="103">
        <f>IF(Crédits!$K$10="",0,MAX(0,MIN(AS121,Plan!$L$123-(IF(Crédits!$K$5="",0,IF(Crédits!$K$5&lt;Crédits!$K$10,E121,0))+IF(Crédits!$K$6="",0,IF(Crédits!$K$6&lt;Crédits!$K$10,M121,0))+IF(Crédits!$K$7="",0,IF(Crédits!$K$7&lt;Crédits!$K$10,U121,0))+IF(Crédits!$K$8="",0,IF(Crédits!$K$8&lt;Crédits!$K$10,AC121,0))+IF(Crédits!$K$9="",0,IF(Crédits!$K$9&lt;Crédits!$K$10,AK121,0))))))</f>
        <v>0</v>
      </c>
      <c r="AU121" s="104">
        <f t="shared" si="11"/>
        <v>0</v>
      </c>
      <c r="AV121" s="88">
        <f>ROUND(AV120+AW121-MIN(N(Crédits!$E$10),AV120+AW121),2)</f>
        <v>0</v>
      </c>
      <c r="AW121" s="89">
        <f>AV120*N(Crédits!$D$10)/12</f>
        <v>0</v>
      </c>
      <c r="AX121" s="105">
        <f t="shared" si="12"/>
        <v>0</v>
      </c>
      <c r="AY121" s="105">
        <f t="shared" ref="AY121:AZ121" si="139">F121+N121+V121+AD121+AL121+AT121</f>
        <v>0</v>
      </c>
      <c r="AZ121" s="105">
        <f t="shared" si="139"/>
        <v>0</v>
      </c>
      <c r="BA121" s="105">
        <f t="shared" si="14"/>
        <v>0</v>
      </c>
      <c r="BB121" s="105">
        <f t="shared" si="15"/>
        <v>0</v>
      </c>
    </row>
    <row r="122" spans="1:54" ht="15" customHeight="1" x14ac:dyDescent="0.25">
      <c r="A122" s="2">
        <v>120</v>
      </c>
      <c r="B122" s="83">
        <f t="shared" si="16"/>
        <v>0</v>
      </c>
      <c r="C122" s="83">
        <f>B122*N(Crédits!$D$5)/12</f>
        <v>0</v>
      </c>
      <c r="D122" s="83">
        <f>MIN(N(Crédits!$E$5),B122+C122)</f>
        <v>0</v>
      </c>
      <c r="E122" s="83">
        <f t="shared" si="0"/>
        <v>0</v>
      </c>
      <c r="F122" s="86">
        <f>IF(Crédits!$K$5="",0,MAX(0,MIN(E122,Plan!$L$124-(IF(Crédits!$K$6="",0,IF(Crédits!$K$6&lt;Crédits!$K$5,M122,0))+IF(Crédits!$K$7="",0,IF(Crédits!$K$7&lt;Crédits!$K$5,U122,0))+IF(Crédits!$K$8="",0,IF(Crédits!$K$8&lt;Crédits!$K$5,AC122,0))+IF(Crédits!$K$9="",0,IF(Crédits!$K$9&lt;Crédits!$K$5,AK122,0))+IF(Crédits!$K$10="",0,IF(Crédits!$K$10&lt;Crédits!$K$5,AS122,0))))))</f>
        <v>0</v>
      </c>
      <c r="G122" s="87">
        <f t="shared" si="1"/>
        <v>0</v>
      </c>
      <c r="H122" s="88">
        <f>ROUND(H121+I122-MIN(N(Crédits!$E$5),H121+I122),2)</f>
        <v>0</v>
      </c>
      <c r="I122" s="89">
        <f>H121*N(Crédits!$D$5)/12</f>
        <v>0</v>
      </c>
      <c r="J122" s="90">
        <f t="shared" si="17"/>
        <v>0</v>
      </c>
      <c r="K122" s="90">
        <f>J122*N(Crédits!$D$6)/12</f>
        <v>0</v>
      </c>
      <c r="L122" s="90">
        <f>MIN(N(Crédits!$E$6),J122+K122)</f>
        <v>0</v>
      </c>
      <c r="M122" s="90">
        <f t="shared" si="2"/>
        <v>0</v>
      </c>
      <c r="N122" s="91">
        <f>IF(Crédits!$K$6="",0,MAX(0,MIN(M122,Plan!$L$124-(IF(Crédits!$K$5="",0,IF(Crédits!$K$5&lt;Crédits!$K$6,E122,0))+IF(Crédits!$K$7="",0,IF(Crédits!$K$7&lt;Crédits!$K$6,U122,0))+IF(Crédits!$K$8="",0,IF(Crédits!$K$8&lt;Crédits!$K$6,AC122,0))+IF(Crédits!$K$9="",0,IF(Crédits!$K$9&lt;Crédits!$K$6,AK122,0))+IF(Crédits!$K$10="",0,IF(Crédits!$K$10&lt;Crédits!$K$6,AS122,0))))))</f>
        <v>0</v>
      </c>
      <c r="O122" s="92">
        <f t="shared" si="3"/>
        <v>0</v>
      </c>
      <c r="P122" s="88">
        <f>ROUND(P121+Q122-MIN(N(Crédits!$E$6),P121+Q122),2)</f>
        <v>0</v>
      </c>
      <c r="Q122" s="89">
        <f>P121*N(Crédits!$D$6)/12</f>
        <v>0</v>
      </c>
      <c r="R122" s="93">
        <f t="shared" si="18"/>
        <v>0</v>
      </c>
      <c r="S122" s="93">
        <f>R122*N(Crédits!$D$7)/12</f>
        <v>0</v>
      </c>
      <c r="T122" s="93">
        <f>MIN(N(Crédits!$E$7),R122+S122)</f>
        <v>0</v>
      </c>
      <c r="U122" s="93">
        <f t="shared" si="4"/>
        <v>0</v>
      </c>
      <c r="V122" s="94">
        <f>IF(Crédits!$K$7="",0,MAX(0,MIN(U122,Plan!$L$124-(IF(Crédits!$K$5="",0,IF(Crédits!$K$5&lt;Crédits!$K$7,E122,0))+IF(Crédits!$K$6="",0,IF(Crédits!$K$6&lt;Crédits!$K$7,M122,0))+IF(Crédits!$K$8="",0,IF(Crédits!$K$8&lt;Crédits!$K$7,AC122,0))+IF(Crédits!$K$9="",0,IF(Crédits!$K$9&lt;Crédits!$K$7,AK122,0))+IF(Crédits!$K$10="",0,IF(Crédits!$K$10&lt;Crédits!$K$7,AS122,0))))))</f>
        <v>0</v>
      </c>
      <c r="W122" s="95">
        <f t="shared" si="5"/>
        <v>0</v>
      </c>
      <c r="X122" s="88">
        <f>ROUND(X121+Y122-MIN(N(Crédits!$E$7),X121+Y122),2)</f>
        <v>0</v>
      </c>
      <c r="Y122" s="89">
        <f>X121*N(Crédits!$D$7)/12</f>
        <v>0</v>
      </c>
      <c r="Z122" s="96">
        <f t="shared" si="19"/>
        <v>0</v>
      </c>
      <c r="AA122" s="96">
        <f>Z122*N(Crédits!$D$8)/12</f>
        <v>0</v>
      </c>
      <c r="AB122" s="96">
        <f>MIN(N(Crédits!$E$8),Z122+AA122)</f>
        <v>0</v>
      </c>
      <c r="AC122" s="96">
        <f t="shared" si="6"/>
        <v>0</v>
      </c>
      <c r="AD122" s="97">
        <f>IF(Crédits!$K$8="",0,MAX(0,MIN(AC122,Plan!$L$124-(IF(Crédits!$K$5="",0,IF(Crédits!$K$5&lt;Crédits!$K$8,E122,0))+IF(Crédits!$K$6="",0,IF(Crédits!$K$6&lt;Crédits!$K$8,M122,0))+IF(Crédits!$K$7="",0,IF(Crédits!$K$7&lt;Crédits!$K$8,U122,0))+IF(Crédits!$K$9="",0,IF(Crédits!$K$9&lt;Crédits!$K$8,AK122,0))+IF(Crédits!$K$10="",0,IF(Crédits!$K$10&lt;Crédits!$K$8,AS122,0))))))</f>
        <v>0</v>
      </c>
      <c r="AE122" s="98">
        <f t="shared" si="7"/>
        <v>0</v>
      </c>
      <c r="AF122" s="88">
        <f>ROUND(AF121+AG122-MIN(N(Crédits!$E$8),AF121+AG122),2)</f>
        <v>0</v>
      </c>
      <c r="AG122" s="89">
        <f>AF121*N(Crédits!$D$8)/12</f>
        <v>0</v>
      </c>
      <c r="AH122" s="99">
        <f t="shared" si="20"/>
        <v>0</v>
      </c>
      <c r="AI122" s="99">
        <f>AH122*N(Crédits!$D$9)/12</f>
        <v>0</v>
      </c>
      <c r="AJ122" s="99">
        <f>MIN(N(Crédits!$E$9),AH122+AI122)</f>
        <v>0</v>
      </c>
      <c r="AK122" s="99">
        <f t="shared" si="8"/>
        <v>0</v>
      </c>
      <c r="AL122" s="100">
        <f>IF(Crédits!$K$9="",0,MAX(0,MIN(AK122,Plan!$L$124-(IF(Crédits!$K$5="",0,IF(Crédits!$K$5&lt;Crédits!$K$9,E122,0))+IF(Crédits!$K$6="",0,IF(Crédits!$K$6&lt;Crédits!$K$9,M122,0))+IF(Crédits!$K$7="",0,IF(Crédits!$K$7&lt;Crédits!$K$9,U122,0))+IF(Crédits!$K$8="",0,IF(Crédits!$K$8&lt;Crédits!$K$9,AC122,0))+IF(Crédits!$K$10="",0,IF(Crédits!$K$10&lt;Crédits!$K$9,AS122,0))))))</f>
        <v>0</v>
      </c>
      <c r="AM122" s="101">
        <f t="shared" si="9"/>
        <v>0</v>
      </c>
      <c r="AN122" s="88">
        <f>ROUND(AN121+AO122-MIN(N(Crédits!$E$9),AN121+AO122),2)</f>
        <v>0</v>
      </c>
      <c r="AO122" s="89">
        <f>AN121*N(Crédits!$D$9)/12</f>
        <v>0</v>
      </c>
      <c r="AP122" s="102">
        <f t="shared" si="21"/>
        <v>0</v>
      </c>
      <c r="AQ122" s="102">
        <f>AP122*N(Crédits!$D$10)/12</f>
        <v>0</v>
      </c>
      <c r="AR122" s="102">
        <f>MIN(N(Crédits!$E$10),AP122+AQ122)</f>
        <v>0</v>
      </c>
      <c r="AS122" s="102">
        <f t="shared" si="10"/>
        <v>0</v>
      </c>
      <c r="AT122" s="103">
        <f>IF(Crédits!$K$10="",0,MAX(0,MIN(AS122,Plan!$L$124-(IF(Crédits!$K$5="",0,IF(Crédits!$K$5&lt;Crédits!$K$10,E122,0))+IF(Crédits!$K$6="",0,IF(Crédits!$K$6&lt;Crédits!$K$10,M122,0))+IF(Crédits!$K$7="",0,IF(Crédits!$K$7&lt;Crédits!$K$10,U122,0))+IF(Crédits!$K$8="",0,IF(Crédits!$K$8&lt;Crédits!$K$10,AC122,0))+IF(Crédits!$K$9="",0,IF(Crédits!$K$9&lt;Crédits!$K$10,AK122,0))))))</f>
        <v>0</v>
      </c>
      <c r="AU122" s="104">
        <f t="shared" si="11"/>
        <v>0</v>
      </c>
      <c r="AV122" s="88">
        <f>ROUND(AV121+AW122-MIN(N(Crédits!$E$10),AV121+AW122),2)</f>
        <v>0</v>
      </c>
      <c r="AW122" s="89">
        <f>AV121*N(Crédits!$D$10)/12</f>
        <v>0</v>
      </c>
      <c r="AX122" s="105">
        <f t="shared" si="12"/>
        <v>0</v>
      </c>
      <c r="AY122" s="105">
        <f t="shared" ref="AY122:AZ122" si="140">F122+N122+V122+AD122+AL122+AT122</f>
        <v>0</v>
      </c>
      <c r="AZ122" s="105">
        <f t="shared" si="140"/>
        <v>0</v>
      </c>
      <c r="BA122" s="105">
        <f t="shared" si="14"/>
        <v>0</v>
      </c>
      <c r="BB122" s="105">
        <f t="shared" si="15"/>
        <v>0</v>
      </c>
    </row>
    <row r="123" spans="1:54" ht="15" customHeight="1" x14ac:dyDescent="0.25">
      <c r="A123" s="2">
        <v>121</v>
      </c>
      <c r="B123" s="83">
        <f t="shared" si="16"/>
        <v>0</v>
      </c>
      <c r="C123" s="83">
        <f>B123*N(Crédits!$D$5)/12</f>
        <v>0</v>
      </c>
      <c r="D123" s="83">
        <f>MIN(N(Crédits!$E$5),B123+C123)</f>
        <v>0</v>
      </c>
      <c r="E123" s="83">
        <f t="shared" si="0"/>
        <v>0</v>
      </c>
      <c r="F123" s="86">
        <f>IF(Crédits!$K$5="",0,MAX(0,MIN(E123,Plan!$L$125-(IF(Crédits!$K$6="",0,IF(Crédits!$K$6&lt;Crédits!$K$5,M123,0))+IF(Crédits!$K$7="",0,IF(Crédits!$K$7&lt;Crédits!$K$5,U123,0))+IF(Crédits!$K$8="",0,IF(Crédits!$K$8&lt;Crédits!$K$5,AC123,0))+IF(Crédits!$K$9="",0,IF(Crédits!$K$9&lt;Crédits!$K$5,AK123,0))+IF(Crédits!$K$10="",0,IF(Crédits!$K$10&lt;Crédits!$K$5,AS123,0))))))</f>
        <v>0</v>
      </c>
      <c r="G123" s="87">
        <f t="shared" si="1"/>
        <v>0</v>
      </c>
      <c r="H123" s="88">
        <f>ROUND(H122+I123-MIN(N(Crédits!$E$5),H122+I123),2)</f>
        <v>0</v>
      </c>
      <c r="I123" s="89">
        <f>H122*N(Crédits!$D$5)/12</f>
        <v>0</v>
      </c>
      <c r="J123" s="90">
        <f t="shared" si="17"/>
        <v>0</v>
      </c>
      <c r="K123" s="90">
        <f>J123*N(Crédits!$D$6)/12</f>
        <v>0</v>
      </c>
      <c r="L123" s="90">
        <f>MIN(N(Crédits!$E$6),J123+K123)</f>
        <v>0</v>
      </c>
      <c r="M123" s="90">
        <f t="shared" si="2"/>
        <v>0</v>
      </c>
      <c r="N123" s="91">
        <f>IF(Crédits!$K$6="",0,MAX(0,MIN(M123,Plan!$L$125-(IF(Crédits!$K$5="",0,IF(Crédits!$K$5&lt;Crédits!$K$6,E123,0))+IF(Crédits!$K$7="",0,IF(Crédits!$K$7&lt;Crédits!$K$6,U123,0))+IF(Crédits!$K$8="",0,IF(Crédits!$K$8&lt;Crédits!$K$6,AC123,0))+IF(Crédits!$K$9="",0,IF(Crédits!$K$9&lt;Crédits!$K$6,AK123,0))+IF(Crédits!$K$10="",0,IF(Crédits!$K$10&lt;Crédits!$K$6,AS123,0))))))</f>
        <v>0</v>
      </c>
      <c r="O123" s="92">
        <f t="shared" si="3"/>
        <v>0</v>
      </c>
      <c r="P123" s="88">
        <f>ROUND(P122+Q123-MIN(N(Crédits!$E$6),P122+Q123),2)</f>
        <v>0</v>
      </c>
      <c r="Q123" s="89">
        <f>P122*N(Crédits!$D$6)/12</f>
        <v>0</v>
      </c>
      <c r="R123" s="93">
        <f t="shared" si="18"/>
        <v>0</v>
      </c>
      <c r="S123" s="93">
        <f>R123*N(Crédits!$D$7)/12</f>
        <v>0</v>
      </c>
      <c r="T123" s="93">
        <f>MIN(N(Crédits!$E$7),R123+S123)</f>
        <v>0</v>
      </c>
      <c r="U123" s="93">
        <f t="shared" si="4"/>
        <v>0</v>
      </c>
      <c r="V123" s="94">
        <f>IF(Crédits!$K$7="",0,MAX(0,MIN(U123,Plan!$L$125-(IF(Crédits!$K$5="",0,IF(Crédits!$K$5&lt;Crédits!$K$7,E123,0))+IF(Crédits!$K$6="",0,IF(Crédits!$K$6&lt;Crédits!$K$7,M123,0))+IF(Crédits!$K$8="",0,IF(Crédits!$K$8&lt;Crédits!$K$7,AC123,0))+IF(Crédits!$K$9="",0,IF(Crédits!$K$9&lt;Crédits!$K$7,AK123,0))+IF(Crédits!$K$10="",0,IF(Crédits!$K$10&lt;Crédits!$K$7,AS123,0))))))</f>
        <v>0</v>
      </c>
      <c r="W123" s="95">
        <f t="shared" si="5"/>
        <v>0</v>
      </c>
      <c r="X123" s="88">
        <f>ROUND(X122+Y123-MIN(N(Crédits!$E$7),X122+Y123),2)</f>
        <v>0</v>
      </c>
      <c r="Y123" s="89">
        <f>X122*N(Crédits!$D$7)/12</f>
        <v>0</v>
      </c>
      <c r="Z123" s="96">
        <f t="shared" si="19"/>
        <v>0</v>
      </c>
      <c r="AA123" s="96">
        <f>Z123*N(Crédits!$D$8)/12</f>
        <v>0</v>
      </c>
      <c r="AB123" s="96">
        <f>MIN(N(Crédits!$E$8),Z123+AA123)</f>
        <v>0</v>
      </c>
      <c r="AC123" s="96">
        <f t="shared" si="6"/>
        <v>0</v>
      </c>
      <c r="AD123" s="97">
        <f>IF(Crédits!$K$8="",0,MAX(0,MIN(AC123,Plan!$L$125-(IF(Crédits!$K$5="",0,IF(Crédits!$K$5&lt;Crédits!$K$8,E123,0))+IF(Crédits!$K$6="",0,IF(Crédits!$K$6&lt;Crédits!$K$8,M123,0))+IF(Crédits!$K$7="",0,IF(Crédits!$K$7&lt;Crédits!$K$8,U123,0))+IF(Crédits!$K$9="",0,IF(Crédits!$K$9&lt;Crédits!$K$8,AK123,0))+IF(Crédits!$K$10="",0,IF(Crédits!$K$10&lt;Crédits!$K$8,AS123,0))))))</f>
        <v>0</v>
      </c>
      <c r="AE123" s="98">
        <f t="shared" si="7"/>
        <v>0</v>
      </c>
      <c r="AF123" s="88">
        <f>ROUND(AF122+AG123-MIN(N(Crédits!$E$8),AF122+AG123),2)</f>
        <v>0</v>
      </c>
      <c r="AG123" s="89">
        <f>AF122*N(Crédits!$D$8)/12</f>
        <v>0</v>
      </c>
      <c r="AH123" s="99">
        <f t="shared" si="20"/>
        <v>0</v>
      </c>
      <c r="AI123" s="99">
        <f>AH123*N(Crédits!$D$9)/12</f>
        <v>0</v>
      </c>
      <c r="AJ123" s="99">
        <f>MIN(N(Crédits!$E$9),AH123+AI123)</f>
        <v>0</v>
      </c>
      <c r="AK123" s="99">
        <f t="shared" si="8"/>
        <v>0</v>
      </c>
      <c r="AL123" s="100">
        <f>IF(Crédits!$K$9="",0,MAX(0,MIN(AK123,Plan!$L$125-(IF(Crédits!$K$5="",0,IF(Crédits!$K$5&lt;Crédits!$K$9,E123,0))+IF(Crédits!$K$6="",0,IF(Crédits!$K$6&lt;Crédits!$K$9,M123,0))+IF(Crédits!$K$7="",0,IF(Crédits!$K$7&lt;Crédits!$K$9,U123,0))+IF(Crédits!$K$8="",0,IF(Crédits!$K$8&lt;Crédits!$K$9,AC123,0))+IF(Crédits!$K$10="",0,IF(Crédits!$K$10&lt;Crédits!$K$9,AS123,0))))))</f>
        <v>0</v>
      </c>
      <c r="AM123" s="101">
        <f t="shared" si="9"/>
        <v>0</v>
      </c>
      <c r="AN123" s="88">
        <f>ROUND(AN122+AO123-MIN(N(Crédits!$E$9),AN122+AO123),2)</f>
        <v>0</v>
      </c>
      <c r="AO123" s="89">
        <f>AN122*N(Crédits!$D$9)/12</f>
        <v>0</v>
      </c>
      <c r="AP123" s="102">
        <f t="shared" si="21"/>
        <v>0</v>
      </c>
      <c r="AQ123" s="102">
        <f>AP123*N(Crédits!$D$10)/12</f>
        <v>0</v>
      </c>
      <c r="AR123" s="102">
        <f>MIN(N(Crédits!$E$10),AP123+AQ123)</f>
        <v>0</v>
      </c>
      <c r="AS123" s="102">
        <f t="shared" si="10"/>
        <v>0</v>
      </c>
      <c r="AT123" s="103">
        <f>IF(Crédits!$K$10="",0,MAX(0,MIN(AS123,Plan!$L$125-(IF(Crédits!$K$5="",0,IF(Crédits!$K$5&lt;Crédits!$K$10,E123,0))+IF(Crédits!$K$6="",0,IF(Crédits!$K$6&lt;Crédits!$K$10,M123,0))+IF(Crédits!$K$7="",0,IF(Crédits!$K$7&lt;Crédits!$K$10,U123,0))+IF(Crédits!$K$8="",0,IF(Crédits!$K$8&lt;Crédits!$K$10,AC123,0))+IF(Crédits!$K$9="",0,IF(Crédits!$K$9&lt;Crédits!$K$10,AK123,0))))))</f>
        <v>0</v>
      </c>
      <c r="AU123" s="104">
        <f t="shared" si="11"/>
        <v>0</v>
      </c>
      <c r="AV123" s="88">
        <f>ROUND(AV122+AW123-MIN(N(Crédits!$E$10),AV122+AW123),2)</f>
        <v>0</v>
      </c>
      <c r="AW123" s="89">
        <f>AV122*N(Crédits!$D$10)/12</f>
        <v>0</v>
      </c>
      <c r="AX123" s="105">
        <f t="shared" si="12"/>
        <v>0</v>
      </c>
      <c r="AY123" s="105">
        <f t="shared" ref="AY123:AZ123" si="141">F123+N123+V123+AD123+AL123+AT123</f>
        <v>0</v>
      </c>
      <c r="AZ123" s="105">
        <f t="shared" si="141"/>
        <v>0</v>
      </c>
      <c r="BA123" s="105">
        <f t="shared" si="14"/>
        <v>0</v>
      </c>
      <c r="BB123" s="105">
        <f t="shared" si="15"/>
        <v>0</v>
      </c>
    </row>
    <row r="124" spans="1:54" ht="15" customHeight="1" x14ac:dyDescent="0.25">
      <c r="A124" s="2">
        <v>122</v>
      </c>
      <c r="B124" s="83">
        <f t="shared" si="16"/>
        <v>0</v>
      </c>
      <c r="C124" s="83">
        <f>B124*N(Crédits!$D$5)/12</f>
        <v>0</v>
      </c>
      <c r="D124" s="83">
        <f>MIN(N(Crédits!$E$5),B124+C124)</f>
        <v>0</v>
      </c>
      <c r="E124" s="83">
        <f t="shared" si="0"/>
        <v>0</v>
      </c>
      <c r="F124" s="86">
        <f>IF(Crédits!$K$5="",0,MAX(0,MIN(E124,Plan!$L$126-(IF(Crédits!$K$6="",0,IF(Crédits!$K$6&lt;Crédits!$K$5,M124,0))+IF(Crédits!$K$7="",0,IF(Crédits!$K$7&lt;Crédits!$K$5,U124,0))+IF(Crédits!$K$8="",0,IF(Crédits!$K$8&lt;Crédits!$K$5,AC124,0))+IF(Crédits!$K$9="",0,IF(Crédits!$K$9&lt;Crédits!$K$5,AK124,0))+IF(Crédits!$K$10="",0,IF(Crédits!$K$10&lt;Crédits!$K$5,AS124,0))))))</f>
        <v>0</v>
      </c>
      <c r="G124" s="87">
        <f t="shared" si="1"/>
        <v>0</v>
      </c>
      <c r="H124" s="88">
        <f>ROUND(H123+I124-MIN(N(Crédits!$E$5),H123+I124),2)</f>
        <v>0</v>
      </c>
      <c r="I124" s="89">
        <f>H123*N(Crédits!$D$5)/12</f>
        <v>0</v>
      </c>
      <c r="J124" s="90">
        <f t="shared" si="17"/>
        <v>0</v>
      </c>
      <c r="K124" s="90">
        <f>J124*N(Crédits!$D$6)/12</f>
        <v>0</v>
      </c>
      <c r="L124" s="90">
        <f>MIN(N(Crédits!$E$6),J124+K124)</f>
        <v>0</v>
      </c>
      <c r="M124" s="90">
        <f t="shared" si="2"/>
        <v>0</v>
      </c>
      <c r="N124" s="91">
        <f>IF(Crédits!$K$6="",0,MAX(0,MIN(M124,Plan!$L$126-(IF(Crédits!$K$5="",0,IF(Crédits!$K$5&lt;Crédits!$K$6,E124,0))+IF(Crédits!$K$7="",0,IF(Crédits!$K$7&lt;Crédits!$K$6,U124,0))+IF(Crédits!$K$8="",0,IF(Crédits!$K$8&lt;Crédits!$K$6,AC124,0))+IF(Crédits!$K$9="",0,IF(Crédits!$K$9&lt;Crédits!$K$6,AK124,0))+IF(Crédits!$K$10="",0,IF(Crédits!$K$10&lt;Crédits!$K$6,AS124,0))))))</f>
        <v>0</v>
      </c>
      <c r="O124" s="92">
        <f t="shared" si="3"/>
        <v>0</v>
      </c>
      <c r="P124" s="88">
        <f>ROUND(P123+Q124-MIN(N(Crédits!$E$6),P123+Q124),2)</f>
        <v>0</v>
      </c>
      <c r="Q124" s="89">
        <f>P123*N(Crédits!$D$6)/12</f>
        <v>0</v>
      </c>
      <c r="R124" s="93">
        <f t="shared" si="18"/>
        <v>0</v>
      </c>
      <c r="S124" s="93">
        <f>R124*N(Crédits!$D$7)/12</f>
        <v>0</v>
      </c>
      <c r="T124" s="93">
        <f>MIN(N(Crédits!$E$7),R124+S124)</f>
        <v>0</v>
      </c>
      <c r="U124" s="93">
        <f t="shared" si="4"/>
        <v>0</v>
      </c>
      <c r="V124" s="94">
        <f>IF(Crédits!$K$7="",0,MAX(0,MIN(U124,Plan!$L$126-(IF(Crédits!$K$5="",0,IF(Crédits!$K$5&lt;Crédits!$K$7,E124,0))+IF(Crédits!$K$6="",0,IF(Crédits!$K$6&lt;Crédits!$K$7,M124,0))+IF(Crédits!$K$8="",0,IF(Crédits!$K$8&lt;Crédits!$K$7,AC124,0))+IF(Crédits!$K$9="",0,IF(Crédits!$K$9&lt;Crédits!$K$7,AK124,0))+IF(Crédits!$K$10="",0,IF(Crédits!$K$10&lt;Crédits!$K$7,AS124,0))))))</f>
        <v>0</v>
      </c>
      <c r="W124" s="95">
        <f t="shared" si="5"/>
        <v>0</v>
      </c>
      <c r="X124" s="88">
        <f>ROUND(X123+Y124-MIN(N(Crédits!$E$7),X123+Y124),2)</f>
        <v>0</v>
      </c>
      <c r="Y124" s="89">
        <f>X123*N(Crédits!$D$7)/12</f>
        <v>0</v>
      </c>
      <c r="Z124" s="96">
        <f t="shared" si="19"/>
        <v>0</v>
      </c>
      <c r="AA124" s="96">
        <f>Z124*N(Crédits!$D$8)/12</f>
        <v>0</v>
      </c>
      <c r="AB124" s="96">
        <f>MIN(N(Crédits!$E$8),Z124+AA124)</f>
        <v>0</v>
      </c>
      <c r="AC124" s="96">
        <f t="shared" si="6"/>
        <v>0</v>
      </c>
      <c r="AD124" s="97">
        <f>IF(Crédits!$K$8="",0,MAX(0,MIN(AC124,Plan!$L$126-(IF(Crédits!$K$5="",0,IF(Crédits!$K$5&lt;Crédits!$K$8,E124,0))+IF(Crédits!$K$6="",0,IF(Crédits!$K$6&lt;Crédits!$K$8,M124,0))+IF(Crédits!$K$7="",0,IF(Crédits!$K$7&lt;Crédits!$K$8,U124,0))+IF(Crédits!$K$9="",0,IF(Crédits!$K$9&lt;Crédits!$K$8,AK124,0))+IF(Crédits!$K$10="",0,IF(Crédits!$K$10&lt;Crédits!$K$8,AS124,0))))))</f>
        <v>0</v>
      </c>
      <c r="AE124" s="98">
        <f t="shared" si="7"/>
        <v>0</v>
      </c>
      <c r="AF124" s="88">
        <f>ROUND(AF123+AG124-MIN(N(Crédits!$E$8),AF123+AG124),2)</f>
        <v>0</v>
      </c>
      <c r="AG124" s="89">
        <f>AF123*N(Crédits!$D$8)/12</f>
        <v>0</v>
      </c>
      <c r="AH124" s="99">
        <f t="shared" si="20"/>
        <v>0</v>
      </c>
      <c r="AI124" s="99">
        <f>AH124*N(Crédits!$D$9)/12</f>
        <v>0</v>
      </c>
      <c r="AJ124" s="99">
        <f>MIN(N(Crédits!$E$9),AH124+AI124)</f>
        <v>0</v>
      </c>
      <c r="AK124" s="99">
        <f t="shared" si="8"/>
        <v>0</v>
      </c>
      <c r="AL124" s="100">
        <f>IF(Crédits!$K$9="",0,MAX(0,MIN(AK124,Plan!$L$126-(IF(Crédits!$K$5="",0,IF(Crédits!$K$5&lt;Crédits!$K$9,E124,0))+IF(Crédits!$K$6="",0,IF(Crédits!$K$6&lt;Crédits!$K$9,M124,0))+IF(Crédits!$K$7="",0,IF(Crédits!$K$7&lt;Crédits!$K$9,U124,0))+IF(Crédits!$K$8="",0,IF(Crédits!$K$8&lt;Crédits!$K$9,AC124,0))+IF(Crédits!$K$10="",0,IF(Crédits!$K$10&lt;Crédits!$K$9,AS124,0))))))</f>
        <v>0</v>
      </c>
      <c r="AM124" s="101">
        <f t="shared" si="9"/>
        <v>0</v>
      </c>
      <c r="AN124" s="88">
        <f>ROUND(AN123+AO124-MIN(N(Crédits!$E$9),AN123+AO124),2)</f>
        <v>0</v>
      </c>
      <c r="AO124" s="89">
        <f>AN123*N(Crédits!$D$9)/12</f>
        <v>0</v>
      </c>
      <c r="AP124" s="102">
        <f t="shared" si="21"/>
        <v>0</v>
      </c>
      <c r="AQ124" s="102">
        <f>AP124*N(Crédits!$D$10)/12</f>
        <v>0</v>
      </c>
      <c r="AR124" s="102">
        <f>MIN(N(Crédits!$E$10),AP124+AQ124)</f>
        <v>0</v>
      </c>
      <c r="AS124" s="102">
        <f t="shared" si="10"/>
        <v>0</v>
      </c>
      <c r="AT124" s="103">
        <f>IF(Crédits!$K$10="",0,MAX(0,MIN(AS124,Plan!$L$126-(IF(Crédits!$K$5="",0,IF(Crédits!$K$5&lt;Crédits!$K$10,E124,0))+IF(Crédits!$K$6="",0,IF(Crédits!$K$6&lt;Crédits!$K$10,M124,0))+IF(Crédits!$K$7="",0,IF(Crédits!$K$7&lt;Crédits!$K$10,U124,0))+IF(Crédits!$K$8="",0,IF(Crédits!$K$8&lt;Crédits!$K$10,AC124,0))+IF(Crédits!$K$9="",0,IF(Crédits!$K$9&lt;Crédits!$K$10,AK124,0))))))</f>
        <v>0</v>
      </c>
      <c r="AU124" s="104">
        <f t="shared" si="11"/>
        <v>0</v>
      </c>
      <c r="AV124" s="88">
        <f>ROUND(AV123+AW124-MIN(N(Crédits!$E$10),AV123+AW124),2)</f>
        <v>0</v>
      </c>
      <c r="AW124" s="89">
        <f>AV123*N(Crédits!$D$10)/12</f>
        <v>0</v>
      </c>
      <c r="AX124" s="105">
        <f t="shared" si="12"/>
        <v>0</v>
      </c>
      <c r="AY124" s="105">
        <f t="shared" ref="AY124:AZ124" si="142">F124+N124+V124+AD124+AL124+AT124</f>
        <v>0</v>
      </c>
      <c r="AZ124" s="105">
        <f t="shared" si="142"/>
        <v>0</v>
      </c>
      <c r="BA124" s="105">
        <f t="shared" si="14"/>
        <v>0</v>
      </c>
      <c r="BB124" s="105">
        <f t="shared" si="15"/>
        <v>0</v>
      </c>
    </row>
    <row r="125" spans="1:54" ht="15" customHeight="1" x14ac:dyDescent="0.25">
      <c r="A125" s="2">
        <v>123</v>
      </c>
      <c r="B125" s="83">
        <f t="shared" si="16"/>
        <v>0</v>
      </c>
      <c r="C125" s="83">
        <f>B125*N(Crédits!$D$5)/12</f>
        <v>0</v>
      </c>
      <c r="D125" s="83">
        <f>MIN(N(Crédits!$E$5),B125+C125)</f>
        <v>0</v>
      </c>
      <c r="E125" s="83">
        <f t="shared" si="0"/>
        <v>0</v>
      </c>
      <c r="F125" s="86">
        <f>IF(Crédits!$K$5="",0,MAX(0,MIN(E125,Plan!$L$127-(IF(Crédits!$K$6="",0,IF(Crédits!$K$6&lt;Crédits!$K$5,M125,0))+IF(Crédits!$K$7="",0,IF(Crédits!$K$7&lt;Crédits!$K$5,U125,0))+IF(Crédits!$K$8="",0,IF(Crédits!$K$8&lt;Crédits!$K$5,AC125,0))+IF(Crédits!$K$9="",0,IF(Crédits!$K$9&lt;Crédits!$K$5,AK125,0))+IF(Crédits!$K$10="",0,IF(Crédits!$K$10&lt;Crédits!$K$5,AS125,0))))))</f>
        <v>0</v>
      </c>
      <c r="G125" s="87">
        <f t="shared" si="1"/>
        <v>0</v>
      </c>
      <c r="H125" s="88">
        <f>ROUND(H124+I125-MIN(N(Crédits!$E$5),H124+I125),2)</f>
        <v>0</v>
      </c>
      <c r="I125" s="89">
        <f>H124*N(Crédits!$D$5)/12</f>
        <v>0</v>
      </c>
      <c r="J125" s="90">
        <f t="shared" si="17"/>
        <v>0</v>
      </c>
      <c r="K125" s="90">
        <f>J125*N(Crédits!$D$6)/12</f>
        <v>0</v>
      </c>
      <c r="L125" s="90">
        <f>MIN(N(Crédits!$E$6),J125+K125)</f>
        <v>0</v>
      </c>
      <c r="M125" s="90">
        <f t="shared" si="2"/>
        <v>0</v>
      </c>
      <c r="N125" s="91">
        <f>IF(Crédits!$K$6="",0,MAX(0,MIN(M125,Plan!$L$127-(IF(Crédits!$K$5="",0,IF(Crédits!$K$5&lt;Crédits!$K$6,E125,0))+IF(Crédits!$K$7="",0,IF(Crédits!$K$7&lt;Crédits!$K$6,U125,0))+IF(Crédits!$K$8="",0,IF(Crédits!$K$8&lt;Crédits!$K$6,AC125,0))+IF(Crédits!$K$9="",0,IF(Crédits!$K$9&lt;Crédits!$K$6,AK125,0))+IF(Crédits!$K$10="",0,IF(Crédits!$K$10&lt;Crédits!$K$6,AS125,0))))))</f>
        <v>0</v>
      </c>
      <c r="O125" s="92">
        <f t="shared" si="3"/>
        <v>0</v>
      </c>
      <c r="P125" s="88">
        <f>ROUND(P124+Q125-MIN(N(Crédits!$E$6),P124+Q125),2)</f>
        <v>0</v>
      </c>
      <c r="Q125" s="89">
        <f>P124*N(Crédits!$D$6)/12</f>
        <v>0</v>
      </c>
      <c r="R125" s="93">
        <f t="shared" si="18"/>
        <v>0</v>
      </c>
      <c r="S125" s="93">
        <f>R125*N(Crédits!$D$7)/12</f>
        <v>0</v>
      </c>
      <c r="T125" s="93">
        <f>MIN(N(Crédits!$E$7),R125+S125)</f>
        <v>0</v>
      </c>
      <c r="U125" s="93">
        <f t="shared" si="4"/>
        <v>0</v>
      </c>
      <c r="V125" s="94">
        <f>IF(Crédits!$K$7="",0,MAX(0,MIN(U125,Plan!$L$127-(IF(Crédits!$K$5="",0,IF(Crédits!$K$5&lt;Crédits!$K$7,E125,0))+IF(Crédits!$K$6="",0,IF(Crédits!$K$6&lt;Crédits!$K$7,M125,0))+IF(Crédits!$K$8="",0,IF(Crédits!$K$8&lt;Crédits!$K$7,AC125,0))+IF(Crédits!$K$9="",0,IF(Crédits!$K$9&lt;Crédits!$K$7,AK125,0))+IF(Crédits!$K$10="",0,IF(Crédits!$K$10&lt;Crédits!$K$7,AS125,0))))))</f>
        <v>0</v>
      </c>
      <c r="W125" s="95">
        <f t="shared" si="5"/>
        <v>0</v>
      </c>
      <c r="X125" s="88">
        <f>ROUND(X124+Y125-MIN(N(Crédits!$E$7),X124+Y125),2)</f>
        <v>0</v>
      </c>
      <c r="Y125" s="89">
        <f>X124*N(Crédits!$D$7)/12</f>
        <v>0</v>
      </c>
      <c r="Z125" s="96">
        <f t="shared" si="19"/>
        <v>0</v>
      </c>
      <c r="AA125" s="96">
        <f>Z125*N(Crédits!$D$8)/12</f>
        <v>0</v>
      </c>
      <c r="AB125" s="96">
        <f>MIN(N(Crédits!$E$8),Z125+AA125)</f>
        <v>0</v>
      </c>
      <c r="AC125" s="96">
        <f t="shared" si="6"/>
        <v>0</v>
      </c>
      <c r="AD125" s="97">
        <f>IF(Crédits!$K$8="",0,MAX(0,MIN(AC125,Plan!$L$127-(IF(Crédits!$K$5="",0,IF(Crédits!$K$5&lt;Crédits!$K$8,E125,0))+IF(Crédits!$K$6="",0,IF(Crédits!$K$6&lt;Crédits!$K$8,M125,0))+IF(Crédits!$K$7="",0,IF(Crédits!$K$7&lt;Crédits!$K$8,U125,0))+IF(Crédits!$K$9="",0,IF(Crédits!$K$9&lt;Crédits!$K$8,AK125,0))+IF(Crédits!$K$10="",0,IF(Crédits!$K$10&lt;Crédits!$K$8,AS125,0))))))</f>
        <v>0</v>
      </c>
      <c r="AE125" s="98">
        <f t="shared" si="7"/>
        <v>0</v>
      </c>
      <c r="AF125" s="88">
        <f>ROUND(AF124+AG125-MIN(N(Crédits!$E$8),AF124+AG125),2)</f>
        <v>0</v>
      </c>
      <c r="AG125" s="89">
        <f>AF124*N(Crédits!$D$8)/12</f>
        <v>0</v>
      </c>
      <c r="AH125" s="99">
        <f t="shared" si="20"/>
        <v>0</v>
      </c>
      <c r="AI125" s="99">
        <f>AH125*N(Crédits!$D$9)/12</f>
        <v>0</v>
      </c>
      <c r="AJ125" s="99">
        <f>MIN(N(Crédits!$E$9),AH125+AI125)</f>
        <v>0</v>
      </c>
      <c r="AK125" s="99">
        <f t="shared" si="8"/>
        <v>0</v>
      </c>
      <c r="AL125" s="100">
        <f>IF(Crédits!$K$9="",0,MAX(0,MIN(AK125,Plan!$L$127-(IF(Crédits!$K$5="",0,IF(Crédits!$K$5&lt;Crédits!$K$9,E125,0))+IF(Crédits!$K$6="",0,IF(Crédits!$K$6&lt;Crédits!$K$9,M125,0))+IF(Crédits!$K$7="",0,IF(Crédits!$K$7&lt;Crédits!$K$9,U125,0))+IF(Crédits!$K$8="",0,IF(Crédits!$K$8&lt;Crédits!$K$9,AC125,0))+IF(Crédits!$K$10="",0,IF(Crédits!$K$10&lt;Crédits!$K$9,AS125,0))))))</f>
        <v>0</v>
      </c>
      <c r="AM125" s="101">
        <f t="shared" si="9"/>
        <v>0</v>
      </c>
      <c r="AN125" s="88">
        <f>ROUND(AN124+AO125-MIN(N(Crédits!$E$9),AN124+AO125),2)</f>
        <v>0</v>
      </c>
      <c r="AO125" s="89">
        <f>AN124*N(Crédits!$D$9)/12</f>
        <v>0</v>
      </c>
      <c r="AP125" s="102">
        <f t="shared" si="21"/>
        <v>0</v>
      </c>
      <c r="AQ125" s="102">
        <f>AP125*N(Crédits!$D$10)/12</f>
        <v>0</v>
      </c>
      <c r="AR125" s="102">
        <f>MIN(N(Crédits!$E$10),AP125+AQ125)</f>
        <v>0</v>
      </c>
      <c r="AS125" s="102">
        <f t="shared" si="10"/>
        <v>0</v>
      </c>
      <c r="AT125" s="103">
        <f>IF(Crédits!$K$10="",0,MAX(0,MIN(AS125,Plan!$L$127-(IF(Crédits!$K$5="",0,IF(Crédits!$K$5&lt;Crédits!$K$10,E125,0))+IF(Crédits!$K$6="",0,IF(Crédits!$K$6&lt;Crédits!$K$10,M125,0))+IF(Crédits!$K$7="",0,IF(Crédits!$K$7&lt;Crédits!$K$10,U125,0))+IF(Crédits!$K$8="",0,IF(Crédits!$K$8&lt;Crédits!$K$10,AC125,0))+IF(Crédits!$K$9="",0,IF(Crédits!$K$9&lt;Crédits!$K$10,AK125,0))))))</f>
        <v>0</v>
      </c>
      <c r="AU125" s="104">
        <f t="shared" si="11"/>
        <v>0</v>
      </c>
      <c r="AV125" s="88">
        <f>ROUND(AV124+AW125-MIN(N(Crédits!$E$10),AV124+AW125),2)</f>
        <v>0</v>
      </c>
      <c r="AW125" s="89">
        <f>AV124*N(Crédits!$D$10)/12</f>
        <v>0</v>
      </c>
      <c r="AX125" s="105">
        <f t="shared" si="12"/>
        <v>0</v>
      </c>
      <c r="AY125" s="105">
        <f t="shared" ref="AY125:AZ125" si="143">F125+N125+V125+AD125+AL125+AT125</f>
        <v>0</v>
      </c>
      <c r="AZ125" s="105">
        <f t="shared" si="143"/>
        <v>0</v>
      </c>
      <c r="BA125" s="105">
        <f t="shared" si="14"/>
        <v>0</v>
      </c>
      <c r="BB125" s="105">
        <f t="shared" si="15"/>
        <v>0</v>
      </c>
    </row>
    <row r="126" spans="1:54" ht="15" customHeight="1" x14ac:dyDescent="0.25">
      <c r="A126" s="2">
        <v>124</v>
      </c>
      <c r="B126" s="83">
        <f t="shared" si="16"/>
        <v>0</v>
      </c>
      <c r="C126" s="83">
        <f>B126*N(Crédits!$D$5)/12</f>
        <v>0</v>
      </c>
      <c r="D126" s="83">
        <f>MIN(N(Crédits!$E$5),B126+C126)</f>
        <v>0</v>
      </c>
      <c r="E126" s="83">
        <f t="shared" si="0"/>
        <v>0</v>
      </c>
      <c r="F126" s="86">
        <f>IF(Crédits!$K$5="",0,MAX(0,MIN(E126,Plan!$L$128-(IF(Crédits!$K$6="",0,IF(Crédits!$K$6&lt;Crédits!$K$5,M126,0))+IF(Crédits!$K$7="",0,IF(Crédits!$K$7&lt;Crédits!$K$5,U126,0))+IF(Crédits!$K$8="",0,IF(Crédits!$K$8&lt;Crédits!$K$5,AC126,0))+IF(Crédits!$K$9="",0,IF(Crédits!$K$9&lt;Crédits!$K$5,AK126,0))+IF(Crédits!$K$10="",0,IF(Crédits!$K$10&lt;Crédits!$K$5,AS126,0))))))</f>
        <v>0</v>
      </c>
      <c r="G126" s="87">
        <f t="shared" si="1"/>
        <v>0</v>
      </c>
      <c r="H126" s="88">
        <f>ROUND(H125+I126-MIN(N(Crédits!$E$5),H125+I126),2)</f>
        <v>0</v>
      </c>
      <c r="I126" s="89">
        <f>H125*N(Crédits!$D$5)/12</f>
        <v>0</v>
      </c>
      <c r="J126" s="90">
        <f t="shared" si="17"/>
        <v>0</v>
      </c>
      <c r="K126" s="90">
        <f>J126*N(Crédits!$D$6)/12</f>
        <v>0</v>
      </c>
      <c r="L126" s="90">
        <f>MIN(N(Crédits!$E$6),J126+K126)</f>
        <v>0</v>
      </c>
      <c r="M126" s="90">
        <f t="shared" si="2"/>
        <v>0</v>
      </c>
      <c r="N126" s="91">
        <f>IF(Crédits!$K$6="",0,MAX(0,MIN(M126,Plan!$L$128-(IF(Crédits!$K$5="",0,IF(Crédits!$K$5&lt;Crédits!$K$6,E126,0))+IF(Crédits!$K$7="",0,IF(Crédits!$K$7&lt;Crédits!$K$6,U126,0))+IF(Crédits!$K$8="",0,IF(Crédits!$K$8&lt;Crédits!$K$6,AC126,0))+IF(Crédits!$K$9="",0,IF(Crédits!$K$9&lt;Crédits!$K$6,AK126,0))+IF(Crédits!$K$10="",0,IF(Crédits!$K$10&lt;Crédits!$K$6,AS126,0))))))</f>
        <v>0</v>
      </c>
      <c r="O126" s="92">
        <f t="shared" si="3"/>
        <v>0</v>
      </c>
      <c r="P126" s="88">
        <f>ROUND(P125+Q126-MIN(N(Crédits!$E$6),P125+Q126),2)</f>
        <v>0</v>
      </c>
      <c r="Q126" s="89">
        <f>P125*N(Crédits!$D$6)/12</f>
        <v>0</v>
      </c>
      <c r="R126" s="93">
        <f t="shared" si="18"/>
        <v>0</v>
      </c>
      <c r="S126" s="93">
        <f>R126*N(Crédits!$D$7)/12</f>
        <v>0</v>
      </c>
      <c r="T126" s="93">
        <f>MIN(N(Crédits!$E$7),R126+S126)</f>
        <v>0</v>
      </c>
      <c r="U126" s="93">
        <f t="shared" si="4"/>
        <v>0</v>
      </c>
      <c r="V126" s="94">
        <f>IF(Crédits!$K$7="",0,MAX(0,MIN(U126,Plan!$L$128-(IF(Crédits!$K$5="",0,IF(Crédits!$K$5&lt;Crédits!$K$7,E126,0))+IF(Crédits!$K$6="",0,IF(Crédits!$K$6&lt;Crédits!$K$7,M126,0))+IF(Crédits!$K$8="",0,IF(Crédits!$K$8&lt;Crédits!$K$7,AC126,0))+IF(Crédits!$K$9="",0,IF(Crédits!$K$9&lt;Crédits!$K$7,AK126,0))+IF(Crédits!$K$10="",0,IF(Crédits!$K$10&lt;Crédits!$K$7,AS126,0))))))</f>
        <v>0</v>
      </c>
      <c r="W126" s="95">
        <f t="shared" si="5"/>
        <v>0</v>
      </c>
      <c r="X126" s="88">
        <f>ROUND(X125+Y126-MIN(N(Crédits!$E$7),X125+Y126),2)</f>
        <v>0</v>
      </c>
      <c r="Y126" s="89">
        <f>X125*N(Crédits!$D$7)/12</f>
        <v>0</v>
      </c>
      <c r="Z126" s="96">
        <f t="shared" si="19"/>
        <v>0</v>
      </c>
      <c r="AA126" s="96">
        <f>Z126*N(Crédits!$D$8)/12</f>
        <v>0</v>
      </c>
      <c r="AB126" s="96">
        <f>MIN(N(Crédits!$E$8),Z126+AA126)</f>
        <v>0</v>
      </c>
      <c r="AC126" s="96">
        <f t="shared" si="6"/>
        <v>0</v>
      </c>
      <c r="AD126" s="97">
        <f>IF(Crédits!$K$8="",0,MAX(0,MIN(AC126,Plan!$L$128-(IF(Crédits!$K$5="",0,IF(Crédits!$K$5&lt;Crédits!$K$8,E126,0))+IF(Crédits!$K$6="",0,IF(Crédits!$K$6&lt;Crédits!$K$8,M126,0))+IF(Crédits!$K$7="",0,IF(Crédits!$K$7&lt;Crédits!$K$8,U126,0))+IF(Crédits!$K$9="",0,IF(Crédits!$K$9&lt;Crédits!$K$8,AK126,0))+IF(Crédits!$K$10="",0,IF(Crédits!$K$10&lt;Crédits!$K$8,AS126,0))))))</f>
        <v>0</v>
      </c>
      <c r="AE126" s="98">
        <f t="shared" si="7"/>
        <v>0</v>
      </c>
      <c r="AF126" s="88">
        <f>ROUND(AF125+AG126-MIN(N(Crédits!$E$8),AF125+AG126),2)</f>
        <v>0</v>
      </c>
      <c r="AG126" s="89">
        <f>AF125*N(Crédits!$D$8)/12</f>
        <v>0</v>
      </c>
      <c r="AH126" s="99">
        <f t="shared" si="20"/>
        <v>0</v>
      </c>
      <c r="AI126" s="99">
        <f>AH126*N(Crédits!$D$9)/12</f>
        <v>0</v>
      </c>
      <c r="AJ126" s="99">
        <f>MIN(N(Crédits!$E$9),AH126+AI126)</f>
        <v>0</v>
      </c>
      <c r="AK126" s="99">
        <f t="shared" si="8"/>
        <v>0</v>
      </c>
      <c r="AL126" s="100">
        <f>IF(Crédits!$K$9="",0,MAX(0,MIN(AK126,Plan!$L$128-(IF(Crédits!$K$5="",0,IF(Crédits!$K$5&lt;Crédits!$K$9,E126,0))+IF(Crédits!$K$6="",0,IF(Crédits!$K$6&lt;Crédits!$K$9,M126,0))+IF(Crédits!$K$7="",0,IF(Crédits!$K$7&lt;Crédits!$K$9,U126,0))+IF(Crédits!$K$8="",0,IF(Crédits!$K$8&lt;Crédits!$K$9,AC126,0))+IF(Crédits!$K$10="",0,IF(Crédits!$K$10&lt;Crédits!$K$9,AS126,0))))))</f>
        <v>0</v>
      </c>
      <c r="AM126" s="101">
        <f t="shared" si="9"/>
        <v>0</v>
      </c>
      <c r="AN126" s="88">
        <f>ROUND(AN125+AO126-MIN(N(Crédits!$E$9),AN125+AO126),2)</f>
        <v>0</v>
      </c>
      <c r="AO126" s="89">
        <f>AN125*N(Crédits!$D$9)/12</f>
        <v>0</v>
      </c>
      <c r="AP126" s="102">
        <f t="shared" si="21"/>
        <v>0</v>
      </c>
      <c r="AQ126" s="102">
        <f>AP126*N(Crédits!$D$10)/12</f>
        <v>0</v>
      </c>
      <c r="AR126" s="102">
        <f>MIN(N(Crédits!$E$10),AP126+AQ126)</f>
        <v>0</v>
      </c>
      <c r="AS126" s="102">
        <f t="shared" si="10"/>
        <v>0</v>
      </c>
      <c r="AT126" s="103">
        <f>IF(Crédits!$K$10="",0,MAX(0,MIN(AS126,Plan!$L$128-(IF(Crédits!$K$5="",0,IF(Crédits!$K$5&lt;Crédits!$K$10,E126,0))+IF(Crédits!$K$6="",0,IF(Crédits!$K$6&lt;Crédits!$K$10,M126,0))+IF(Crédits!$K$7="",0,IF(Crédits!$K$7&lt;Crédits!$K$10,U126,0))+IF(Crédits!$K$8="",0,IF(Crédits!$K$8&lt;Crédits!$K$10,AC126,0))+IF(Crédits!$K$9="",0,IF(Crédits!$K$9&lt;Crédits!$K$10,AK126,0))))))</f>
        <v>0</v>
      </c>
      <c r="AU126" s="104">
        <f t="shared" si="11"/>
        <v>0</v>
      </c>
      <c r="AV126" s="88">
        <f>ROUND(AV125+AW126-MIN(N(Crédits!$E$10),AV125+AW126),2)</f>
        <v>0</v>
      </c>
      <c r="AW126" s="89">
        <f>AV125*N(Crédits!$D$10)/12</f>
        <v>0</v>
      </c>
      <c r="AX126" s="105">
        <f t="shared" si="12"/>
        <v>0</v>
      </c>
      <c r="AY126" s="105">
        <f t="shared" ref="AY126:AZ126" si="144">F126+N126+V126+AD126+AL126+AT126</f>
        <v>0</v>
      </c>
      <c r="AZ126" s="105">
        <f t="shared" si="144"/>
        <v>0</v>
      </c>
      <c r="BA126" s="105">
        <f t="shared" si="14"/>
        <v>0</v>
      </c>
      <c r="BB126" s="105">
        <f t="shared" si="15"/>
        <v>0</v>
      </c>
    </row>
    <row r="127" spans="1:54" ht="15" customHeight="1" x14ac:dyDescent="0.25">
      <c r="A127" s="2">
        <v>125</v>
      </c>
      <c r="B127" s="83">
        <f t="shared" si="16"/>
        <v>0</v>
      </c>
      <c r="C127" s="83">
        <f>B127*N(Crédits!$D$5)/12</f>
        <v>0</v>
      </c>
      <c r="D127" s="83">
        <f>MIN(N(Crédits!$E$5),B127+C127)</f>
        <v>0</v>
      </c>
      <c r="E127" s="83">
        <f t="shared" si="0"/>
        <v>0</v>
      </c>
      <c r="F127" s="86">
        <f>IF(Crédits!$K$5="",0,MAX(0,MIN(E127,Plan!$L$129-(IF(Crédits!$K$6="",0,IF(Crédits!$K$6&lt;Crédits!$K$5,M127,0))+IF(Crédits!$K$7="",0,IF(Crédits!$K$7&lt;Crédits!$K$5,U127,0))+IF(Crédits!$K$8="",0,IF(Crédits!$K$8&lt;Crédits!$K$5,AC127,0))+IF(Crédits!$K$9="",0,IF(Crédits!$K$9&lt;Crédits!$K$5,AK127,0))+IF(Crédits!$K$10="",0,IF(Crédits!$K$10&lt;Crédits!$K$5,AS127,0))))))</f>
        <v>0</v>
      </c>
      <c r="G127" s="87">
        <f t="shared" si="1"/>
        <v>0</v>
      </c>
      <c r="H127" s="88">
        <f>ROUND(H126+I127-MIN(N(Crédits!$E$5),H126+I127),2)</f>
        <v>0</v>
      </c>
      <c r="I127" s="89">
        <f>H126*N(Crédits!$D$5)/12</f>
        <v>0</v>
      </c>
      <c r="J127" s="90">
        <f t="shared" si="17"/>
        <v>0</v>
      </c>
      <c r="K127" s="90">
        <f>J127*N(Crédits!$D$6)/12</f>
        <v>0</v>
      </c>
      <c r="L127" s="90">
        <f>MIN(N(Crédits!$E$6),J127+K127)</f>
        <v>0</v>
      </c>
      <c r="M127" s="90">
        <f t="shared" si="2"/>
        <v>0</v>
      </c>
      <c r="N127" s="91">
        <f>IF(Crédits!$K$6="",0,MAX(0,MIN(M127,Plan!$L$129-(IF(Crédits!$K$5="",0,IF(Crédits!$K$5&lt;Crédits!$K$6,E127,0))+IF(Crédits!$K$7="",0,IF(Crédits!$K$7&lt;Crédits!$K$6,U127,0))+IF(Crédits!$K$8="",0,IF(Crédits!$K$8&lt;Crédits!$K$6,AC127,0))+IF(Crédits!$K$9="",0,IF(Crédits!$K$9&lt;Crédits!$K$6,AK127,0))+IF(Crédits!$K$10="",0,IF(Crédits!$K$10&lt;Crédits!$K$6,AS127,0))))))</f>
        <v>0</v>
      </c>
      <c r="O127" s="92">
        <f t="shared" si="3"/>
        <v>0</v>
      </c>
      <c r="P127" s="88">
        <f>ROUND(P126+Q127-MIN(N(Crédits!$E$6),P126+Q127),2)</f>
        <v>0</v>
      </c>
      <c r="Q127" s="89">
        <f>P126*N(Crédits!$D$6)/12</f>
        <v>0</v>
      </c>
      <c r="R127" s="93">
        <f t="shared" si="18"/>
        <v>0</v>
      </c>
      <c r="S127" s="93">
        <f>R127*N(Crédits!$D$7)/12</f>
        <v>0</v>
      </c>
      <c r="T127" s="93">
        <f>MIN(N(Crédits!$E$7),R127+S127)</f>
        <v>0</v>
      </c>
      <c r="U127" s="93">
        <f t="shared" si="4"/>
        <v>0</v>
      </c>
      <c r="V127" s="94">
        <f>IF(Crédits!$K$7="",0,MAX(0,MIN(U127,Plan!$L$129-(IF(Crédits!$K$5="",0,IF(Crédits!$K$5&lt;Crédits!$K$7,E127,0))+IF(Crédits!$K$6="",0,IF(Crédits!$K$6&lt;Crédits!$K$7,M127,0))+IF(Crédits!$K$8="",0,IF(Crédits!$K$8&lt;Crédits!$K$7,AC127,0))+IF(Crédits!$K$9="",0,IF(Crédits!$K$9&lt;Crédits!$K$7,AK127,0))+IF(Crédits!$K$10="",0,IF(Crédits!$K$10&lt;Crédits!$K$7,AS127,0))))))</f>
        <v>0</v>
      </c>
      <c r="W127" s="95">
        <f t="shared" si="5"/>
        <v>0</v>
      </c>
      <c r="X127" s="88">
        <f>ROUND(X126+Y127-MIN(N(Crédits!$E$7),X126+Y127),2)</f>
        <v>0</v>
      </c>
      <c r="Y127" s="89">
        <f>X126*N(Crédits!$D$7)/12</f>
        <v>0</v>
      </c>
      <c r="Z127" s="96">
        <f t="shared" si="19"/>
        <v>0</v>
      </c>
      <c r="AA127" s="96">
        <f>Z127*N(Crédits!$D$8)/12</f>
        <v>0</v>
      </c>
      <c r="AB127" s="96">
        <f>MIN(N(Crédits!$E$8),Z127+AA127)</f>
        <v>0</v>
      </c>
      <c r="AC127" s="96">
        <f t="shared" si="6"/>
        <v>0</v>
      </c>
      <c r="AD127" s="97">
        <f>IF(Crédits!$K$8="",0,MAX(0,MIN(AC127,Plan!$L$129-(IF(Crédits!$K$5="",0,IF(Crédits!$K$5&lt;Crédits!$K$8,E127,0))+IF(Crédits!$K$6="",0,IF(Crédits!$K$6&lt;Crédits!$K$8,M127,0))+IF(Crédits!$K$7="",0,IF(Crédits!$K$7&lt;Crédits!$K$8,U127,0))+IF(Crédits!$K$9="",0,IF(Crédits!$K$9&lt;Crédits!$K$8,AK127,0))+IF(Crédits!$K$10="",0,IF(Crédits!$K$10&lt;Crédits!$K$8,AS127,0))))))</f>
        <v>0</v>
      </c>
      <c r="AE127" s="98">
        <f t="shared" si="7"/>
        <v>0</v>
      </c>
      <c r="AF127" s="88">
        <f>ROUND(AF126+AG127-MIN(N(Crédits!$E$8),AF126+AG127),2)</f>
        <v>0</v>
      </c>
      <c r="AG127" s="89">
        <f>AF126*N(Crédits!$D$8)/12</f>
        <v>0</v>
      </c>
      <c r="AH127" s="99">
        <f t="shared" si="20"/>
        <v>0</v>
      </c>
      <c r="AI127" s="99">
        <f>AH127*N(Crédits!$D$9)/12</f>
        <v>0</v>
      </c>
      <c r="AJ127" s="99">
        <f>MIN(N(Crédits!$E$9),AH127+AI127)</f>
        <v>0</v>
      </c>
      <c r="AK127" s="99">
        <f t="shared" si="8"/>
        <v>0</v>
      </c>
      <c r="AL127" s="100">
        <f>IF(Crédits!$K$9="",0,MAX(0,MIN(AK127,Plan!$L$129-(IF(Crédits!$K$5="",0,IF(Crédits!$K$5&lt;Crédits!$K$9,E127,0))+IF(Crédits!$K$6="",0,IF(Crédits!$K$6&lt;Crédits!$K$9,M127,0))+IF(Crédits!$K$7="",0,IF(Crédits!$K$7&lt;Crédits!$K$9,U127,0))+IF(Crédits!$K$8="",0,IF(Crédits!$K$8&lt;Crédits!$K$9,AC127,0))+IF(Crédits!$K$10="",0,IF(Crédits!$K$10&lt;Crédits!$K$9,AS127,0))))))</f>
        <v>0</v>
      </c>
      <c r="AM127" s="101">
        <f t="shared" si="9"/>
        <v>0</v>
      </c>
      <c r="AN127" s="88">
        <f>ROUND(AN126+AO127-MIN(N(Crédits!$E$9),AN126+AO127),2)</f>
        <v>0</v>
      </c>
      <c r="AO127" s="89">
        <f>AN126*N(Crédits!$D$9)/12</f>
        <v>0</v>
      </c>
      <c r="AP127" s="102">
        <f t="shared" si="21"/>
        <v>0</v>
      </c>
      <c r="AQ127" s="102">
        <f>AP127*N(Crédits!$D$10)/12</f>
        <v>0</v>
      </c>
      <c r="AR127" s="102">
        <f>MIN(N(Crédits!$E$10),AP127+AQ127)</f>
        <v>0</v>
      </c>
      <c r="AS127" s="102">
        <f t="shared" si="10"/>
        <v>0</v>
      </c>
      <c r="AT127" s="103">
        <f>IF(Crédits!$K$10="",0,MAX(0,MIN(AS127,Plan!$L$129-(IF(Crédits!$K$5="",0,IF(Crédits!$K$5&lt;Crédits!$K$10,E127,0))+IF(Crédits!$K$6="",0,IF(Crédits!$K$6&lt;Crédits!$K$10,M127,0))+IF(Crédits!$K$7="",0,IF(Crédits!$K$7&lt;Crédits!$K$10,U127,0))+IF(Crédits!$K$8="",0,IF(Crédits!$K$8&lt;Crédits!$K$10,AC127,0))+IF(Crédits!$K$9="",0,IF(Crédits!$K$9&lt;Crédits!$K$10,AK127,0))))))</f>
        <v>0</v>
      </c>
      <c r="AU127" s="104">
        <f t="shared" si="11"/>
        <v>0</v>
      </c>
      <c r="AV127" s="88">
        <f>ROUND(AV126+AW127-MIN(N(Crédits!$E$10),AV126+AW127),2)</f>
        <v>0</v>
      </c>
      <c r="AW127" s="89">
        <f>AV126*N(Crédits!$D$10)/12</f>
        <v>0</v>
      </c>
      <c r="AX127" s="105">
        <f t="shared" si="12"/>
        <v>0</v>
      </c>
      <c r="AY127" s="105">
        <f t="shared" ref="AY127:AZ127" si="145">F127+N127+V127+AD127+AL127+AT127</f>
        <v>0</v>
      </c>
      <c r="AZ127" s="105">
        <f t="shared" si="145"/>
        <v>0</v>
      </c>
      <c r="BA127" s="105">
        <f t="shared" si="14"/>
        <v>0</v>
      </c>
      <c r="BB127" s="105">
        <f t="shared" si="15"/>
        <v>0</v>
      </c>
    </row>
    <row r="128" spans="1:54" ht="15" customHeight="1" x14ac:dyDescent="0.25">
      <c r="A128" s="2">
        <v>126</v>
      </c>
      <c r="B128" s="83">
        <f t="shared" si="16"/>
        <v>0</v>
      </c>
      <c r="C128" s="83">
        <f>B128*N(Crédits!$D$5)/12</f>
        <v>0</v>
      </c>
      <c r="D128" s="83">
        <f>MIN(N(Crédits!$E$5),B128+C128)</f>
        <v>0</v>
      </c>
      <c r="E128" s="83">
        <f t="shared" si="0"/>
        <v>0</v>
      </c>
      <c r="F128" s="86">
        <f>IF(Crédits!$K$5="",0,MAX(0,MIN(E128,Plan!$L$130-(IF(Crédits!$K$6="",0,IF(Crédits!$K$6&lt;Crédits!$K$5,M128,0))+IF(Crédits!$K$7="",0,IF(Crédits!$K$7&lt;Crédits!$K$5,U128,0))+IF(Crédits!$K$8="",0,IF(Crédits!$K$8&lt;Crédits!$K$5,AC128,0))+IF(Crédits!$K$9="",0,IF(Crédits!$K$9&lt;Crédits!$K$5,AK128,0))+IF(Crédits!$K$10="",0,IF(Crédits!$K$10&lt;Crédits!$K$5,AS128,0))))))</f>
        <v>0</v>
      </c>
      <c r="G128" s="87">
        <f t="shared" si="1"/>
        <v>0</v>
      </c>
      <c r="H128" s="88">
        <f>ROUND(H127+I128-MIN(N(Crédits!$E$5),H127+I128),2)</f>
        <v>0</v>
      </c>
      <c r="I128" s="89">
        <f>H127*N(Crédits!$D$5)/12</f>
        <v>0</v>
      </c>
      <c r="J128" s="90">
        <f t="shared" si="17"/>
        <v>0</v>
      </c>
      <c r="K128" s="90">
        <f>J128*N(Crédits!$D$6)/12</f>
        <v>0</v>
      </c>
      <c r="L128" s="90">
        <f>MIN(N(Crédits!$E$6),J128+K128)</f>
        <v>0</v>
      </c>
      <c r="M128" s="90">
        <f t="shared" si="2"/>
        <v>0</v>
      </c>
      <c r="N128" s="91">
        <f>IF(Crédits!$K$6="",0,MAX(0,MIN(M128,Plan!$L$130-(IF(Crédits!$K$5="",0,IF(Crédits!$K$5&lt;Crédits!$K$6,E128,0))+IF(Crédits!$K$7="",0,IF(Crédits!$K$7&lt;Crédits!$K$6,U128,0))+IF(Crédits!$K$8="",0,IF(Crédits!$K$8&lt;Crédits!$K$6,AC128,0))+IF(Crédits!$K$9="",0,IF(Crédits!$K$9&lt;Crédits!$K$6,AK128,0))+IF(Crédits!$K$10="",0,IF(Crédits!$K$10&lt;Crédits!$K$6,AS128,0))))))</f>
        <v>0</v>
      </c>
      <c r="O128" s="92">
        <f t="shared" si="3"/>
        <v>0</v>
      </c>
      <c r="P128" s="88">
        <f>ROUND(P127+Q128-MIN(N(Crédits!$E$6),P127+Q128),2)</f>
        <v>0</v>
      </c>
      <c r="Q128" s="89">
        <f>P127*N(Crédits!$D$6)/12</f>
        <v>0</v>
      </c>
      <c r="R128" s="93">
        <f t="shared" si="18"/>
        <v>0</v>
      </c>
      <c r="S128" s="93">
        <f>R128*N(Crédits!$D$7)/12</f>
        <v>0</v>
      </c>
      <c r="T128" s="93">
        <f>MIN(N(Crédits!$E$7),R128+S128)</f>
        <v>0</v>
      </c>
      <c r="U128" s="93">
        <f t="shared" si="4"/>
        <v>0</v>
      </c>
      <c r="V128" s="94">
        <f>IF(Crédits!$K$7="",0,MAX(0,MIN(U128,Plan!$L$130-(IF(Crédits!$K$5="",0,IF(Crédits!$K$5&lt;Crédits!$K$7,E128,0))+IF(Crédits!$K$6="",0,IF(Crédits!$K$6&lt;Crédits!$K$7,M128,0))+IF(Crédits!$K$8="",0,IF(Crédits!$K$8&lt;Crédits!$K$7,AC128,0))+IF(Crédits!$K$9="",0,IF(Crédits!$K$9&lt;Crédits!$K$7,AK128,0))+IF(Crédits!$K$10="",0,IF(Crédits!$K$10&lt;Crédits!$K$7,AS128,0))))))</f>
        <v>0</v>
      </c>
      <c r="W128" s="95">
        <f t="shared" si="5"/>
        <v>0</v>
      </c>
      <c r="X128" s="88">
        <f>ROUND(X127+Y128-MIN(N(Crédits!$E$7),X127+Y128),2)</f>
        <v>0</v>
      </c>
      <c r="Y128" s="89">
        <f>X127*N(Crédits!$D$7)/12</f>
        <v>0</v>
      </c>
      <c r="Z128" s="96">
        <f t="shared" si="19"/>
        <v>0</v>
      </c>
      <c r="AA128" s="96">
        <f>Z128*N(Crédits!$D$8)/12</f>
        <v>0</v>
      </c>
      <c r="AB128" s="96">
        <f>MIN(N(Crédits!$E$8),Z128+AA128)</f>
        <v>0</v>
      </c>
      <c r="AC128" s="96">
        <f t="shared" si="6"/>
        <v>0</v>
      </c>
      <c r="AD128" s="97">
        <f>IF(Crédits!$K$8="",0,MAX(0,MIN(AC128,Plan!$L$130-(IF(Crédits!$K$5="",0,IF(Crédits!$K$5&lt;Crédits!$K$8,E128,0))+IF(Crédits!$K$6="",0,IF(Crédits!$K$6&lt;Crédits!$K$8,M128,0))+IF(Crédits!$K$7="",0,IF(Crédits!$K$7&lt;Crédits!$K$8,U128,0))+IF(Crédits!$K$9="",0,IF(Crédits!$K$9&lt;Crédits!$K$8,AK128,0))+IF(Crédits!$K$10="",0,IF(Crédits!$K$10&lt;Crédits!$K$8,AS128,0))))))</f>
        <v>0</v>
      </c>
      <c r="AE128" s="98">
        <f t="shared" si="7"/>
        <v>0</v>
      </c>
      <c r="AF128" s="88">
        <f>ROUND(AF127+AG128-MIN(N(Crédits!$E$8),AF127+AG128),2)</f>
        <v>0</v>
      </c>
      <c r="AG128" s="89">
        <f>AF127*N(Crédits!$D$8)/12</f>
        <v>0</v>
      </c>
      <c r="AH128" s="99">
        <f t="shared" si="20"/>
        <v>0</v>
      </c>
      <c r="AI128" s="99">
        <f>AH128*N(Crédits!$D$9)/12</f>
        <v>0</v>
      </c>
      <c r="AJ128" s="99">
        <f>MIN(N(Crédits!$E$9),AH128+AI128)</f>
        <v>0</v>
      </c>
      <c r="AK128" s="99">
        <f t="shared" si="8"/>
        <v>0</v>
      </c>
      <c r="AL128" s="100">
        <f>IF(Crédits!$K$9="",0,MAX(0,MIN(AK128,Plan!$L$130-(IF(Crédits!$K$5="",0,IF(Crédits!$K$5&lt;Crédits!$K$9,E128,0))+IF(Crédits!$K$6="",0,IF(Crédits!$K$6&lt;Crédits!$K$9,M128,0))+IF(Crédits!$K$7="",0,IF(Crédits!$K$7&lt;Crédits!$K$9,U128,0))+IF(Crédits!$K$8="",0,IF(Crédits!$K$8&lt;Crédits!$K$9,AC128,0))+IF(Crédits!$K$10="",0,IF(Crédits!$K$10&lt;Crédits!$K$9,AS128,0))))))</f>
        <v>0</v>
      </c>
      <c r="AM128" s="101">
        <f t="shared" si="9"/>
        <v>0</v>
      </c>
      <c r="AN128" s="88">
        <f>ROUND(AN127+AO128-MIN(N(Crédits!$E$9),AN127+AO128),2)</f>
        <v>0</v>
      </c>
      <c r="AO128" s="89">
        <f>AN127*N(Crédits!$D$9)/12</f>
        <v>0</v>
      </c>
      <c r="AP128" s="102">
        <f t="shared" si="21"/>
        <v>0</v>
      </c>
      <c r="AQ128" s="102">
        <f>AP128*N(Crédits!$D$10)/12</f>
        <v>0</v>
      </c>
      <c r="AR128" s="102">
        <f>MIN(N(Crédits!$E$10),AP128+AQ128)</f>
        <v>0</v>
      </c>
      <c r="AS128" s="102">
        <f t="shared" si="10"/>
        <v>0</v>
      </c>
      <c r="AT128" s="103">
        <f>IF(Crédits!$K$10="",0,MAX(0,MIN(AS128,Plan!$L$130-(IF(Crédits!$K$5="",0,IF(Crédits!$K$5&lt;Crédits!$K$10,E128,0))+IF(Crédits!$K$6="",0,IF(Crédits!$K$6&lt;Crédits!$K$10,M128,0))+IF(Crédits!$K$7="",0,IF(Crédits!$K$7&lt;Crédits!$K$10,U128,0))+IF(Crédits!$K$8="",0,IF(Crédits!$K$8&lt;Crédits!$K$10,AC128,0))+IF(Crédits!$K$9="",0,IF(Crédits!$K$9&lt;Crédits!$K$10,AK128,0))))))</f>
        <v>0</v>
      </c>
      <c r="AU128" s="104">
        <f t="shared" si="11"/>
        <v>0</v>
      </c>
      <c r="AV128" s="88">
        <f>ROUND(AV127+AW128-MIN(N(Crédits!$E$10),AV127+AW128),2)</f>
        <v>0</v>
      </c>
      <c r="AW128" s="89">
        <f>AV127*N(Crédits!$D$10)/12</f>
        <v>0</v>
      </c>
      <c r="AX128" s="105">
        <f t="shared" si="12"/>
        <v>0</v>
      </c>
      <c r="AY128" s="105">
        <f t="shared" ref="AY128:AZ128" si="146">F128+N128+V128+AD128+AL128+AT128</f>
        <v>0</v>
      </c>
      <c r="AZ128" s="105">
        <f t="shared" si="146"/>
        <v>0</v>
      </c>
      <c r="BA128" s="105">
        <f t="shared" si="14"/>
        <v>0</v>
      </c>
      <c r="BB128" s="105">
        <f t="shared" si="15"/>
        <v>0</v>
      </c>
    </row>
    <row r="129" spans="1:54" ht="15" customHeight="1" x14ac:dyDescent="0.25">
      <c r="A129" s="2">
        <v>127</v>
      </c>
      <c r="B129" s="83">
        <f t="shared" si="16"/>
        <v>0</v>
      </c>
      <c r="C129" s="83">
        <f>B129*N(Crédits!$D$5)/12</f>
        <v>0</v>
      </c>
      <c r="D129" s="83">
        <f>MIN(N(Crédits!$E$5),B129+C129)</f>
        <v>0</v>
      </c>
      <c r="E129" s="83">
        <f t="shared" si="0"/>
        <v>0</v>
      </c>
      <c r="F129" s="86">
        <f>IF(Crédits!$K$5="",0,MAX(0,MIN(E129,Plan!$L$131-(IF(Crédits!$K$6="",0,IF(Crédits!$K$6&lt;Crédits!$K$5,M129,0))+IF(Crédits!$K$7="",0,IF(Crédits!$K$7&lt;Crédits!$K$5,U129,0))+IF(Crédits!$K$8="",0,IF(Crédits!$K$8&lt;Crédits!$K$5,AC129,0))+IF(Crédits!$K$9="",0,IF(Crédits!$K$9&lt;Crédits!$K$5,AK129,0))+IF(Crédits!$K$10="",0,IF(Crédits!$K$10&lt;Crédits!$K$5,AS129,0))))))</f>
        <v>0</v>
      </c>
      <c r="G129" s="87">
        <f t="shared" si="1"/>
        <v>0</v>
      </c>
      <c r="H129" s="88">
        <f>ROUND(H128+I129-MIN(N(Crédits!$E$5),H128+I129),2)</f>
        <v>0</v>
      </c>
      <c r="I129" s="89">
        <f>H128*N(Crédits!$D$5)/12</f>
        <v>0</v>
      </c>
      <c r="J129" s="90">
        <f t="shared" si="17"/>
        <v>0</v>
      </c>
      <c r="K129" s="90">
        <f>J129*N(Crédits!$D$6)/12</f>
        <v>0</v>
      </c>
      <c r="L129" s="90">
        <f>MIN(N(Crédits!$E$6),J129+K129)</f>
        <v>0</v>
      </c>
      <c r="M129" s="90">
        <f t="shared" si="2"/>
        <v>0</v>
      </c>
      <c r="N129" s="91">
        <f>IF(Crédits!$K$6="",0,MAX(0,MIN(M129,Plan!$L$131-(IF(Crédits!$K$5="",0,IF(Crédits!$K$5&lt;Crédits!$K$6,E129,0))+IF(Crédits!$K$7="",0,IF(Crédits!$K$7&lt;Crédits!$K$6,U129,0))+IF(Crédits!$K$8="",0,IF(Crédits!$K$8&lt;Crédits!$K$6,AC129,0))+IF(Crédits!$K$9="",0,IF(Crédits!$K$9&lt;Crédits!$K$6,AK129,0))+IF(Crédits!$K$10="",0,IF(Crédits!$K$10&lt;Crédits!$K$6,AS129,0))))))</f>
        <v>0</v>
      </c>
      <c r="O129" s="92">
        <f t="shared" si="3"/>
        <v>0</v>
      </c>
      <c r="P129" s="88">
        <f>ROUND(P128+Q129-MIN(N(Crédits!$E$6),P128+Q129),2)</f>
        <v>0</v>
      </c>
      <c r="Q129" s="89">
        <f>P128*N(Crédits!$D$6)/12</f>
        <v>0</v>
      </c>
      <c r="R129" s="93">
        <f t="shared" si="18"/>
        <v>0</v>
      </c>
      <c r="S129" s="93">
        <f>R129*N(Crédits!$D$7)/12</f>
        <v>0</v>
      </c>
      <c r="T129" s="93">
        <f>MIN(N(Crédits!$E$7),R129+S129)</f>
        <v>0</v>
      </c>
      <c r="U129" s="93">
        <f t="shared" si="4"/>
        <v>0</v>
      </c>
      <c r="V129" s="94">
        <f>IF(Crédits!$K$7="",0,MAX(0,MIN(U129,Plan!$L$131-(IF(Crédits!$K$5="",0,IF(Crédits!$K$5&lt;Crédits!$K$7,E129,0))+IF(Crédits!$K$6="",0,IF(Crédits!$K$6&lt;Crédits!$K$7,M129,0))+IF(Crédits!$K$8="",0,IF(Crédits!$K$8&lt;Crédits!$K$7,AC129,0))+IF(Crédits!$K$9="",0,IF(Crédits!$K$9&lt;Crédits!$K$7,AK129,0))+IF(Crédits!$K$10="",0,IF(Crédits!$K$10&lt;Crédits!$K$7,AS129,0))))))</f>
        <v>0</v>
      </c>
      <c r="W129" s="95">
        <f t="shared" si="5"/>
        <v>0</v>
      </c>
      <c r="X129" s="88">
        <f>ROUND(X128+Y129-MIN(N(Crédits!$E$7),X128+Y129),2)</f>
        <v>0</v>
      </c>
      <c r="Y129" s="89">
        <f>X128*N(Crédits!$D$7)/12</f>
        <v>0</v>
      </c>
      <c r="Z129" s="96">
        <f t="shared" si="19"/>
        <v>0</v>
      </c>
      <c r="AA129" s="96">
        <f>Z129*N(Crédits!$D$8)/12</f>
        <v>0</v>
      </c>
      <c r="AB129" s="96">
        <f>MIN(N(Crédits!$E$8),Z129+AA129)</f>
        <v>0</v>
      </c>
      <c r="AC129" s="96">
        <f t="shared" si="6"/>
        <v>0</v>
      </c>
      <c r="AD129" s="97">
        <f>IF(Crédits!$K$8="",0,MAX(0,MIN(AC129,Plan!$L$131-(IF(Crédits!$K$5="",0,IF(Crédits!$K$5&lt;Crédits!$K$8,E129,0))+IF(Crédits!$K$6="",0,IF(Crédits!$K$6&lt;Crédits!$K$8,M129,0))+IF(Crédits!$K$7="",0,IF(Crédits!$K$7&lt;Crédits!$K$8,U129,0))+IF(Crédits!$K$9="",0,IF(Crédits!$K$9&lt;Crédits!$K$8,AK129,0))+IF(Crédits!$K$10="",0,IF(Crédits!$K$10&lt;Crédits!$K$8,AS129,0))))))</f>
        <v>0</v>
      </c>
      <c r="AE129" s="98">
        <f t="shared" si="7"/>
        <v>0</v>
      </c>
      <c r="AF129" s="88">
        <f>ROUND(AF128+AG129-MIN(N(Crédits!$E$8),AF128+AG129),2)</f>
        <v>0</v>
      </c>
      <c r="AG129" s="89">
        <f>AF128*N(Crédits!$D$8)/12</f>
        <v>0</v>
      </c>
      <c r="AH129" s="99">
        <f t="shared" si="20"/>
        <v>0</v>
      </c>
      <c r="AI129" s="99">
        <f>AH129*N(Crédits!$D$9)/12</f>
        <v>0</v>
      </c>
      <c r="AJ129" s="99">
        <f>MIN(N(Crédits!$E$9),AH129+AI129)</f>
        <v>0</v>
      </c>
      <c r="AK129" s="99">
        <f t="shared" si="8"/>
        <v>0</v>
      </c>
      <c r="AL129" s="100">
        <f>IF(Crédits!$K$9="",0,MAX(0,MIN(AK129,Plan!$L$131-(IF(Crédits!$K$5="",0,IF(Crédits!$K$5&lt;Crédits!$K$9,E129,0))+IF(Crédits!$K$6="",0,IF(Crédits!$K$6&lt;Crédits!$K$9,M129,0))+IF(Crédits!$K$7="",0,IF(Crédits!$K$7&lt;Crédits!$K$9,U129,0))+IF(Crédits!$K$8="",0,IF(Crédits!$K$8&lt;Crédits!$K$9,AC129,0))+IF(Crédits!$K$10="",0,IF(Crédits!$K$10&lt;Crédits!$K$9,AS129,0))))))</f>
        <v>0</v>
      </c>
      <c r="AM129" s="101">
        <f t="shared" si="9"/>
        <v>0</v>
      </c>
      <c r="AN129" s="88">
        <f>ROUND(AN128+AO129-MIN(N(Crédits!$E$9),AN128+AO129),2)</f>
        <v>0</v>
      </c>
      <c r="AO129" s="89">
        <f>AN128*N(Crédits!$D$9)/12</f>
        <v>0</v>
      </c>
      <c r="AP129" s="102">
        <f t="shared" si="21"/>
        <v>0</v>
      </c>
      <c r="AQ129" s="102">
        <f>AP129*N(Crédits!$D$10)/12</f>
        <v>0</v>
      </c>
      <c r="AR129" s="102">
        <f>MIN(N(Crédits!$E$10),AP129+AQ129)</f>
        <v>0</v>
      </c>
      <c r="AS129" s="102">
        <f t="shared" si="10"/>
        <v>0</v>
      </c>
      <c r="AT129" s="103">
        <f>IF(Crédits!$K$10="",0,MAX(0,MIN(AS129,Plan!$L$131-(IF(Crédits!$K$5="",0,IF(Crédits!$K$5&lt;Crédits!$K$10,E129,0))+IF(Crédits!$K$6="",0,IF(Crédits!$K$6&lt;Crédits!$K$10,M129,0))+IF(Crédits!$K$7="",0,IF(Crédits!$K$7&lt;Crédits!$K$10,U129,0))+IF(Crédits!$K$8="",0,IF(Crédits!$K$8&lt;Crédits!$K$10,AC129,0))+IF(Crédits!$K$9="",0,IF(Crédits!$K$9&lt;Crédits!$K$10,AK129,0))))))</f>
        <v>0</v>
      </c>
      <c r="AU129" s="104">
        <f t="shared" si="11"/>
        <v>0</v>
      </c>
      <c r="AV129" s="88">
        <f>ROUND(AV128+AW129-MIN(N(Crédits!$E$10),AV128+AW129),2)</f>
        <v>0</v>
      </c>
      <c r="AW129" s="89">
        <f>AV128*N(Crédits!$D$10)/12</f>
        <v>0</v>
      </c>
      <c r="AX129" s="105">
        <f t="shared" si="12"/>
        <v>0</v>
      </c>
      <c r="AY129" s="105">
        <f t="shared" ref="AY129:AZ129" si="147">F129+N129+V129+AD129+AL129+AT129</f>
        <v>0</v>
      </c>
      <c r="AZ129" s="105">
        <f t="shared" si="147"/>
        <v>0</v>
      </c>
      <c r="BA129" s="105">
        <f t="shared" si="14"/>
        <v>0</v>
      </c>
      <c r="BB129" s="105">
        <f t="shared" si="15"/>
        <v>0</v>
      </c>
    </row>
    <row r="130" spans="1:54" ht="15" customHeight="1" x14ac:dyDescent="0.25">
      <c r="A130" s="2">
        <v>128</v>
      </c>
      <c r="B130" s="83">
        <f t="shared" si="16"/>
        <v>0</v>
      </c>
      <c r="C130" s="83">
        <f>B130*N(Crédits!$D$5)/12</f>
        <v>0</v>
      </c>
      <c r="D130" s="83">
        <f>MIN(N(Crédits!$E$5),B130+C130)</f>
        <v>0</v>
      </c>
      <c r="E130" s="83">
        <f t="shared" si="0"/>
        <v>0</v>
      </c>
      <c r="F130" s="86">
        <f>IF(Crédits!$K$5="",0,MAX(0,MIN(E130,Plan!$L$132-(IF(Crédits!$K$6="",0,IF(Crédits!$K$6&lt;Crédits!$K$5,M130,0))+IF(Crédits!$K$7="",0,IF(Crédits!$K$7&lt;Crédits!$K$5,U130,0))+IF(Crédits!$K$8="",0,IF(Crédits!$K$8&lt;Crédits!$K$5,AC130,0))+IF(Crédits!$K$9="",0,IF(Crédits!$K$9&lt;Crédits!$K$5,AK130,0))+IF(Crédits!$K$10="",0,IF(Crédits!$K$10&lt;Crédits!$K$5,AS130,0))))))</f>
        <v>0</v>
      </c>
      <c r="G130" s="87">
        <f t="shared" si="1"/>
        <v>0</v>
      </c>
      <c r="H130" s="88">
        <f>ROUND(H129+I130-MIN(N(Crédits!$E$5),H129+I130),2)</f>
        <v>0</v>
      </c>
      <c r="I130" s="89">
        <f>H129*N(Crédits!$D$5)/12</f>
        <v>0</v>
      </c>
      <c r="J130" s="90">
        <f t="shared" si="17"/>
        <v>0</v>
      </c>
      <c r="K130" s="90">
        <f>J130*N(Crédits!$D$6)/12</f>
        <v>0</v>
      </c>
      <c r="L130" s="90">
        <f>MIN(N(Crédits!$E$6),J130+K130)</f>
        <v>0</v>
      </c>
      <c r="M130" s="90">
        <f t="shared" si="2"/>
        <v>0</v>
      </c>
      <c r="N130" s="91">
        <f>IF(Crédits!$K$6="",0,MAX(0,MIN(M130,Plan!$L$132-(IF(Crédits!$K$5="",0,IF(Crédits!$K$5&lt;Crédits!$K$6,E130,0))+IF(Crédits!$K$7="",0,IF(Crédits!$K$7&lt;Crédits!$K$6,U130,0))+IF(Crédits!$K$8="",0,IF(Crédits!$K$8&lt;Crédits!$K$6,AC130,0))+IF(Crédits!$K$9="",0,IF(Crédits!$K$9&lt;Crédits!$K$6,AK130,0))+IF(Crédits!$K$10="",0,IF(Crédits!$K$10&lt;Crédits!$K$6,AS130,0))))))</f>
        <v>0</v>
      </c>
      <c r="O130" s="92">
        <f t="shared" si="3"/>
        <v>0</v>
      </c>
      <c r="P130" s="88">
        <f>ROUND(P129+Q130-MIN(N(Crédits!$E$6),P129+Q130),2)</f>
        <v>0</v>
      </c>
      <c r="Q130" s="89">
        <f>P129*N(Crédits!$D$6)/12</f>
        <v>0</v>
      </c>
      <c r="R130" s="93">
        <f t="shared" si="18"/>
        <v>0</v>
      </c>
      <c r="S130" s="93">
        <f>R130*N(Crédits!$D$7)/12</f>
        <v>0</v>
      </c>
      <c r="T130" s="93">
        <f>MIN(N(Crédits!$E$7),R130+S130)</f>
        <v>0</v>
      </c>
      <c r="U130" s="93">
        <f t="shared" si="4"/>
        <v>0</v>
      </c>
      <c r="V130" s="94">
        <f>IF(Crédits!$K$7="",0,MAX(0,MIN(U130,Plan!$L$132-(IF(Crédits!$K$5="",0,IF(Crédits!$K$5&lt;Crédits!$K$7,E130,0))+IF(Crédits!$K$6="",0,IF(Crédits!$K$6&lt;Crédits!$K$7,M130,0))+IF(Crédits!$K$8="",0,IF(Crédits!$K$8&lt;Crédits!$K$7,AC130,0))+IF(Crédits!$K$9="",0,IF(Crédits!$K$9&lt;Crédits!$K$7,AK130,0))+IF(Crédits!$K$10="",0,IF(Crédits!$K$10&lt;Crédits!$K$7,AS130,0))))))</f>
        <v>0</v>
      </c>
      <c r="W130" s="95">
        <f t="shared" si="5"/>
        <v>0</v>
      </c>
      <c r="X130" s="88">
        <f>ROUND(X129+Y130-MIN(N(Crédits!$E$7),X129+Y130),2)</f>
        <v>0</v>
      </c>
      <c r="Y130" s="89">
        <f>X129*N(Crédits!$D$7)/12</f>
        <v>0</v>
      </c>
      <c r="Z130" s="96">
        <f t="shared" si="19"/>
        <v>0</v>
      </c>
      <c r="AA130" s="96">
        <f>Z130*N(Crédits!$D$8)/12</f>
        <v>0</v>
      </c>
      <c r="AB130" s="96">
        <f>MIN(N(Crédits!$E$8),Z130+AA130)</f>
        <v>0</v>
      </c>
      <c r="AC130" s="96">
        <f t="shared" si="6"/>
        <v>0</v>
      </c>
      <c r="AD130" s="97">
        <f>IF(Crédits!$K$8="",0,MAX(0,MIN(AC130,Plan!$L$132-(IF(Crédits!$K$5="",0,IF(Crédits!$K$5&lt;Crédits!$K$8,E130,0))+IF(Crédits!$K$6="",0,IF(Crédits!$K$6&lt;Crédits!$K$8,M130,0))+IF(Crédits!$K$7="",0,IF(Crédits!$K$7&lt;Crédits!$K$8,U130,0))+IF(Crédits!$K$9="",0,IF(Crédits!$K$9&lt;Crédits!$K$8,AK130,0))+IF(Crédits!$K$10="",0,IF(Crédits!$K$10&lt;Crédits!$K$8,AS130,0))))))</f>
        <v>0</v>
      </c>
      <c r="AE130" s="98">
        <f t="shared" si="7"/>
        <v>0</v>
      </c>
      <c r="AF130" s="88">
        <f>ROUND(AF129+AG130-MIN(N(Crédits!$E$8),AF129+AG130),2)</f>
        <v>0</v>
      </c>
      <c r="AG130" s="89">
        <f>AF129*N(Crédits!$D$8)/12</f>
        <v>0</v>
      </c>
      <c r="AH130" s="99">
        <f t="shared" si="20"/>
        <v>0</v>
      </c>
      <c r="AI130" s="99">
        <f>AH130*N(Crédits!$D$9)/12</f>
        <v>0</v>
      </c>
      <c r="AJ130" s="99">
        <f>MIN(N(Crédits!$E$9),AH130+AI130)</f>
        <v>0</v>
      </c>
      <c r="AK130" s="99">
        <f t="shared" si="8"/>
        <v>0</v>
      </c>
      <c r="AL130" s="100">
        <f>IF(Crédits!$K$9="",0,MAX(0,MIN(AK130,Plan!$L$132-(IF(Crédits!$K$5="",0,IF(Crédits!$K$5&lt;Crédits!$K$9,E130,0))+IF(Crédits!$K$6="",0,IF(Crédits!$K$6&lt;Crédits!$K$9,M130,0))+IF(Crédits!$K$7="",0,IF(Crédits!$K$7&lt;Crédits!$K$9,U130,0))+IF(Crédits!$K$8="",0,IF(Crédits!$K$8&lt;Crédits!$K$9,AC130,0))+IF(Crédits!$K$10="",0,IF(Crédits!$K$10&lt;Crédits!$K$9,AS130,0))))))</f>
        <v>0</v>
      </c>
      <c r="AM130" s="101">
        <f t="shared" si="9"/>
        <v>0</v>
      </c>
      <c r="AN130" s="88">
        <f>ROUND(AN129+AO130-MIN(N(Crédits!$E$9),AN129+AO130),2)</f>
        <v>0</v>
      </c>
      <c r="AO130" s="89">
        <f>AN129*N(Crédits!$D$9)/12</f>
        <v>0</v>
      </c>
      <c r="AP130" s="102">
        <f t="shared" si="21"/>
        <v>0</v>
      </c>
      <c r="AQ130" s="102">
        <f>AP130*N(Crédits!$D$10)/12</f>
        <v>0</v>
      </c>
      <c r="AR130" s="102">
        <f>MIN(N(Crédits!$E$10),AP130+AQ130)</f>
        <v>0</v>
      </c>
      <c r="AS130" s="102">
        <f t="shared" si="10"/>
        <v>0</v>
      </c>
      <c r="AT130" s="103">
        <f>IF(Crédits!$K$10="",0,MAX(0,MIN(AS130,Plan!$L$132-(IF(Crédits!$K$5="",0,IF(Crédits!$K$5&lt;Crédits!$K$10,E130,0))+IF(Crédits!$K$6="",0,IF(Crédits!$K$6&lt;Crédits!$K$10,M130,0))+IF(Crédits!$K$7="",0,IF(Crédits!$K$7&lt;Crédits!$K$10,U130,0))+IF(Crédits!$K$8="",0,IF(Crédits!$K$8&lt;Crédits!$K$10,AC130,0))+IF(Crédits!$K$9="",0,IF(Crédits!$K$9&lt;Crédits!$K$10,AK130,0))))))</f>
        <v>0</v>
      </c>
      <c r="AU130" s="104">
        <f t="shared" si="11"/>
        <v>0</v>
      </c>
      <c r="AV130" s="88">
        <f>ROUND(AV129+AW130-MIN(N(Crédits!$E$10),AV129+AW130),2)</f>
        <v>0</v>
      </c>
      <c r="AW130" s="89">
        <f>AV129*N(Crédits!$D$10)/12</f>
        <v>0</v>
      </c>
      <c r="AX130" s="105">
        <f t="shared" si="12"/>
        <v>0</v>
      </c>
      <c r="AY130" s="105">
        <f t="shared" ref="AY130:AZ130" si="148">F130+N130+V130+AD130+AL130+AT130</f>
        <v>0</v>
      </c>
      <c r="AZ130" s="105">
        <f t="shared" si="148"/>
        <v>0</v>
      </c>
      <c r="BA130" s="105">
        <f t="shared" si="14"/>
        <v>0</v>
      </c>
      <c r="BB130" s="105">
        <f t="shared" si="15"/>
        <v>0</v>
      </c>
    </row>
    <row r="131" spans="1:54" ht="15" customHeight="1" x14ac:dyDescent="0.25">
      <c r="A131" s="2">
        <v>129</v>
      </c>
      <c r="B131" s="83">
        <f t="shared" si="16"/>
        <v>0</v>
      </c>
      <c r="C131" s="83">
        <f>B131*N(Crédits!$D$5)/12</f>
        <v>0</v>
      </c>
      <c r="D131" s="83">
        <f>MIN(N(Crédits!$E$5),B131+C131)</f>
        <v>0</v>
      </c>
      <c r="E131" s="83">
        <f t="shared" si="0"/>
        <v>0</v>
      </c>
      <c r="F131" s="86">
        <f>IF(Crédits!$K$5="",0,MAX(0,MIN(E131,Plan!$L$133-(IF(Crédits!$K$6="",0,IF(Crédits!$K$6&lt;Crédits!$K$5,M131,0))+IF(Crédits!$K$7="",0,IF(Crédits!$K$7&lt;Crédits!$K$5,U131,0))+IF(Crédits!$K$8="",0,IF(Crédits!$K$8&lt;Crédits!$K$5,AC131,0))+IF(Crédits!$K$9="",0,IF(Crédits!$K$9&lt;Crédits!$K$5,AK131,0))+IF(Crédits!$K$10="",0,IF(Crédits!$K$10&lt;Crédits!$K$5,AS131,0))))))</f>
        <v>0</v>
      </c>
      <c r="G131" s="87">
        <f t="shared" si="1"/>
        <v>0</v>
      </c>
      <c r="H131" s="88">
        <f>ROUND(H130+I131-MIN(N(Crédits!$E$5),H130+I131),2)</f>
        <v>0</v>
      </c>
      <c r="I131" s="89">
        <f>H130*N(Crédits!$D$5)/12</f>
        <v>0</v>
      </c>
      <c r="J131" s="90">
        <f t="shared" si="17"/>
        <v>0</v>
      </c>
      <c r="K131" s="90">
        <f>J131*N(Crédits!$D$6)/12</f>
        <v>0</v>
      </c>
      <c r="L131" s="90">
        <f>MIN(N(Crédits!$E$6),J131+K131)</f>
        <v>0</v>
      </c>
      <c r="M131" s="90">
        <f t="shared" si="2"/>
        <v>0</v>
      </c>
      <c r="N131" s="91">
        <f>IF(Crédits!$K$6="",0,MAX(0,MIN(M131,Plan!$L$133-(IF(Crédits!$K$5="",0,IF(Crédits!$K$5&lt;Crédits!$K$6,E131,0))+IF(Crédits!$K$7="",0,IF(Crédits!$K$7&lt;Crédits!$K$6,U131,0))+IF(Crédits!$K$8="",0,IF(Crédits!$K$8&lt;Crédits!$K$6,AC131,0))+IF(Crédits!$K$9="",0,IF(Crédits!$K$9&lt;Crédits!$K$6,AK131,0))+IF(Crédits!$K$10="",0,IF(Crédits!$K$10&lt;Crédits!$K$6,AS131,0))))))</f>
        <v>0</v>
      </c>
      <c r="O131" s="92">
        <f t="shared" si="3"/>
        <v>0</v>
      </c>
      <c r="P131" s="88">
        <f>ROUND(P130+Q131-MIN(N(Crédits!$E$6),P130+Q131),2)</f>
        <v>0</v>
      </c>
      <c r="Q131" s="89">
        <f>P130*N(Crédits!$D$6)/12</f>
        <v>0</v>
      </c>
      <c r="R131" s="93">
        <f t="shared" si="18"/>
        <v>0</v>
      </c>
      <c r="S131" s="93">
        <f>R131*N(Crédits!$D$7)/12</f>
        <v>0</v>
      </c>
      <c r="T131" s="93">
        <f>MIN(N(Crédits!$E$7),R131+S131)</f>
        <v>0</v>
      </c>
      <c r="U131" s="93">
        <f t="shared" si="4"/>
        <v>0</v>
      </c>
      <c r="V131" s="94">
        <f>IF(Crédits!$K$7="",0,MAX(0,MIN(U131,Plan!$L$133-(IF(Crédits!$K$5="",0,IF(Crédits!$K$5&lt;Crédits!$K$7,E131,0))+IF(Crédits!$K$6="",0,IF(Crédits!$K$6&lt;Crédits!$K$7,M131,0))+IF(Crédits!$K$8="",0,IF(Crédits!$K$8&lt;Crédits!$K$7,AC131,0))+IF(Crédits!$K$9="",0,IF(Crédits!$K$9&lt;Crédits!$K$7,AK131,0))+IF(Crédits!$K$10="",0,IF(Crédits!$K$10&lt;Crédits!$K$7,AS131,0))))))</f>
        <v>0</v>
      </c>
      <c r="W131" s="95">
        <f t="shared" si="5"/>
        <v>0</v>
      </c>
      <c r="X131" s="88">
        <f>ROUND(X130+Y131-MIN(N(Crédits!$E$7),X130+Y131),2)</f>
        <v>0</v>
      </c>
      <c r="Y131" s="89">
        <f>X130*N(Crédits!$D$7)/12</f>
        <v>0</v>
      </c>
      <c r="Z131" s="96">
        <f t="shared" si="19"/>
        <v>0</v>
      </c>
      <c r="AA131" s="96">
        <f>Z131*N(Crédits!$D$8)/12</f>
        <v>0</v>
      </c>
      <c r="AB131" s="96">
        <f>MIN(N(Crédits!$E$8),Z131+AA131)</f>
        <v>0</v>
      </c>
      <c r="AC131" s="96">
        <f t="shared" si="6"/>
        <v>0</v>
      </c>
      <c r="AD131" s="97">
        <f>IF(Crédits!$K$8="",0,MAX(0,MIN(AC131,Plan!$L$133-(IF(Crédits!$K$5="",0,IF(Crédits!$K$5&lt;Crédits!$K$8,E131,0))+IF(Crédits!$K$6="",0,IF(Crédits!$K$6&lt;Crédits!$K$8,M131,0))+IF(Crédits!$K$7="",0,IF(Crédits!$K$7&lt;Crédits!$K$8,U131,0))+IF(Crédits!$K$9="",0,IF(Crédits!$K$9&lt;Crédits!$K$8,AK131,0))+IF(Crédits!$K$10="",0,IF(Crédits!$K$10&lt;Crédits!$K$8,AS131,0))))))</f>
        <v>0</v>
      </c>
      <c r="AE131" s="98">
        <f t="shared" si="7"/>
        <v>0</v>
      </c>
      <c r="AF131" s="88">
        <f>ROUND(AF130+AG131-MIN(N(Crédits!$E$8),AF130+AG131),2)</f>
        <v>0</v>
      </c>
      <c r="AG131" s="89">
        <f>AF130*N(Crédits!$D$8)/12</f>
        <v>0</v>
      </c>
      <c r="AH131" s="99">
        <f t="shared" si="20"/>
        <v>0</v>
      </c>
      <c r="AI131" s="99">
        <f>AH131*N(Crédits!$D$9)/12</f>
        <v>0</v>
      </c>
      <c r="AJ131" s="99">
        <f>MIN(N(Crédits!$E$9),AH131+AI131)</f>
        <v>0</v>
      </c>
      <c r="AK131" s="99">
        <f t="shared" si="8"/>
        <v>0</v>
      </c>
      <c r="AL131" s="100">
        <f>IF(Crédits!$K$9="",0,MAX(0,MIN(AK131,Plan!$L$133-(IF(Crédits!$K$5="",0,IF(Crédits!$K$5&lt;Crédits!$K$9,E131,0))+IF(Crédits!$K$6="",0,IF(Crédits!$K$6&lt;Crédits!$K$9,M131,0))+IF(Crédits!$K$7="",0,IF(Crédits!$K$7&lt;Crédits!$K$9,U131,0))+IF(Crédits!$K$8="",0,IF(Crédits!$K$8&lt;Crédits!$K$9,AC131,0))+IF(Crédits!$K$10="",0,IF(Crédits!$K$10&lt;Crédits!$K$9,AS131,0))))))</f>
        <v>0</v>
      </c>
      <c r="AM131" s="101">
        <f t="shared" si="9"/>
        <v>0</v>
      </c>
      <c r="AN131" s="88">
        <f>ROUND(AN130+AO131-MIN(N(Crédits!$E$9),AN130+AO131),2)</f>
        <v>0</v>
      </c>
      <c r="AO131" s="89">
        <f>AN130*N(Crédits!$D$9)/12</f>
        <v>0</v>
      </c>
      <c r="AP131" s="102">
        <f t="shared" si="21"/>
        <v>0</v>
      </c>
      <c r="AQ131" s="102">
        <f>AP131*N(Crédits!$D$10)/12</f>
        <v>0</v>
      </c>
      <c r="AR131" s="102">
        <f>MIN(N(Crédits!$E$10),AP131+AQ131)</f>
        <v>0</v>
      </c>
      <c r="AS131" s="102">
        <f t="shared" si="10"/>
        <v>0</v>
      </c>
      <c r="AT131" s="103">
        <f>IF(Crédits!$K$10="",0,MAX(0,MIN(AS131,Plan!$L$133-(IF(Crédits!$K$5="",0,IF(Crédits!$K$5&lt;Crédits!$K$10,E131,0))+IF(Crédits!$K$6="",0,IF(Crédits!$K$6&lt;Crédits!$K$10,M131,0))+IF(Crédits!$K$7="",0,IF(Crédits!$K$7&lt;Crédits!$K$10,U131,0))+IF(Crédits!$K$8="",0,IF(Crédits!$K$8&lt;Crédits!$K$10,AC131,0))+IF(Crédits!$K$9="",0,IF(Crédits!$K$9&lt;Crédits!$K$10,AK131,0))))))</f>
        <v>0</v>
      </c>
      <c r="AU131" s="104">
        <f t="shared" si="11"/>
        <v>0</v>
      </c>
      <c r="AV131" s="88">
        <f>ROUND(AV130+AW131-MIN(N(Crédits!$E$10),AV130+AW131),2)</f>
        <v>0</v>
      </c>
      <c r="AW131" s="89">
        <f>AV130*N(Crédits!$D$10)/12</f>
        <v>0</v>
      </c>
      <c r="AX131" s="105">
        <f t="shared" si="12"/>
        <v>0</v>
      </c>
      <c r="AY131" s="105">
        <f t="shared" ref="AY131:AZ131" si="149">F131+N131+V131+AD131+AL131+AT131</f>
        <v>0</v>
      </c>
      <c r="AZ131" s="105">
        <f t="shared" si="149"/>
        <v>0</v>
      </c>
      <c r="BA131" s="105">
        <f t="shared" si="14"/>
        <v>0</v>
      </c>
      <c r="BB131" s="105">
        <f t="shared" si="15"/>
        <v>0</v>
      </c>
    </row>
    <row r="132" spans="1:54" ht="15" customHeight="1" x14ac:dyDescent="0.25">
      <c r="A132" s="2">
        <v>130</v>
      </c>
      <c r="B132" s="83">
        <f t="shared" si="16"/>
        <v>0</v>
      </c>
      <c r="C132" s="83">
        <f>B132*N(Crédits!$D$5)/12</f>
        <v>0</v>
      </c>
      <c r="D132" s="83">
        <f>MIN(N(Crédits!$E$5),B132+C132)</f>
        <v>0</v>
      </c>
      <c r="E132" s="83">
        <f t="shared" si="0"/>
        <v>0</v>
      </c>
      <c r="F132" s="86">
        <f>IF(Crédits!$K$5="",0,MAX(0,MIN(E132,Plan!$L$134-(IF(Crédits!$K$6="",0,IF(Crédits!$K$6&lt;Crédits!$K$5,M132,0))+IF(Crédits!$K$7="",0,IF(Crédits!$K$7&lt;Crédits!$K$5,U132,0))+IF(Crédits!$K$8="",0,IF(Crédits!$K$8&lt;Crédits!$K$5,AC132,0))+IF(Crédits!$K$9="",0,IF(Crédits!$K$9&lt;Crédits!$K$5,AK132,0))+IF(Crédits!$K$10="",0,IF(Crédits!$K$10&lt;Crédits!$K$5,AS132,0))))))</f>
        <v>0</v>
      </c>
      <c r="G132" s="87">
        <f t="shared" si="1"/>
        <v>0</v>
      </c>
      <c r="H132" s="88">
        <f>ROUND(H131+I132-MIN(N(Crédits!$E$5),H131+I132),2)</f>
        <v>0</v>
      </c>
      <c r="I132" s="89">
        <f>H131*N(Crédits!$D$5)/12</f>
        <v>0</v>
      </c>
      <c r="J132" s="90">
        <f t="shared" si="17"/>
        <v>0</v>
      </c>
      <c r="K132" s="90">
        <f>J132*N(Crédits!$D$6)/12</f>
        <v>0</v>
      </c>
      <c r="L132" s="90">
        <f>MIN(N(Crédits!$E$6),J132+K132)</f>
        <v>0</v>
      </c>
      <c r="M132" s="90">
        <f t="shared" si="2"/>
        <v>0</v>
      </c>
      <c r="N132" s="91">
        <f>IF(Crédits!$K$6="",0,MAX(0,MIN(M132,Plan!$L$134-(IF(Crédits!$K$5="",0,IF(Crédits!$K$5&lt;Crédits!$K$6,E132,0))+IF(Crédits!$K$7="",0,IF(Crédits!$K$7&lt;Crédits!$K$6,U132,0))+IF(Crédits!$K$8="",0,IF(Crédits!$K$8&lt;Crédits!$K$6,AC132,0))+IF(Crédits!$K$9="",0,IF(Crédits!$K$9&lt;Crédits!$K$6,AK132,0))+IF(Crédits!$K$10="",0,IF(Crédits!$K$10&lt;Crédits!$K$6,AS132,0))))))</f>
        <v>0</v>
      </c>
      <c r="O132" s="92">
        <f t="shared" si="3"/>
        <v>0</v>
      </c>
      <c r="P132" s="88">
        <f>ROUND(P131+Q132-MIN(N(Crédits!$E$6),P131+Q132),2)</f>
        <v>0</v>
      </c>
      <c r="Q132" s="89">
        <f>P131*N(Crédits!$D$6)/12</f>
        <v>0</v>
      </c>
      <c r="R132" s="93">
        <f t="shared" si="18"/>
        <v>0</v>
      </c>
      <c r="S132" s="93">
        <f>R132*N(Crédits!$D$7)/12</f>
        <v>0</v>
      </c>
      <c r="T132" s="93">
        <f>MIN(N(Crédits!$E$7),R132+S132)</f>
        <v>0</v>
      </c>
      <c r="U132" s="93">
        <f t="shared" si="4"/>
        <v>0</v>
      </c>
      <c r="V132" s="94">
        <f>IF(Crédits!$K$7="",0,MAX(0,MIN(U132,Plan!$L$134-(IF(Crédits!$K$5="",0,IF(Crédits!$K$5&lt;Crédits!$K$7,E132,0))+IF(Crédits!$K$6="",0,IF(Crédits!$K$6&lt;Crédits!$K$7,M132,0))+IF(Crédits!$K$8="",0,IF(Crédits!$K$8&lt;Crédits!$K$7,AC132,0))+IF(Crédits!$K$9="",0,IF(Crédits!$K$9&lt;Crédits!$K$7,AK132,0))+IF(Crédits!$K$10="",0,IF(Crédits!$K$10&lt;Crédits!$K$7,AS132,0))))))</f>
        <v>0</v>
      </c>
      <c r="W132" s="95">
        <f t="shared" si="5"/>
        <v>0</v>
      </c>
      <c r="X132" s="88">
        <f>ROUND(X131+Y132-MIN(N(Crédits!$E$7),X131+Y132),2)</f>
        <v>0</v>
      </c>
      <c r="Y132" s="89">
        <f>X131*N(Crédits!$D$7)/12</f>
        <v>0</v>
      </c>
      <c r="Z132" s="96">
        <f t="shared" si="19"/>
        <v>0</v>
      </c>
      <c r="AA132" s="96">
        <f>Z132*N(Crédits!$D$8)/12</f>
        <v>0</v>
      </c>
      <c r="AB132" s="96">
        <f>MIN(N(Crédits!$E$8),Z132+AA132)</f>
        <v>0</v>
      </c>
      <c r="AC132" s="96">
        <f t="shared" si="6"/>
        <v>0</v>
      </c>
      <c r="AD132" s="97">
        <f>IF(Crédits!$K$8="",0,MAX(0,MIN(AC132,Plan!$L$134-(IF(Crédits!$K$5="",0,IF(Crédits!$K$5&lt;Crédits!$K$8,E132,0))+IF(Crédits!$K$6="",0,IF(Crédits!$K$6&lt;Crédits!$K$8,M132,0))+IF(Crédits!$K$7="",0,IF(Crédits!$K$7&lt;Crédits!$K$8,U132,0))+IF(Crédits!$K$9="",0,IF(Crédits!$K$9&lt;Crédits!$K$8,AK132,0))+IF(Crédits!$K$10="",0,IF(Crédits!$K$10&lt;Crédits!$K$8,AS132,0))))))</f>
        <v>0</v>
      </c>
      <c r="AE132" s="98">
        <f t="shared" si="7"/>
        <v>0</v>
      </c>
      <c r="AF132" s="88">
        <f>ROUND(AF131+AG132-MIN(N(Crédits!$E$8),AF131+AG132),2)</f>
        <v>0</v>
      </c>
      <c r="AG132" s="89">
        <f>AF131*N(Crédits!$D$8)/12</f>
        <v>0</v>
      </c>
      <c r="AH132" s="99">
        <f t="shared" si="20"/>
        <v>0</v>
      </c>
      <c r="AI132" s="99">
        <f>AH132*N(Crédits!$D$9)/12</f>
        <v>0</v>
      </c>
      <c r="AJ132" s="99">
        <f>MIN(N(Crédits!$E$9),AH132+AI132)</f>
        <v>0</v>
      </c>
      <c r="AK132" s="99">
        <f t="shared" si="8"/>
        <v>0</v>
      </c>
      <c r="AL132" s="100">
        <f>IF(Crédits!$K$9="",0,MAX(0,MIN(AK132,Plan!$L$134-(IF(Crédits!$K$5="",0,IF(Crédits!$K$5&lt;Crédits!$K$9,E132,0))+IF(Crédits!$K$6="",0,IF(Crédits!$K$6&lt;Crédits!$K$9,M132,0))+IF(Crédits!$K$7="",0,IF(Crédits!$K$7&lt;Crédits!$K$9,U132,0))+IF(Crédits!$K$8="",0,IF(Crédits!$K$8&lt;Crédits!$K$9,AC132,0))+IF(Crédits!$K$10="",0,IF(Crédits!$K$10&lt;Crédits!$K$9,AS132,0))))))</f>
        <v>0</v>
      </c>
      <c r="AM132" s="101">
        <f t="shared" si="9"/>
        <v>0</v>
      </c>
      <c r="AN132" s="88">
        <f>ROUND(AN131+AO132-MIN(N(Crédits!$E$9),AN131+AO132),2)</f>
        <v>0</v>
      </c>
      <c r="AO132" s="89">
        <f>AN131*N(Crédits!$D$9)/12</f>
        <v>0</v>
      </c>
      <c r="AP132" s="102">
        <f t="shared" si="21"/>
        <v>0</v>
      </c>
      <c r="AQ132" s="102">
        <f>AP132*N(Crédits!$D$10)/12</f>
        <v>0</v>
      </c>
      <c r="AR132" s="102">
        <f>MIN(N(Crédits!$E$10),AP132+AQ132)</f>
        <v>0</v>
      </c>
      <c r="AS132" s="102">
        <f t="shared" si="10"/>
        <v>0</v>
      </c>
      <c r="AT132" s="103">
        <f>IF(Crédits!$K$10="",0,MAX(0,MIN(AS132,Plan!$L$134-(IF(Crédits!$K$5="",0,IF(Crédits!$K$5&lt;Crédits!$K$10,E132,0))+IF(Crédits!$K$6="",0,IF(Crédits!$K$6&lt;Crédits!$K$10,M132,0))+IF(Crédits!$K$7="",0,IF(Crédits!$K$7&lt;Crédits!$K$10,U132,0))+IF(Crédits!$K$8="",0,IF(Crédits!$K$8&lt;Crédits!$K$10,AC132,0))+IF(Crédits!$K$9="",0,IF(Crédits!$K$9&lt;Crédits!$K$10,AK132,0))))))</f>
        <v>0</v>
      </c>
      <c r="AU132" s="104">
        <f t="shared" si="11"/>
        <v>0</v>
      </c>
      <c r="AV132" s="88">
        <f>ROUND(AV131+AW132-MIN(N(Crédits!$E$10),AV131+AW132),2)</f>
        <v>0</v>
      </c>
      <c r="AW132" s="89">
        <f>AV131*N(Crédits!$D$10)/12</f>
        <v>0</v>
      </c>
      <c r="AX132" s="105">
        <f t="shared" si="12"/>
        <v>0</v>
      </c>
      <c r="AY132" s="105">
        <f t="shared" ref="AY132:AZ132" si="150">F132+N132+V132+AD132+AL132+AT132</f>
        <v>0</v>
      </c>
      <c r="AZ132" s="105">
        <f t="shared" si="150"/>
        <v>0</v>
      </c>
      <c r="BA132" s="105">
        <f t="shared" si="14"/>
        <v>0</v>
      </c>
      <c r="BB132" s="105">
        <f t="shared" si="15"/>
        <v>0</v>
      </c>
    </row>
    <row r="133" spans="1:54" ht="15" customHeight="1" x14ac:dyDescent="0.25">
      <c r="A133" s="2">
        <v>131</v>
      </c>
      <c r="B133" s="83">
        <f t="shared" si="16"/>
        <v>0</v>
      </c>
      <c r="C133" s="83">
        <f>B133*N(Crédits!$D$5)/12</f>
        <v>0</v>
      </c>
      <c r="D133" s="83">
        <f>MIN(N(Crédits!$E$5),B133+C133)</f>
        <v>0</v>
      </c>
      <c r="E133" s="83">
        <f t="shared" si="0"/>
        <v>0</v>
      </c>
      <c r="F133" s="86">
        <f>IF(Crédits!$K$5="",0,MAX(0,MIN(E133,Plan!$L$135-(IF(Crédits!$K$6="",0,IF(Crédits!$K$6&lt;Crédits!$K$5,M133,0))+IF(Crédits!$K$7="",0,IF(Crédits!$K$7&lt;Crédits!$K$5,U133,0))+IF(Crédits!$K$8="",0,IF(Crédits!$K$8&lt;Crédits!$K$5,AC133,0))+IF(Crédits!$K$9="",0,IF(Crédits!$K$9&lt;Crédits!$K$5,AK133,0))+IF(Crédits!$K$10="",0,IF(Crédits!$K$10&lt;Crédits!$K$5,AS133,0))))))</f>
        <v>0</v>
      </c>
      <c r="G133" s="87">
        <f t="shared" si="1"/>
        <v>0</v>
      </c>
      <c r="H133" s="88">
        <f>ROUND(H132+I133-MIN(N(Crédits!$E$5),H132+I133),2)</f>
        <v>0</v>
      </c>
      <c r="I133" s="89">
        <f>H132*N(Crédits!$D$5)/12</f>
        <v>0</v>
      </c>
      <c r="J133" s="90">
        <f t="shared" si="17"/>
        <v>0</v>
      </c>
      <c r="K133" s="90">
        <f>J133*N(Crédits!$D$6)/12</f>
        <v>0</v>
      </c>
      <c r="L133" s="90">
        <f>MIN(N(Crédits!$E$6),J133+K133)</f>
        <v>0</v>
      </c>
      <c r="M133" s="90">
        <f t="shared" si="2"/>
        <v>0</v>
      </c>
      <c r="N133" s="91">
        <f>IF(Crédits!$K$6="",0,MAX(0,MIN(M133,Plan!$L$135-(IF(Crédits!$K$5="",0,IF(Crédits!$K$5&lt;Crédits!$K$6,E133,0))+IF(Crédits!$K$7="",0,IF(Crédits!$K$7&lt;Crédits!$K$6,U133,0))+IF(Crédits!$K$8="",0,IF(Crédits!$K$8&lt;Crédits!$K$6,AC133,0))+IF(Crédits!$K$9="",0,IF(Crédits!$K$9&lt;Crédits!$K$6,AK133,0))+IF(Crédits!$K$10="",0,IF(Crédits!$K$10&lt;Crédits!$K$6,AS133,0))))))</f>
        <v>0</v>
      </c>
      <c r="O133" s="92">
        <f t="shared" si="3"/>
        <v>0</v>
      </c>
      <c r="P133" s="88">
        <f>ROUND(P132+Q133-MIN(N(Crédits!$E$6),P132+Q133),2)</f>
        <v>0</v>
      </c>
      <c r="Q133" s="89">
        <f>P132*N(Crédits!$D$6)/12</f>
        <v>0</v>
      </c>
      <c r="R133" s="93">
        <f t="shared" si="18"/>
        <v>0</v>
      </c>
      <c r="S133" s="93">
        <f>R133*N(Crédits!$D$7)/12</f>
        <v>0</v>
      </c>
      <c r="T133" s="93">
        <f>MIN(N(Crédits!$E$7),R133+S133)</f>
        <v>0</v>
      </c>
      <c r="U133" s="93">
        <f t="shared" si="4"/>
        <v>0</v>
      </c>
      <c r="V133" s="94">
        <f>IF(Crédits!$K$7="",0,MAX(0,MIN(U133,Plan!$L$135-(IF(Crédits!$K$5="",0,IF(Crédits!$K$5&lt;Crédits!$K$7,E133,0))+IF(Crédits!$K$6="",0,IF(Crédits!$K$6&lt;Crédits!$K$7,M133,0))+IF(Crédits!$K$8="",0,IF(Crédits!$K$8&lt;Crédits!$K$7,AC133,0))+IF(Crédits!$K$9="",0,IF(Crédits!$K$9&lt;Crédits!$K$7,AK133,0))+IF(Crédits!$K$10="",0,IF(Crédits!$K$10&lt;Crédits!$K$7,AS133,0))))))</f>
        <v>0</v>
      </c>
      <c r="W133" s="95">
        <f t="shared" si="5"/>
        <v>0</v>
      </c>
      <c r="X133" s="88">
        <f>ROUND(X132+Y133-MIN(N(Crédits!$E$7),X132+Y133),2)</f>
        <v>0</v>
      </c>
      <c r="Y133" s="89">
        <f>X132*N(Crédits!$D$7)/12</f>
        <v>0</v>
      </c>
      <c r="Z133" s="96">
        <f t="shared" si="19"/>
        <v>0</v>
      </c>
      <c r="AA133" s="96">
        <f>Z133*N(Crédits!$D$8)/12</f>
        <v>0</v>
      </c>
      <c r="AB133" s="96">
        <f>MIN(N(Crédits!$E$8),Z133+AA133)</f>
        <v>0</v>
      </c>
      <c r="AC133" s="96">
        <f t="shared" si="6"/>
        <v>0</v>
      </c>
      <c r="AD133" s="97">
        <f>IF(Crédits!$K$8="",0,MAX(0,MIN(AC133,Plan!$L$135-(IF(Crédits!$K$5="",0,IF(Crédits!$K$5&lt;Crédits!$K$8,E133,0))+IF(Crédits!$K$6="",0,IF(Crédits!$K$6&lt;Crédits!$K$8,M133,0))+IF(Crédits!$K$7="",0,IF(Crédits!$K$7&lt;Crédits!$K$8,U133,0))+IF(Crédits!$K$9="",0,IF(Crédits!$K$9&lt;Crédits!$K$8,AK133,0))+IF(Crédits!$K$10="",0,IF(Crédits!$K$10&lt;Crédits!$K$8,AS133,0))))))</f>
        <v>0</v>
      </c>
      <c r="AE133" s="98">
        <f t="shared" si="7"/>
        <v>0</v>
      </c>
      <c r="AF133" s="88">
        <f>ROUND(AF132+AG133-MIN(N(Crédits!$E$8),AF132+AG133),2)</f>
        <v>0</v>
      </c>
      <c r="AG133" s="89">
        <f>AF132*N(Crédits!$D$8)/12</f>
        <v>0</v>
      </c>
      <c r="AH133" s="99">
        <f t="shared" si="20"/>
        <v>0</v>
      </c>
      <c r="AI133" s="99">
        <f>AH133*N(Crédits!$D$9)/12</f>
        <v>0</v>
      </c>
      <c r="AJ133" s="99">
        <f>MIN(N(Crédits!$E$9),AH133+AI133)</f>
        <v>0</v>
      </c>
      <c r="AK133" s="99">
        <f t="shared" si="8"/>
        <v>0</v>
      </c>
      <c r="AL133" s="100">
        <f>IF(Crédits!$K$9="",0,MAX(0,MIN(AK133,Plan!$L$135-(IF(Crédits!$K$5="",0,IF(Crédits!$K$5&lt;Crédits!$K$9,E133,0))+IF(Crédits!$K$6="",0,IF(Crédits!$K$6&lt;Crédits!$K$9,M133,0))+IF(Crédits!$K$7="",0,IF(Crédits!$K$7&lt;Crédits!$K$9,U133,0))+IF(Crédits!$K$8="",0,IF(Crédits!$K$8&lt;Crédits!$K$9,AC133,0))+IF(Crédits!$K$10="",0,IF(Crédits!$K$10&lt;Crédits!$K$9,AS133,0))))))</f>
        <v>0</v>
      </c>
      <c r="AM133" s="101">
        <f t="shared" si="9"/>
        <v>0</v>
      </c>
      <c r="AN133" s="88">
        <f>ROUND(AN132+AO133-MIN(N(Crédits!$E$9),AN132+AO133),2)</f>
        <v>0</v>
      </c>
      <c r="AO133" s="89">
        <f>AN132*N(Crédits!$D$9)/12</f>
        <v>0</v>
      </c>
      <c r="AP133" s="102">
        <f t="shared" si="21"/>
        <v>0</v>
      </c>
      <c r="AQ133" s="102">
        <f>AP133*N(Crédits!$D$10)/12</f>
        <v>0</v>
      </c>
      <c r="AR133" s="102">
        <f>MIN(N(Crédits!$E$10),AP133+AQ133)</f>
        <v>0</v>
      </c>
      <c r="AS133" s="102">
        <f t="shared" si="10"/>
        <v>0</v>
      </c>
      <c r="AT133" s="103">
        <f>IF(Crédits!$K$10="",0,MAX(0,MIN(AS133,Plan!$L$135-(IF(Crédits!$K$5="",0,IF(Crédits!$K$5&lt;Crédits!$K$10,E133,0))+IF(Crédits!$K$6="",0,IF(Crédits!$K$6&lt;Crédits!$K$10,M133,0))+IF(Crédits!$K$7="",0,IF(Crédits!$K$7&lt;Crédits!$K$10,U133,0))+IF(Crédits!$K$8="",0,IF(Crédits!$K$8&lt;Crédits!$K$10,AC133,0))+IF(Crédits!$K$9="",0,IF(Crédits!$K$9&lt;Crédits!$K$10,AK133,0))))))</f>
        <v>0</v>
      </c>
      <c r="AU133" s="104">
        <f t="shared" si="11"/>
        <v>0</v>
      </c>
      <c r="AV133" s="88">
        <f>ROUND(AV132+AW133-MIN(N(Crédits!$E$10),AV132+AW133),2)</f>
        <v>0</v>
      </c>
      <c r="AW133" s="89">
        <f>AV132*N(Crédits!$D$10)/12</f>
        <v>0</v>
      </c>
      <c r="AX133" s="105">
        <f t="shared" si="12"/>
        <v>0</v>
      </c>
      <c r="AY133" s="105">
        <f t="shared" ref="AY133:AZ133" si="151">F133+N133+V133+AD133+AL133+AT133</f>
        <v>0</v>
      </c>
      <c r="AZ133" s="105">
        <f t="shared" si="151"/>
        <v>0</v>
      </c>
      <c r="BA133" s="105">
        <f t="shared" si="14"/>
        <v>0</v>
      </c>
      <c r="BB133" s="105">
        <f t="shared" si="15"/>
        <v>0</v>
      </c>
    </row>
    <row r="134" spans="1:54" ht="15" customHeight="1" x14ac:dyDescent="0.25">
      <c r="A134" s="2">
        <v>132</v>
      </c>
      <c r="B134" s="83">
        <f t="shared" si="16"/>
        <v>0</v>
      </c>
      <c r="C134" s="83">
        <f>B134*N(Crédits!$D$5)/12</f>
        <v>0</v>
      </c>
      <c r="D134" s="83">
        <f>MIN(N(Crédits!$E$5),B134+C134)</f>
        <v>0</v>
      </c>
      <c r="E134" s="83">
        <f t="shared" si="0"/>
        <v>0</v>
      </c>
      <c r="F134" s="86">
        <f>IF(Crédits!$K$5="",0,MAX(0,MIN(E134,Plan!$L$136-(IF(Crédits!$K$6="",0,IF(Crédits!$K$6&lt;Crédits!$K$5,M134,0))+IF(Crédits!$K$7="",0,IF(Crédits!$K$7&lt;Crédits!$K$5,U134,0))+IF(Crédits!$K$8="",0,IF(Crédits!$K$8&lt;Crédits!$K$5,AC134,0))+IF(Crédits!$K$9="",0,IF(Crédits!$K$9&lt;Crédits!$K$5,AK134,0))+IF(Crédits!$K$10="",0,IF(Crédits!$K$10&lt;Crédits!$K$5,AS134,0))))))</f>
        <v>0</v>
      </c>
      <c r="G134" s="87">
        <f t="shared" si="1"/>
        <v>0</v>
      </c>
      <c r="H134" s="88">
        <f>ROUND(H133+I134-MIN(N(Crédits!$E$5),H133+I134),2)</f>
        <v>0</v>
      </c>
      <c r="I134" s="89">
        <f>H133*N(Crédits!$D$5)/12</f>
        <v>0</v>
      </c>
      <c r="J134" s="90">
        <f t="shared" si="17"/>
        <v>0</v>
      </c>
      <c r="K134" s="90">
        <f>J134*N(Crédits!$D$6)/12</f>
        <v>0</v>
      </c>
      <c r="L134" s="90">
        <f>MIN(N(Crédits!$E$6),J134+K134)</f>
        <v>0</v>
      </c>
      <c r="M134" s="90">
        <f t="shared" si="2"/>
        <v>0</v>
      </c>
      <c r="N134" s="91">
        <f>IF(Crédits!$K$6="",0,MAX(0,MIN(M134,Plan!$L$136-(IF(Crédits!$K$5="",0,IF(Crédits!$K$5&lt;Crédits!$K$6,E134,0))+IF(Crédits!$K$7="",0,IF(Crédits!$K$7&lt;Crédits!$K$6,U134,0))+IF(Crédits!$K$8="",0,IF(Crédits!$K$8&lt;Crédits!$K$6,AC134,0))+IF(Crédits!$K$9="",0,IF(Crédits!$K$9&lt;Crédits!$K$6,AK134,0))+IF(Crédits!$K$10="",0,IF(Crédits!$K$10&lt;Crédits!$K$6,AS134,0))))))</f>
        <v>0</v>
      </c>
      <c r="O134" s="92">
        <f t="shared" si="3"/>
        <v>0</v>
      </c>
      <c r="P134" s="88">
        <f>ROUND(P133+Q134-MIN(N(Crédits!$E$6),P133+Q134),2)</f>
        <v>0</v>
      </c>
      <c r="Q134" s="89">
        <f>P133*N(Crédits!$D$6)/12</f>
        <v>0</v>
      </c>
      <c r="R134" s="93">
        <f t="shared" si="18"/>
        <v>0</v>
      </c>
      <c r="S134" s="93">
        <f>R134*N(Crédits!$D$7)/12</f>
        <v>0</v>
      </c>
      <c r="T134" s="93">
        <f>MIN(N(Crédits!$E$7),R134+S134)</f>
        <v>0</v>
      </c>
      <c r="U134" s="93">
        <f t="shared" si="4"/>
        <v>0</v>
      </c>
      <c r="V134" s="94">
        <f>IF(Crédits!$K$7="",0,MAX(0,MIN(U134,Plan!$L$136-(IF(Crédits!$K$5="",0,IF(Crédits!$K$5&lt;Crédits!$K$7,E134,0))+IF(Crédits!$K$6="",0,IF(Crédits!$K$6&lt;Crédits!$K$7,M134,0))+IF(Crédits!$K$8="",0,IF(Crédits!$K$8&lt;Crédits!$K$7,AC134,0))+IF(Crédits!$K$9="",0,IF(Crédits!$K$9&lt;Crédits!$K$7,AK134,0))+IF(Crédits!$K$10="",0,IF(Crédits!$K$10&lt;Crédits!$K$7,AS134,0))))))</f>
        <v>0</v>
      </c>
      <c r="W134" s="95">
        <f t="shared" si="5"/>
        <v>0</v>
      </c>
      <c r="X134" s="88">
        <f>ROUND(X133+Y134-MIN(N(Crédits!$E$7),X133+Y134),2)</f>
        <v>0</v>
      </c>
      <c r="Y134" s="89">
        <f>X133*N(Crédits!$D$7)/12</f>
        <v>0</v>
      </c>
      <c r="Z134" s="96">
        <f t="shared" si="19"/>
        <v>0</v>
      </c>
      <c r="AA134" s="96">
        <f>Z134*N(Crédits!$D$8)/12</f>
        <v>0</v>
      </c>
      <c r="AB134" s="96">
        <f>MIN(N(Crédits!$E$8),Z134+AA134)</f>
        <v>0</v>
      </c>
      <c r="AC134" s="96">
        <f t="shared" si="6"/>
        <v>0</v>
      </c>
      <c r="AD134" s="97">
        <f>IF(Crédits!$K$8="",0,MAX(0,MIN(AC134,Plan!$L$136-(IF(Crédits!$K$5="",0,IF(Crédits!$K$5&lt;Crédits!$K$8,E134,0))+IF(Crédits!$K$6="",0,IF(Crédits!$K$6&lt;Crédits!$K$8,M134,0))+IF(Crédits!$K$7="",0,IF(Crédits!$K$7&lt;Crédits!$K$8,U134,0))+IF(Crédits!$K$9="",0,IF(Crédits!$K$9&lt;Crédits!$K$8,AK134,0))+IF(Crédits!$K$10="",0,IF(Crédits!$K$10&lt;Crédits!$K$8,AS134,0))))))</f>
        <v>0</v>
      </c>
      <c r="AE134" s="98">
        <f t="shared" si="7"/>
        <v>0</v>
      </c>
      <c r="AF134" s="88">
        <f>ROUND(AF133+AG134-MIN(N(Crédits!$E$8),AF133+AG134),2)</f>
        <v>0</v>
      </c>
      <c r="AG134" s="89">
        <f>AF133*N(Crédits!$D$8)/12</f>
        <v>0</v>
      </c>
      <c r="AH134" s="99">
        <f t="shared" si="20"/>
        <v>0</v>
      </c>
      <c r="AI134" s="99">
        <f>AH134*N(Crédits!$D$9)/12</f>
        <v>0</v>
      </c>
      <c r="AJ134" s="99">
        <f>MIN(N(Crédits!$E$9),AH134+AI134)</f>
        <v>0</v>
      </c>
      <c r="AK134" s="99">
        <f t="shared" si="8"/>
        <v>0</v>
      </c>
      <c r="AL134" s="100">
        <f>IF(Crédits!$K$9="",0,MAX(0,MIN(AK134,Plan!$L$136-(IF(Crédits!$K$5="",0,IF(Crédits!$K$5&lt;Crédits!$K$9,E134,0))+IF(Crédits!$K$6="",0,IF(Crédits!$K$6&lt;Crédits!$K$9,M134,0))+IF(Crédits!$K$7="",0,IF(Crédits!$K$7&lt;Crédits!$K$9,U134,0))+IF(Crédits!$K$8="",0,IF(Crédits!$K$8&lt;Crédits!$K$9,AC134,0))+IF(Crédits!$K$10="",0,IF(Crédits!$K$10&lt;Crédits!$K$9,AS134,0))))))</f>
        <v>0</v>
      </c>
      <c r="AM134" s="101">
        <f t="shared" si="9"/>
        <v>0</v>
      </c>
      <c r="AN134" s="88">
        <f>ROUND(AN133+AO134-MIN(N(Crédits!$E$9),AN133+AO134),2)</f>
        <v>0</v>
      </c>
      <c r="AO134" s="89">
        <f>AN133*N(Crédits!$D$9)/12</f>
        <v>0</v>
      </c>
      <c r="AP134" s="102">
        <f t="shared" si="21"/>
        <v>0</v>
      </c>
      <c r="AQ134" s="102">
        <f>AP134*N(Crédits!$D$10)/12</f>
        <v>0</v>
      </c>
      <c r="AR134" s="102">
        <f>MIN(N(Crédits!$E$10),AP134+AQ134)</f>
        <v>0</v>
      </c>
      <c r="AS134" s="102">
        <f t="shared" si="10"/>
        <v>0</v>
      </c>
      <c r="AT134" s="103">
        <f>IF(Crédits!$K$10="",0,MAX(0,MIN(AS134,Plan!$L$136-(IF(Crédits!$K$5="",0,IF(Crédits!$K$5&lt;Crédits!$K$10,E134,0))+IF(Crédits!$K$6="",0,IF(Crédits!$K$6&lt;Crédits!$K$10,M134,0))+IF(Crédits!$K$7="",0,IF(Crédits!$K$7&lt;Crédits!$K$10,U134,0))+IF(Crédits!$K$8="",0,IF(Crédits!$K$8&lt;Crédits!$K$10,AC134,0))+IF(Crédits!$K$9="",0,IF(Crédits!$K$9&lt;Crédits!$K$10,AK134,0))))))</f>
        <v>0</v>
      </c>
      <c r="AU134" s="104">
        <f t="shared" si="11"/>
        <v>0</v>
      </c>
      <c r="AV134" s="88">
        <f>ROUND(AV133+AW134-MIN(N(Crédits!$E$10),AV133+AW134),2)</f>
        <v>0</v>
      </c>
      <c r="AW134" s="89">
        <f>AV133*N(Crédits!$D$10)/12</f>
        <v>0</v>
      </c>
      <c r="AX134" s="105">
        <f t="shared" si="12"/>
        <v>0</v>
      </c>
      <c r="AY134" s="105">
        <f t="shared" ref="AY134:AZ134" si="152">F134+N134+V134+AD134+AL134+AT134</f>
        <v>0</v>
      </c>
      <c r="AZ134" s="105">
        <f t="shared" si="152"/>
        <v>0</v>
      </c>
      <c r="BA134" s="105">
        <f t="shared" si="14"/>
        <v>0</v>
      </c>
      <c r="BB134" s="105">
        <f t="shared" si="15"/>
        <v>0</v>
      </c>
    </row>
    <row r="135" spans="1:54" ht="15" customHeight="1" x14ac:dyDescent="0.25">
      <c r="A135" s="2">
        <v>133</v>
      </c>
      <c r="B135" s="83">
        <f t="shared" si="16"/>
        <v>0</v>
      </c>
      <c r="C135" s="83">
        <f>B135*N(Crédits!$D$5)/12</f>
        <v>0</v>
      </c>
      <c r="D135" s="83">
        <f>MIN(N(Crédits!$E$5),B135+C135)</f>
        <v>0</v>
      </c>
      <c r="E135" s="83">
        <f t="shared" si="0"/>
        <v>0</v>
      </c>
      <c r="F135" s="86">
        <f>IF(Crédits!$K$5="",0,MAX(0,MIN(E135,Plan!$L$137-(IF(Crédits!$K$6="",0,IF(Crédits!$K$6&lt;Crédits!$K$5,M135,0))+IF(Crédits!$K$7="",0,IF(Crédits!$K$7&lt;Crédits!$K$5,U135,0))+IF(Crédits!$K$8="",0,IF(Crédits!$K$8&lt;Crédits!$K$5,AC135,0))+IF(Crédits!$K$9="",0,IF(Crédits!$K$9&lt;Crédits!$K$5,AK135,0))+IF(Crédits!$K$10="",0,IF(Crédits!$K$10&lt;Crédits!$K$5,AS135,0))))))</f>
        <v>0</v>
      </c>
      <c r="G135" s="87">
        <f t="shared" si="1"/>
        <v>0</v>
      </c>
      <c r="H135" s="88">
        <f>ROUND(H134+I135-MIN(N(Crédits!$E$5),H134+I135),2)</f>
        <v>0</v>
      </c>
      <c r="I135" s="89">
        <f>H134*N(Crédits!$D$5)/12</f>
        <v>0</v>
      </c>
      <c r="J135" s="90">
        <f t="shared" si="17"/>
        <v>0</v>
      </c>
      <c r="K135" s="90">
        <f>J135*N(Crédits!$D$6)/12</f>
        <v>0</v>
      </c>
      <c r="L135" s="90">
        <f>MIN(N(Crédits!$E$6),J135+K135)</f>
        <v>0</v>
      </c>
      <c r="M135" s="90">
        <f t="shared" si="2"/>
        <v>0</v>
      </c>
      <c r="N135" s="91">
        <f>IF(Crédits!$K$6="",0,MAX(0,MIN(M135,Plan!$L$137-(IF(Crédits!$K$5="",0,IF(Crédits!$K$5&lt;Crédits!$K$6,E135,0))+IF(Crédits!$K$7="",0,IF(Crédits!$K$7&lt;Crédits!$K$6,U135,0))+IF(Crédits!$K$8="",0,IF(Crédits!$K$8&lt;Crédits!$K$6,AC135,0))+IF(Crédits!$K$9="",0,IF(Crédits!$K$9&lt;Crédits!$K$6,AK135,0))+IF(Crédits!$K$10="",0,IF(Crédits!$K$10&lt;Crédits!$K$6,AS135,0))))))</f>
        <v>0</v>
      </c>
      <c r="O135" s="92">
        <f t="shared" si="3"/>
        <v>0</v>
      </c>
      <c r="P135" s="88">
        <f>ROUND(P134+Q135-MIN(N(Crédits!$E$6),P134+Q135),2)</f>
        <v>0</v>
      </c>
      <c r="Q135" s="89">
        <f>P134*N(Crédits!$D$6)/12</f>
        <v>0</v>
      </c>
      <c r="R135" s="93">
        <f t="shared" si="18"/>
        <v>0</v>
      </c>
      <c r="S135" s="93">
        <f>R135*N(Crédits!$D$7)/12</f>
        <v>0</v>
      </c>
      <c r="T135" s="93">
        <f>MIN(N(Crédits!$E$7),R135+S135)</f>
        <v>0</v>
      </c>
      <c r="U135" s="93">
        <f t="shared" si="4"/>
        <v>0</v>
      </c>
      <c r="V135" s="94">
        <f>IF(Crédits!$K$7="",0,MAX(0,MIN(U135,Plan!$L$137-(IF(Crédits!$K$5="",0,IF(Crédits!$K$5&lt;Crédits!$K$7,E135,0))+IF(Crédits!$K$6="",0,IF(Crédits!$K$6&lt;Crédits!$K$7,M135,0))+IF(Crédits!$K$8="",0,IF(Crédits!$K$8&lt;Crédits!$K$7,AC135,0))+IF(Crédits!$K$9="",0,IF(Crédits!$K$9&lt;Crédits!$K$7,AK135,0))+IF(Crédits!$K$10="",0,IF(Crédits!$K$10&lt;Crédits!$K$7,AS135,0))))))</f>
        <v>0</v>
      </c>
      <c r="W135" s="95">
        <f t="shared" si="5"/>
        <v>0</v>
      </c>
      <c r="X135" s="88">
        <f>ROUND(X134+Y135-MIN(N(Crédits!$E$7),X134+Y135),2)</f>
        <v>0</v>
      </c>
      <c r="Y135" s="89">
        <f>X134*N(Crédits!$D$7)/12</f>
        <v>0</v>
      </c>
      <c r="Z135" s="96">
        <f t="shared" si="19"/>
        <v>0</v>
      </c>
      <c r="AA135" s="96">
        <f>Z135*N(Crédits!$D$8)/12</f>
        <v>0</v>
      </c>
      <c r="AB135" s="96">
        <f>MIN(N(Crédits!$E$8),Z135+AA135)</f>
        <v>0</v>
      </c>
      <c r="AC135" s="96">
        <f t="shared" si="6"/>
        <v>0</v>
      </c>
      <c r="AD135" s="97">
        <f>IF(Crédits!$K$8="",0,MAX(0,MIN(AC135,Plan!$L$137-(IF(Crédits!$K$5="",0,IF(Crédits!$K$5&lt;Crédits!$K$8,E135,0))+IF(Crédits!$K$6="",0,IF(Crédits!$K$6&lt;Crédits!$K$8,M135,0))+IF(Crédits!$K$7="",0,IF(Crédits!$K$7&lt;Crédits!$K$8,U135,0))+IF(Crédits!$K$9="",0,IF(Crédits!$K$9&lt;Crédits!$K$8,AK135,0))+IF(Crédits!$K$10="",0,IF(Crédits!$K$10&lt;Crédits!$K$8,AS135,0))))))</f>
        <v>0</v>
      </c>
      <c r="AE135" s="98">
        <f t="shared" si="7"/>
        <v>0</v>
      </c>
      <c r="AF135" s="88">
        <f>ROUND(AF134+AG135-MIN(N(Crédits!$E$8),AF134+AG135),2)</f>
        <v>0</v>
      </c>
      <c r="AG135" s="89">
        <f>AF134*N(Crédits!$D$8)/12</f>
        <v>0</v>
      </c>
      <c r="AH135" s="99">
        <f t="shared" si="20"/>
        <v>0</v>
      </c>
      <c r="AI135" s="99">
        <f>AH135*N(Crédits!$D$9)/12</f>
        <v>0</v>
      </c>
      <c r="AJ135" s="99">
        <f>MIN(N(Crédits!$E$9),AH135+AI135)</f>
        <v>0</v>
      </c>
      <c r="AK135" s="99">
        <f t="shared" si="8"/>
        <v>0</v>
      </c>
      <c r="AL135" s="100">
        <f>IF(Crédits!$K$9="",0,MAX(0,MIN(AK135,Plan!$L$137-(IF(Crédits!$K$5="",0,IF(Crédits!$K$5&lt;Crédits!$K$9,E135,0))+IF(Crédits!$K$6="",0,IF(Crédits!$K$6&lt;Crédits!$K$9,M135,0))+IF(Crédits!$K$7="",0,IF(Crédits!$K$7&lt;Crédits!$K$9,U135,0))+IF(Crédits!$K$8="",0,IF(Crédits!$K$8&lt;Crédits!$K$9,AC135,0))+IF(Crédits!$K$10="",0,IF(Crédits!$K$10&lt;Crédits!$K$9,AS135,0))))))</f>
        <v>0</v>
      </c>
      <c r="AM135" s="101">
        <f t="shared" si="9"/>
        <v>0</v>
      </c>
      <c r="AN135" s="88">
        <f>ROUND(AN134+AO135-MIN(N(Crédits!$E$9),AN134+AO135),2)</f>
        <v>0</v>
      </c>
      <c r="AO135" s="89">
        <f>AN134*N(Crédits!$D$9)/12</f>
        <v>0</v>
      </c>
      <c r="AP135" s="102">
        <f t="shared" si="21"/>
        <v>0</v>
      </c>
      <c r="AQ135" s="102">
        <f>AP135*N(Crédits!$D$10)/12</f>
        <v>0</v>
      </c>
      <c r="AR135" s="102">
        <f>MIN(N(Crédits!$E$10),AP135+AQ135)</f>
        <v>0</v>
      </c>
      <c r="AS135" s="102">
        <f t="shared" si="10"/>
        <v>0</v>
      </c>
      <c r="AT135" s="103">
        <f>IF(Crédits!$K$10="",0,MAX(0,MIN(AS135,Plan!$L$137-(IF(Crédits!$K$5="",0,IF(Crédits!$K$5&lt;Crédits!$K$10,E135,0))+IF(Crédits!$K$6="",0,IF(Crédits!$K$6&lt;Crédits!$K$10,M135,0))+IF(Crédits!$K$7="",0,IF(Crédits!$K$7&lt;Crédits!$K$10,U135,0))+IF(Crédits!$K$8="",0,IF(Crédits!$K$8&lt;Crédits!$K$10,AC135,0))+IF(Crédits!$K$9="",0,IF(Crédits!$K$9&lt;Crédits!$K$10,AK135,0))))))</f>
        <v>0</v>
      </c>
      <c r="AU135" s="104">
        <f t="shared" si="11"/>
        <v>0</v>
      </c>
      <c r="AV135" s="88">
        <f>ROUND(AV134+AW135-MIN(N(Crédits!$E$10),AV134+AW135),2)</f>
        <v>0</v>
      </c>
      <c r="AW135" s="89">
        <f>AV134*N(Crédits!$D$10)/12</f>
        <v>0</v>
      </c>
      <c r="AX135" s="105">
        <f t="shared" si="12"/>
        <v>0</v>
      </c>
      <c r="AY135" s="105">
        <f t="shared" ref="AY135:AZ135" si="153">F135+N135+V135+AD135+AL135+AT135</f>
        <v>0</v>
      </c>
      <c r="AZ135" s="105">
        <f t="shared" si="153"/>
        <v>0</v>
      </c>
      <c r="BA135" s="105">
        <f t="shared" si="14"/>
        <v>0</v>
      </c>
      <c r="BB135" s="105">
        <f t="shared" si="15"/>
        <v>0</v>
      </c>
    </row>
    <row r="136" spans="1:54" ht="15" customHeight="1" x14ac:dyDescent="0.25">
      <c r="A136" s="2">
        <v>134</v>
      </c>
      <c r="B136" s="83">
        <f t="shared" si="16"/>
        <v>0</v>
      </c>
      <c r="C136" s="83">
        <f>B136*N(Crédits!$D$5)/12</f>
        <v>0</v>
      </c>
      <c r="D136" s="83">
        <f>MIN(N(Crédits!$E$5),B136+C136)</f>
        <v>0</v>
      </c>
      <c r="E136" s="83">
        <f t="shared" si="0"/>
        <v>0</v>
      </c>
      <c r="F136" s="86">
        <f>IF(Crédits!$K$5="",0,MAX(0,MIN(E136,Plan!$L$138-(IF(Crédits!$K$6="",0,IF(Crédits!$K$6&lt;Crédits!$K$5,M136,0))+IF(Crédits!$K$7="",0,IF(Crédits!$K$7&lt;Crédits!$K$5,U136,0))+IF(Crédits!$K$8="",0,IF(Crédits!$K$8&lt;Crédits!$K$5,AC136,0))+IF(Crédits!$K$9="",0,IF(Crédits!$K$9&lt;Crédits!$K$5,AK136,0))+IF(Crédits!$K$10="",0,IF(Crédits!$K$10&lt;Crédits!$K$5,AS136,0))))))</f>
        <v>0</v>
      </c>
      <c r="G136" s="87">
        <f t="shared" si="1"/>
        <v>0</v>
      </c>
      <c r="H136" s="88">
        <f>ROUND(H135+I136-MIN(N(Crédits!$E$5),H135+I136),2)</f>
        <v>0</v>
      </c>
      <c r="I136" s="89">
        <f>H135*N(Crédits!$D$5)/12</f>
        <v>0</v>
      </c>
      <c r="J136" s="90">
        <f t="shared" si="17"/>
        <v>0</v>
      </c>
      <c r="K136" s="90">
        <f>J136*N(Crédits!$D$6)/12</f>
        <v>0</v>
      </c>
      <c r="L136" s="90">
        <f>MIN(N(Crédits!$E$6),J136+K136)</f>
        <v>0</v>
      </c>
      <c r="M136" s="90">
        <f t="shared" si="2"/>
        <v>0</v>
      </c>
      <c r="N136" s="91">
        <f>IF(Crédits!$K$6="",0,MAX(0,MIN(M136,Plan!$L$138-(IF(Crédits!$K$5="",0,IF(Crédits!$K$5&lt;Crédits!$K$6,E136,0))+IF(Crédits!$K$7="",0,IF(Crédits!$K$7&lt;Crédits!$K$6,U136,0))+IF(Crédits!$K$8="",0,IF(Crédits!$K$8&lt;Crédits!$K$6,AC136,0))+IF(Crédits!$K$9="",0,IF(Crédits!$K$9&lt;Crédits!$K$6,AK136,0))+IF(Crédits!$K$10="",0,IF(Crédits!$K$10&lt;Crédits!$K$6,AS136,0))))))</f>
        <v>0</v>
      </c>
      <c r="O136" s="92">
        <f t="shared" si="3"/>
        <v>0</v>
      </c>
      <c r="P136" s="88">
        <f>ROUND(P135+Q136-MIN(N(Crédits!$E$6),P135+Q136),2)</f>
        <v>0</v>
      </c>
      <c r="Q136" s="89">
        <f>P135*N(Crédits!$D$6)/12</f>
        <v>0</v>
      </c>
      <c r="R136" s="93">
        <f t="shared" si="18"/>
        <v>0</v>
      </c>
      <c r="S136" s="93">
        <f>R136*N(Crédits!$D$7)/12</f>
        <v>0</v>
      </c>
      <c r="T136" s="93">
        <f>MIN(N(Crédits!$E$7),R136+S136)</f>
        <v>0</v>
      </c>
      <c r="U136" s="93">
        <f t="shared" si="4"/>
        <v>0</v>
      </c>
      <c r="V136" s="94">
        <f>IF(Crédits!$K$7="",0,MAX(0,MIN(U136,Plan!$L$138-(IF(Crédits!$K$5="",0,IF(Crédits!$K$5&lt;Crédits!$K$7,E136,0))+IF(Crédits!$K$6="",0,IF(Crédits!$K$6&lt;Crédits!$K$7,M136,0))+IF(Crédits!$K$8="",0,IF(Crédits!$K$8&lt;Crédits!$K$7,AC136,0))+IF(Crédits!$K$9="",0,IF(Crédits!$K$9&lt;Crédits!$K$7,AK136,0))+IF(Crédits!$K$10="",0,IF(Crédits!$K$10&lt;Crédits!$K$7,AS136,0))))))</f>
        <v>0</v>
      </c>
      <c r="W136" s="95">
        <f t="shared" si="5"/>
        <v>0</v>
      </c>
      <c r="X136" s="88">
        <f>ROUND(X135+Y136-MIN(N(Crédits!$E$7),X135+Y136),2)</f>
        <v>0</v>
      </c>
      <c r="Y136" s="89">
        <f>X135*N(Crédits!$D$7)/12</f>
        <v>0</v>
      </c>
      <c r="Z136" s="96">
        <f t="shared" si="19"/>
        <v>0</v>
      </c>
      <c r="AA136" s="96">
        <f>Z136*N(Crédits!$D$8)/12</f>
        <v>0</v>
      </c>
      <c r="AB136" s="96">
        <f>MIN(N(Crédits!$E$8),Z136+AA136)</f>
        <v>0</v>
      </c>
      <c r="AC136" s="96">
        <f t="shared" si="6"/>
        <v>0</v>
      </c>
      <c r="AD136" s="97">
        <f>IF(Crédits!$K$8="",0,MAX(0,MIN(AC136,Plan!$L$138-(IF(Crédits!$K$5="",0,IF(Crédits!$K$5&lt;Crédits!$K$8,E136,0))+IF(Crédits!$K$6="",0,IF(Crédits!$K$6&lt;Crédits!$K$8,M136,0))+IF(Crédits!$K$7="",0,IF(Crédits!$K$7&lt;Crédits!$K$8,U136,0))+IF(Crédits!$K$9="",0,IF(Crédits!$K$9&lt;Crédits!$K$8,AK136,0))+IF(Crédits!$K$10="",0,IF(Crédits!$K$10&lt;Crédits!$K$8,AS136,0))))))</f>
        <v>0</v>
      </c>
      <c r="AE136" s="98">
        <f t="shared" si="7"/>
        <v>0</v>
      </c>
      <c r="AF136" s="88">
        <f>ROUND(AF135+AG136-MIN(N(Crédits!$E$8),AF135+AG136),2)</f>
        <v>0</v>
      </c>
      <c r="AG136" s="89">
        <f>AF135*N(Crédits!$D$8)/12</f>
        <v>0</v>
      </c>
      <c r="AH136" s="99">
        <f t="shared" si="20"/>
        <v>0</v>
      </c>
      <c r="AI136" s="99">
        <f>AH136*N(Crédits!$D$9)/12</f>
        <v>0</v>
      </c>
      <c r="AJ136" s="99">
        <f>MIN(N(Crédits!$E$9),AH136+AI136)</f>
        <v>0</v>
      </c>
      <c r="AK136" s="99">
        <f t="shared" si="8"/>
        <v>0</v>
      </c>
      <c r="AL136" s="100">
        <f>IF(Crédits!$K$9="",0,MAX(0,MIN(AK136,Plan!$L$138-(IF(Crédits!$K$5="",0,IF(Crédits!$K$5&lt;Crédits!$K$9,E136,0))+IF(Crédits!$K$6="",0,IF(Crédits!$K$6&lt;Crédits!$K$9,M136,0))+IF(Crédits!$K$7="",0,IF(Crédits!$K$7&lt;Crédits!$K$9,U136,0))+IF(Crédits!$K$8="",0,IF(Crédits!$K$8&lt;Crédits!$K$9,AC136,0))+IF(Crédits!$K$10="",0,IF(Crédits!$K$10&lt;Crédits!$K$9,AS136,0))))))</f>
        <v>0</v>
      </c>
      <c r="AM136" s="101">
        <f t="shared" si="9"/>
        <v>0</v>
      </c>
      <c r="AN136" s="88">
        <f>ROUND(AN135+AO136-MIN(N(Crédits!$E$9),AN135+AO136),2)</f>
        <v>0</v>
      </c>
      <c r="AO136" s="89">
        <f>AN135*N(Crédits!$D$9)/12</f>
        <v>0</v>
      </c>
      <c r="AP136" s="102">
        <f t="shared" si="21"/>
        <v>0</v>
      </c>
      <c r="AQ136" s="102">
        <f>AP136*N(Crédits!$D$10)/12</f>
        <v>0</v>
      </c>
      <c r="AR136" s="102">
        <f>MIN(N(Crédits!$E$10),AP136+AQ136)</f>
        <v>0</v>
      </c>
      <c r="AS136" s="102">
        <f t="shared" si="10"/>
        <v>0</v>
      </c>
      <c r="AT136" s="103">
        <f>IF(Crédits!$K$10="",0,MAX(0,MIN(AS136,Plan!$L$138-(IF(Crédits!$K$5="",0,IF(Crédits!$K$5&lt;Crédits!$K$10,E136,0))+IF(Crédits!$K$6="",0,IF(Crédits!$K$6&lt;Crédits!$K$10,M136,0))+IF(Crédits!$K$7="",0,IF(Crédits!$K$7&lt;Crédits!$K$10,U136,0))+IF(Crédits!$K$8="",0,IF(Crédits!$K$8&lt;Crédits!$K$10,AC136,0))+IF(Crédits!$K$9="",0,IF(Crédits!$K$9&lt;Crédits!$K$10,AK136,0))))))</f>
        <v>0</v>
      </c>
      <c r="AU136" s="104">
        <f t="shared" si="11"/>
        <v>0</v>
      </c>
      <c r="AV136" s="88">
        <f>ROUND(AV135+AW136-MIN(N(Crédits!$E$10),AV135+AW136),2)</f>
        <v>0</v>
      </c>
      <c r="AW136" s="89">
        <f>AV135*N(Crédits!$D$10)/12</f>
        <v>0</v>
      </c>
      <c r="AX136" s="105">
        <f t="shared" si="12"/>
        <v>0</v>
      </c>
      <c r="AY136" s="105">
        <f t="shared" ref="AY136:AZ136" si="154">F136+N136+V136+AD136+AL136+AT136</f>
        <v>0</v>
      </c>
      <c r="AZ136" s="105">
        <f t="shared" si="154"/>
        <v>0</v>
      </c>
      <c r="BA136" s="105">
        <f t="shared" si="14"/>
        <v>0</v>
      </c>
      <c r="BB136" s="105">
        <f t="shared" si="15"/>
        <v>0</v>
      </c>
    </row>
    <row r="137" spans="1:54" ht="15" customHeight="1" x14ac:dyDescent="0.25">
      <c r="A137" s="2">
        <v>135</v>
      </c>
      <c r="B137" s="83">
        <f t="shared" si="16"/>
        <v>0</v>
      </c>
      <c r="C137" s="83">
        <f>B137*N(Crédits!$D$5)/12</f>
        <v>0</v>
      </c>
      <c r="D137" s="83">
        <f>MIN(N(Crédits!$E$5),B137+C137)</f>
        <v>0</v>
      </c>
      <c r="E137" s="83">
        <f t="shared" si="0"/>
        <v>0</v>
      </c>
      <c r="F137" s="86">
        <f>IF(Crédits!$K$5="",0,MAX(0,MIN(E137,Plan!$L$139-(IF(Crédits!$K$6="",0,IF(Crédits!$K$6&lt;Crédits!$K$5,M137,0))+IF(Crédits!$K$7="",0,IF(Crédits!$K$7&lt;Crédits!$K$5,U137,0))+IF(Crédits!$K$8="",0,IF(Crédits!$K$8&lt;Crédits!$K$5,AC137,0))+IF(Crédits!$K$9="",0,IF(Crédits!$K$9&lt;Crédits!$K$5,AK137,0))+IF(Crédits!$K$10="",0,IF(Crédits!$K$10&lt;Crédits!$K$5,AS137,0))))))</f>
        <v>0</v>
      </c>
      <c r="G137" s="87">
        <f t="shared" si="1"/>
        <v>0</v>
      </c>
      <c r="H137" s="88">
        <f>ROUND(H136+I137-MIN(N(Crédits!$E$5),H136+I137),2)</f>
        <v>0</v>
      </c>
      <c r="I137" s="89">
        <f>H136*N(Crédits!$D$5)/12</f>
        <v>0</v>
      </c>
      <c r="J137" s="90">
        <f t="shared" si="17"/>
        <v>0</v>
      </c>
      <c r="K137" s="90">
        <f>J137*N(Crédits!$D$6)/12</f>
        <v>0</v>
      </c>
      <c r="L137" s="90">
        <f>MIN(N(Crédits!$E$6),J137+K137)</f>
        <v>0</v>
      </c>
      <c r="M137" s="90">
        <f t="shared" si="2"/>
        <v>0</v>
      </c>
      <c r="N137" s="91">
        <f>IF(Crédits!$K$6="",0,MAX(0,MIN(M137,Plan!$L$139-(IF(Crédits!$K$5="",0,IF(Crédits!$K$5&lt;Crédits!$K$6,E137,0))+IF(Crédits!$K$7="",0,IF(Crédits!$K$7&lt;Crédits!$K$6,U137,0))+IF(Crédits!$K$8="",0,IF(Crédits!$K$8&lt;Crédits!$K$6,AC137,0))+IF(Crédits!$K$9="",0,IF(Crédits!$K$9&lt;Crédits!$K$6,AK137,0))+IF(Crédits!$K$10="",0,IF(Crédits!$K$10&lt;Crédits!$K$6,AS137,0))))))</f>
        <v>0</v>
      </c>
      <c r="O137" s="92">
        <f t="shared" si="3"/>
        <v>0</v>
      </c>
      <c r="P137" s="88">
        <f>ROUND(P136+Q137-MIN(N(Crédits!$E$6),P136+Q137),2)</f>
        <v>0</v>
      </c>
      <c r="Q137" s="89">
        <f>P136*N(Crédits!$D$6)/12</f>
        <v>0</v>
      </c>
      <c r="R137" s="93">
        <f t="shared" si="18"/>
        <v>0</v>
      </c>
      <c r="S137" s="93">
        <f>R137*N(Crédits!$D$7)/12</f>
        <v>0</v>
      </c>
      <c r="T137" s="93">
        <f>MIN(N(Crédits!$E$7),R137+S137)</f>
        <v>0</v>
      </c>
      <c r="U137" s="93">
        <f t="shared" si="4"/>
        <v>0</v>
      </c>
      <c r="V137" s="94">
        <f>IF(Crédits!$K$7="",0,MAX(0,MIN(U137,Plan!$L$139-(IF(Crédits!$K$5="",0,IF(Crédits!$K$5&lt;Crédits!$K$7,E137,0))+IF(Crédits!$K$6="",0,IF(Crédits!$K$6&lt;Crédits!$K$7,M137,0))+IF(Crédits!$K$8="",0,IF(Crédits!$K$8&lt;Crédits!$K$7,AC137,0))+IF(Crédits!$K$9="",0,IF(Crédits!$K$9&lt;Crédits!$K$7,AK137,0))+IF(Crédits!$K$10="",0,IF(Crédits!$K$10&lt;Crédits!$K$7,AS137,0))))))</f>
        <v>0</v>
      </c>
      <c r="W137" s="95">
        <f t="shared" si="5"/>
        <v>0</v>
      </c>
      <c r="X137" s="88">
        <f>ROUND(X136+Y137-MIN(N(Crédits!$E$7),X136+Y137),2)</f>
        <v>0</v>
      </c>
      <c r="Y137" s="89">
        <f>X136*N(Crédits!$D$7)/12</f>
        <v>0</v>
      </c>
      <c r="Z137" s="96">
        <f t="shared" si="19"/>
        <v>0</v>
      </c>
      <c r="AA137" s="96">
        <f>Z137*N(Crédits!$D$8)/12</f>
        <v>0</v>
      </c>
      <c r="AB137" s="96">
        <f>MIN(N(Crédits!$E$8),Z137+AA137)</f>
        <v>0</v>
      </c>
      <c r="AC137" s="96">
        <f t="shared" si="6"/>
        <v>0</v>
      </c>
      <c r="AD137" s="97">
        <f>IF(Crédits!$K$8="",0,MAX(0,MIN(AC137,Plan!$L$139-(IF(Crédits!$K$5="",0,IF(Crédits!$K$5&lt;Crédits!$K$8,E137,0))+IF(Crédits!$K$6="",0,IF(Crédits!$K$6&lt;Crédits!$K$8,M137,0))+IF(Crédits!$K$7="",0,IF(Crédits!$K$7&lt;Crédits!$K$8,U137,0))+IF(Crédits!$K$9="",0,IF(Crédits!$K$9&lt;Crédits!$K$8,AK137,0))+IF(Crédits!$K$10="",0,IF(Crédits!$K$10&lt;Crédits!$K$8,AS137,0))))))</f>
        <v>0</v>
      </c>
      <c r="AE137" s="98">
        <f t="shared" si="7"/>
        <v>0</v>
      </c>
      <c r="AF137" s="88">
        <f>ROUND(AF136+AG137-MIN(N(Crédits!$E$8),AF136+AG137),2)</f>
        <v>0</v>
      </c>
      <c r="AG137" s="89">
        <f>AF136*N(Crédits!$D$8)/12</f>
        <v>0</v>
      </c>
      <c r="AH137" s="99">
        <f t="shared" si="20"/>
        <v>0</v>
      </c>
      <c r="AI137" s="99">
        <f>AH137*N(Crédits!$D$9)/12</f>
        <v>0</v>
      </c>
      <c r="AJ137" s="99">
        <f>MIN(N(Crédits!$E$9),AH137+AI137)</f>
        <v>0</v>
      </c>
      <c r="AK137" s="99">
        <f t="shared" si="8"/>
        <v>0</v>
      </c>
      <c r="AL137" s="100">
        <f>IF(Crédits!$K$9="",0,MAX(0,MIN(AK137,Plan!$L$139-(IF(Crédits!$K$5="",0,IF(Crédits!$K$5&lt;Crédits!$K$9,E137,0))+IF(Crédits!$K$6="",0,IF(Crédits!$K$6&lt;Crédits!$K$9,M137,0))+IF(Crédits!$K$7="",0,IF(Crédits!$K$7&lt;Crédits!$K$9,U137,0))+IF(Crédits!$K$8="",0,IF(Crédits!$K$8&lt;Crédits!$K$9,AC137,0))+IF(Crédits!$K$10="",0,IF(Crédits!$K$10&lt;Crédits!$K$9,AS137,0))))))</f>
        <v>0</v>
      </c>
      <c r="AM137" s="101">
        <f t="shared" si="9"/>
        <v>0</v>
      </c>
      <c r="AN137" s="88">
        <f>ROUND(AN136+AO137-MIN(N(Crédits!$E$9),AN136+AO137),2)</f>
        <v>0</v>
      </c>
      <c r="AO137" s="89">
        <f>AN136*N(Crédits!$D$9)/12</f>
        <v>0</v>
      </c>
      <c r="AP137" s="102">
        <f t="shared" si="21"/>
        <v>0</v>
      </c>
      <c r="AQ137" s="102">
        <f>AP137*N(Crédits!$D$10)/12</f>
        <v>0</v>
      </c>
      <c r="AR137" s="102">
        <f>MIN(N(Crédits!$E$10),AP137+AQ137)</f>
        <v>0</v>
      </c>
      <c r="AS137" s="102">
        <f t="shared" si="10"/>
        <v>0</v>
      </c>
      <c r="AT137" s="103">
        <f>IF(Crédits!$K$10="",0,MAX(0,MIN(AS137,Plan!$L$139-(IF(Crédits!$K$5="",0,IF(Crédits!$K$5&lt;Crédits!$K$10,E137,0))+IF(Crédits!$K$6="",0,IF(Crédits!$K$6&lt;Crédits!$K$10,M137,0))+IF(Crédits!$K$7="",0,IF(Crédits!$K$7&lt;Crédits!$K$10,U137,0))+IF(Crédits!$K$8="",0,IF(Crédits!$K$8&lt;Crédits!$K$10,AC137,0))+IF(Crédits!$K$9="",0,IF(Crédits!$K$9&lt;Crédits!$K$10,AK137,0))))))</f>
        <v>0</v>
      </c>
      <c r="AU137" s="104">
        <f t="shared" si="11"/>
        <v>0</v>
      </c>
      <c r="AV137" s="88">
        <f>ROUND(AV136+AW137-MIN(N(Crédits!$E$10),AV136+AW137),2)</f>
        <v>0</v>
      </c>
      <c r="AW137" s="89">
        <f>AV136*N(Crédits!$D$10)/12</f>
        <v>0</v>
      </c>
      <c r="AX137" s="105">
        <f t="shared" si="12"/>
        <v>0</v>
      </c>
      <c r="AY137" s="105">
        <f t="shared" ref="AY137:AZ137" si="155">F137+N137+V137+AD137+AL137+AT137</f>
        <v>0</v>
      </c>
      <c r="AZ137" s="105">
        <f t="shared" si="155"/>
        <v>0</v>
      </c>
      <c r="BA137" s="105">
        <f t="shared" si="14"/>
        <v>0</v>
      </c>
      <c r="BB137" s="105">
        <f t="shared" si="15"/>
        <v>0</v>
      </c>
    </row>
    <row r="138" spans="1:54" ht="15" customHeight="1" x14ac:dyDescent="0.25">
      <c r="A138" s="2">
        <v>136</v>
      </c>
      <c r="B138" s="83">
        <f t="shared" si="16"/>
        <v>0</v>
      </c>
      <c r="C138" s="83">
        <f>B138*N(Crédits!$D$5)/12</f>
        <v>0</v>
      </c>
      <c r="D138" s="83">
        <f>MIN(N(Crédits!$E$5),B138+C138)</f>
        <v>0</v>
      </c>
      <c r="E138" s="83">
        <f t="shared" si="0"/>
        <v>0</v>
      </c>
      <c r="F138" s="86">
        <f>IF(Crédits!$K$5="",0,MAX(0,MIN(E138,Plan!$L$140-(IF(Crédits!$K$6="",0,IF(Crédits!$K$6&lt;Crédits!$K$5,M138,0))+IF(Crédits!$K$7="",0,IF(Crédits!$K$7&lt;Crédits!$K$5,U138,0))+IF(Crédits!$K$8="",0,IF(Crédits!$K$8&lt;Crédits!$K$5,AC138,0))+IF(Crédits!$K$9="",0,IF(Crédits!$K$9&lt;Crédits!$K$5,AK138,0))+IF(Crédits!$K$10="",0,IF(Crédits!$K$10&lt;Crédits!$K$5,AS138,0))))))</f>
        <v>0</v>
      </c>
      <c r="G138" s="87">
        <f t="shared" si="1"/>
        <v>0</v>
      </c>
      <c r="H138" s="88">
        <f>ROUND(H137+I138-MIN(N(Crédits!$E$5),H137+I138),2)</f>
        <v>0</v>
      </c>
      <c r="I138" s="89">
        <f>H137*N(Crédits!$D$5)/12</f>
        <v>0</v>
      </c>
      <c r="J138" s="90">
        <f t="shared" si="17"/>
        <v>0</v>
      </c>
      <c r="K138" s="90">
        <f>J138*N(Crédits!$D$6)/12</f>
        <v>0</v>
      </c>
      <c r="L138" s="90">
        <f>MIN(N(Crédits!$E$6),J138+K138)</f>
        <v>0</v>
      </c>
      <c r="M138" s="90">
        <f t="shared" si="2"/>
        <v>0</v>
      </c>
      <c r="N138" s="91">
        <f>IF(Crédits!$K$6="",0,MAX(0,MIN(M138,Plan!$L$140-(IF(Crédits!$K$5="",0,IF(Crédits!$K$5&lt;Crédits!$K$6,E138,0))+IF(Crédits!$K$7="",0,IF(Crédits!$K$7&lt;Crédits!$K$6,U138,0))+IF(Crédits!$K$8="",0,IF(Crédits!$K$8&lt;Crédits!$K$6,AC138,0))+IF(Crédits!$K$9="",0,IF(Crédits!$K$9&lt;Crédits!$K$6,AK138,0))+IF(Crédits!$K$10="",0,IF(Crédits!$K$10&lt;Crédits!$K$6,AS138,0))))))</f>
        <v>0</v>
      </c>
      <c r="O138" s="92">
        <f t="shared" si="3"/>
        <v>0</v>
      </c>
      <c r="P138" s="88">
        <f>ROUND(P137+Q138-MIN(N(Crédits!$E$6),P137+Q138),2)</f>
        <v>0</v>
      </c>
      <c r="Q138" s="89">
        <f>P137*N(Crédits!$D$6)/12</f>
        <v>0</v>
      </c>
      <c r="R138" s="93">
        <f t="shared" si="18"/>
        <v>0</v>
      </c>
      <c r="S138" s="93">
        <f>R138*N(Crédits!$D$7)/12</f>
        <v>0</v>
      </c>
      <c r="T138" s="93">
        <f>MIN(N(Crédits!$E$7),R138+S138)</f>
        <v>0</v>
      </c>
      <c r="U138" s="93">
        <f t="shared" si="4"/>
        <v>0</v>
      </c>
      <c r="V138" s="94">
        <f>IF(Crédits!$K$7="",0,MAX(0,MIN(U138,Plan!$L$140-(IF(Crédits!$K$5="",0,IF(Crédits!$K$5&lt;Crédits!$K$7,E138,0))+IF(Crédits!$K$6="",0,IF(Crédits!$K$6&lt;Crédits!$K$7,M138,0))+IF(Crédits!$K$8="",0,IF(Crédits!$K$8&lt;Crédits!$K$7,AC138,0))+IF(Crédits!$K$9="",0,IF(Crédits!$K$9&lt;Crédits!$K$7,AK138,0))+IF(Crédits!$K$10="",0,IF(Crédits!$K$10&lt;Crédits!$K$7,AS138,0))))))</f>
        <v>0</v>
      </c>
      <c r="W138" s="95">
        <f t="shared" si="5"/>
        <v>0</v>
      </c>
      <c r="X138" s="88">
        <f>ROUND(X137+Y138-MIN(N(Crédits!$E$7),X137+Y138),2)</f>
        <v>0</v>
      </c>
      <c r="Y138" s="89">
        <f>X137*N(Crédits!$D$7)/12</f>
        <v>0</v>
      </c>
      <c r="Z138" s="96">
        <f t="shared" si="19"/>
        <v>0</v>
      </c>
      <c r="AA138" s="96">
        <f>Z138*N(Crédits!$D$8)/12</f>
        <v>0</v>
      </c>
      <c r="AB138" s="96">
        <f>MIN(N(Crédits!$E$8),Z138+AA138)</f>
        <v>0</v>
      </c>
      <c r="AC138" s="96">
        <f t="shared" si="6"/>
        <v>0</v>
      </c>
      <c r="AD138" s="97">
        <f>IF(Crédits!$K$8="",0,MAX(0,MIN(AC138,Plan!$L$140-(IF(Crédits!$K$5="",0,IF(Crédits!$K$5&lt;Crédits!$K$8,E138,0))+IF(Crédits!$K$6="",0,IF(Crédits!$K$6&lt;Crédits!$K$8,M138,0))+IF(Crédits!$K$7="",0,IF(Crédits!$K$7&lt;Crédits!$K$8,U138,0))+IF(Crédits!$K$9="",0,IF(Crédits!$K$9&lt;Crédits!$K$8,AK138,0))+IF(Crédits!$K$10="",0,IF(Crédits!$K$10&lt;Crédits!$K$8,AS138,0))))))</f>
        <v>0</v>
      </c>
      <c r="AE138" s="98">
        <f t="shared" si="7"/>
        <v>0</v>
      </c>
      <c r="AF138" s="88">
        <f>ROUND(AF137+AG138-MIN(N(Crédits!$E$8),AF137+AG138),2)</f>
        <v>0</v>
      </c>
      <c r="AG138" s="89">
        <f>AF137*N(Crédits!$D$8)/12</f>
        <v>0</v>
      </c>
      <c r="AH138" s="99">
        <f t="shared" si="20"/>
        <v>0</v>
      </c>
      <c r="AI138" s="99">
        <f>AH138*N(Crédits!$D$9)/12</f>
        <v>0</v>
      </c>
      <c r="AJ138" s="99">
        <f>MIN(N(Crédits!$E$9),AH138+AI138)</f>
        <v>0</v>
      </c>
      <c r="AK138" s="99">
        <f t="shared" si="8"/>
        <v>0</v>
      </c>
      <c r="AL138" s="100">
        <f>IF(Crédits!$K$9="",0,MAX(0,MIN(AK138,Plan!$L$140-(IF(Crédits!$K$5="",0,IF(Crédits!$K$5&lt;Crédits!$K$9,E138,0))+IF(Crédits!$K$6="",0,IF(Crédits!$K$6&lt;Crédits!$K$9,M138,0))+IF(Crédits!$K$7="",0,IF(Crédits!$K$7&lt;Crédits!$K$9,U138,0))+IF(Crédits!$K$8="",0,IF(Crédits!$K$8&lt;Crédits!$K$9,AC138,0))+IF(Crédits!$K$10="",0,IF(Crédits!$K$10&lt;Crédits!$K$9,AS138,0))))))</f>
        <v>0</v>
      </c>
      <c r="AM138" s="101">
        <f t="shared" si="9"/>
        <v>0</v>
      </c>
      <c r="AN138" s="88">
        <f>ROUND(AN137+AO138-MIN(N(Crédits!$E$9),AN137+AO138),2)</f>
        <v>0</v>
      </c>
      <c r="AO138" s="89">
        <f>AN137*N(Crédits!$D$9)/12</f>
        <v>0</v>
      </c>
      <c r="AP138" s="102">
        <f t="shared" si="21"/>
        <v>0</v>
      </c>
      <c r="AQ138" s="102">
        <f>AP138*N(Crédits!$D$10)/12</f>
        <v>0</v>
      </c>
      <c r="AR138" s="102">
        <f>MIN(N(Crédits!$E$10),AP138+AQ138)</f>
        <v>0</v>
      </c>
      <c r="AS138" s="102">
        <f t="shared" si="10"/>
        <v>0</v>
      </c>
      <c r="AT138" s="103">
        <f>IF(Crédits!$K$10="",0,MAX(0,MIN(AS138,Plan!$L$140-(IF(Crédits!$K$5="",0,IF(Crédits!$K$5&lt;Crédits!$K$10,E138,0))+IF(Crédits!$K$6="",0,IF(Crédits!$K$6&lt;Crédits!$K$10,M138,0))+IF(Crédits!$K$7="",0,IF(Crédits!$K$7&lt;Crédits!$K$10,U138,0))+IF(Crédits!$K$8="",0,IF(Crédits!$K$8&lt;Crédits!$K$10,AC138,0))+IF(Crédits!$K$9="",0,IF(Crédits!$K$9&lt;Crédits!$K$10,AK138,0))))))</f>
        <v>0</v>
      </c>
      <c r="AU138" s="104">
        <f t="shared" si="11"/>
        <v>0</v>
      </c>
      <c r="AV138" s="88">
        <f>ROUND(AV137+AW138-MIN(N(Crédits!$E$10),AV137+AW138),2)</f>
        <v>0</v>
      </c>
      <c r="AW138" s="89">
        <f>AV137*N(Crédits!$D$10)/12</f>
        <v>0</v>
      </c>
      <c r="AX138" s="105">
        <f t="shared" si="12"/>
        <v>0</v>
      </c>
      <c r="AY138" s="105">
        <f t="shared" ref="AY138:AZ138" si="156">F138+N138+V138+AD138+AL138+AT138</f>
        <v>0</v>
      </c>
      <c r="AZ138" s="105">
        <f t="shared" si="156"/>
        <v>0</v>
      </c>
      <c r="BA138" s="105">
        <f t="shared" si="14"/>
        <v>0</v>
      </c>
      <c r="BB138" s="105">
        <f t="shared" si="15"/>
        <v>0</v>
      </c>
    </row>
    <row r="139" spans="1:54" ht="15" customHeight="1" x14ac:dyDescent="0.25">
      <c r="A139" s="2">
        <v>137</v>
      </c>
      <c r="B139" s="83">
        <f t="shared" si="16"/>
        <v>0</v>
      </c>
      <c r="C139" s="83">
        <f>B139*N(Crédits!$D$5)/12</f>
        <v>0</v>
      </c>
      <c r="D139" s="83">
        <f>MIN(N(Crédits!$E$5),B139+C139)</f>
        <v>0</v>
      </c>
      <c r="E139" s="83">
        <f t="shared" si="0"/>
        <v>0</v>
      </c>
      <c r="F139" s="86">
        <f>IF(Crédits!$K$5="",0,MAX(0,MIN(E139,Plan!$L$141-(IF(Crédits!$K$6="",0,IF(Crédits!$K$6&lt;Crédits!$K$5,M139,0))+IF(Crédits!$K$7="",0,IF(Crédits!$K$7&lt;Crédits!$K$5,U139,0))+IF(Crédits!$K$8="",0,IF(Crédits!$K$8&lt;Crédits!$K$5,AC139,0))+IF(Crédits!$K$9="",0,IF(Crédits!$K$9&lt;Crédits!$K$5,AK139,0))+IF(Crédits!$K$10="",0,IF(Crédits!$K$10&lt;Crédits!$K$5,AS139,0))))))</f>
        <v>0</v>
      </c>
      <c r="G139" s="87">
        <f t="shared" si="1"/>
        <v>0</v>
      </c>
      <c r="H139" s="88">
        <f>ROUND(H138+I139-MIN(N(Crédits!$E$5),H138+I139),2)</f>
        <v>0</v>
      </c>
      <c r="I139" s="89">
        <f>H138*N(Crédits!$D$5)/12</f>
        <v>0</v>
      </c>
      <c r="J139" s="90">
        <f t="shared" si="17"/>
        <v>0</v>
      </c>
      <c r="K139" s="90">
        <f>J139*N(Crédits!$D$6)/12</f>
        <v>0</v>
      </c>
      <c r="L139" s="90">
        <f>MIN(N(Crédits!$E$6),J139+K139)</f>
        <v>0</v>
      </c>
      <c r="M139" s="90">
        <f t="shared" si="2"/>
        <v>0</v>
      </c>
      <c r="N139" s="91">
        <f>IF(Crédits!$K$6="",0,MAX(0,MIN(M139,Plan!$L$141-(IF(Crédits!$K$5="",0,IF(Crédits!$K$5&lt;Crédits!$K$6,E139,0))+IF(Crédits!$K$7="",0,IF(Crédits!$K$7&lt;Crédits!$K$6,U139,0))+IF(Crédits!$K$8="",0,IF(Crédits!$K$8&lt;Crédits!$K$6,AC139,0))+IF(Crédits!$K$9="",0,IF(Crédits!$K$9&lt;Crédits!$K$6,AK139,0))+IF(Crédits!$K$10="",0,IF(Crédits!$K$10&lt;Crédits!$K$6,AS139,0))))))</f>
        <v>0</v>
      </c>
      <c r="O139" s="92">
        <f t="shared" si="3"/>
        <v>0</v>
      </c>
      <c r="P139" s="88">
        <f>ROUND(P138+Q139-MIN(N(Crédits!$E$6),P138+Q139),2)</f>
        <v>0</v>
      </c>
      <c r="Q139" s="89">
        <f>P138*N(Crédits!$D$6)/12</f>
        <v>0</v>
      </c>
      <c r="R139" s="93">
        <f t="shared" si="18"/>
        <v>0</v>
      </c>
      <c r="S139" s="93">
        <f>R139*N(Crédits!$D$7)/12</f>
        <v>0</v>
      </c>
      <c r="T139" s="93">
        <f>MIN(N(Crédits!$E$7),R139+S139)</f>
        <v>0</v>
      </c>
      <c r="U139" s="93">
        <f t="shared" si="4"/>
        <v>0</v>
      </c>
      <c r="V139" s="94">
        <f>IF(Crédits!$K$7="",0,MAX(0,MIN(U139,Plan!$L$141-(IF(Crédits!$K$5="",0,IF(Crédits!$K$5&lt;Crédits!$K$7,E139,0))+IF(Crédits!$K$6="",0,IF(Crédits!$K$6&lt;Crédits!$K$7,M139,0))+IF(Crédits!$K$8="",0,IF(Crédits!$K$8&lt;Crédits!$K$7,AC139,0))+IF(Crédits!$K$9="",0,IF(Crédits!$K$9&lt;Crédits!$K$7,AK139,0))+IF(Crédits!$K$10="",0,IF(Crédits!$K$10&lt;Crédits!$K$7,AS139,0))))))</f>
        <v>0</v>
      </c>
      <c r="W139" s="95">
        <f t="shared" si="5"/>
        <v>0</v>
      </c>
      <c r="X139" s="88">
        <f>ROUND(X138+Y139-MIN(N(Crédits!$E$7),X138+Y139),2)</f>
        <v>0</v>
      </c>
      <c r="Y139" s="89">
        <f>X138*N(Crédits!$D$7)/12</f>
        <v>0</v>
      </c>
      <c r="Z139" s="96">
        <f t="shared" si="19"/>
        <v>0</v>
      </c>
      <c r="AA139" s="96">
        <f>Z139*N(Crédits!$D$8)/12</f>
        <v>0</v>
      </c>
      <c r="AB139" s="96">
        <f>MIN(N(Crédits!$E$8),Z139+AA139)</f>
        <v>0</v>
      </c>
      <c r="AC139" s="96">
        <f t="shared" si="6"/>
        <v>0</v>
      </c>
      <c r="AD139" s="97">
        <f>IF(Crédits!$K$8="",0,MAX(0,MIN(AC139,Plan!$L$141-(IF(Crédits!$K$5="",0,IF(Crédits!$K$5&lt;Crédits!$K$8,E139,0))+IF(Crédits!$K$6="",0,IF(Crédits!$K$6&lt;Crédits!$K$8,M139,0))+IF(Crédits!$K$7="",0,IF(Crédits!$K$7&lt;Crédits!$K$8,U139,0))+IF(Crédits!$K$9="",0,IF(Crédits!$K$9&lt;Crédits!$K$8,AK139,0))+IF(Crédits!$K$10="",0,IF(Crédits!$K$10&lt;Crédits!$K$8,AS139,0))))))</f>
        <v>0</v>
      </c>
      <c r="AE139" s="98">
        <f t="shared" si="7"/>
        <v>0</v>
      </c>
      <c r="AF139" s="88">
        <f>ROUND(AF138+AG139-MIN(N(Crédits!$E$8),AF138+AG139),2)</f>
        <v>0</v>
      </c>
      <c r="AG139" s="89">
        <f>AF138*N(Crédits!$D$8)/12</f>
        <v>0</v>
      </c>
      <c r="AH139" s="99">
        <f t="shared" si="20"/>
        <v>0</v>
      </c>
      <c r="AI139" s="99">
        <f>AH139*N(Crédits!$D$9)/12</f>
        <v>0</v>
      </c>
      <c r="AJ139" s="99">
        <f>MIN(N(Crédits!$E$9),AH139+AI139)</f>
        <v>0</v>
      </c>
      <c r="AK139" s="99">
        <f t="shared" si="8"/>
        <v>0</v>
      </c>
      <c r="AL139" s="100">
        <f>IF(Crédits!$K$9="",0,MAX(0,MIN(AK139,Plan!$L$141-(IF(Crédits!$K$5="",0,IF(Crédits!$K$5&lt;Crédits!$K$9,E139,0))+IF(Crédits!$K$6="",0,IF(Crédits!$K$6&lt;Crédits!$K$9,M139,0))+IF(Crédits!$K$7="",0,IF(Crédits!$K$7&lt;Crédits!$K$9,U139,0))+IF(Crédits!$K$8="",0,IF(Crédits!$K$8&lt;Crédits!$K$9,AC139,0))+IF(Crédits!$K$10="",0,IF(Crédits!$K$10&lt;Crédits!$K$9,AS139,0))))))</f>
        <v>0</v>
      </c>
      <c r="AM139" s="101">
        <f t="shared" si="9"/>
        <v>0</v>
      </c>
      <c r="AN139" s="88">
        <f>ROUND(AN138+AO139-MIN(N(Crédits!$E$9),AN138+AO139),2)</f>
        <v>0</v>
      </c>
      <c r="AO139" s="89">
        <f>AN138*N(Crédits!$D$9)/12</f>
        <v>0</v>
      </c>
      <c r="AP139" s="102">
        <f t="shared" si="21"/>
        <v>0</v>
      </c>
      <c r="AQ139" s="102">
        <f>AP139*N(Crédits!$D$10)/12</f>
        <v>0</v>
      </c>
      <c r="AR139" s="102">
        <f>MIN(N(Crédits!$E$10),AP139+AQ139)</f>
        <v>0</v>
      </c>
      <c r="AS139" s="102">
        <f t="shared" si="10"/>
        <v>0</v>
      </c>
      <c r="AT139" s="103">
        <f>IF(Crédits!$K$10="",0,MAX(0,MIN(AS139,Plan!$L$141-(IF(Crédits!$K$5="",0,IF(Crédits!$K$5&lt;Crédits!$K$10,E139,0))+IF(Crédits!$K$6="",0,IF(Crédits!$K$6&lt;Crédits!$K$10,M139,0))+IF(Crédits!$K$7="",0,IF(Crédits!$K$7&lt;Crédits!$K$10,U139,0))+IF(Crédits!$K$8="",0,IF(Crédits!$K$8&lt;Crédits!$K$10,AC139,0))+IF(Crédits!$K$9="",0,IF(Crédits!$K$9&lt;Crédits!$K$10,AK139,0))))))</f>
        <v>0</v>
      </c>
      <c r="AU139" s="104">
        <f t="shared" si="11"/>
        <v>0</v>
      </c>
      <c r="AV139" s="88">
        <f>ROUND(AV138+AW139-MIN(N(Crédits!$E$10),AV138+AW139),2)</f>
        <v>0</v>
      </c>
      <c r="AW139" s="89">
        <f>AV138*N(Crédits!$D$10)/12</f>
        <v>0</v>
      </c>
      <c r="AX139" s="105">
        <f t="shared" si="12"/>
        <v>0</v>
      </c>
      <c r="AY139" s="105">
        <f t="shared" ref="AY139:AZ139" si="157">F139+N139+V139+AD139+AL139+AT139</f>
        <v>0</v>
      </c>
      <c r="AZ139" s="105">
        <f t="shared" si="157"/>
        <v>0</v>
      </c>
      <c r="BA139" s="105">
        <f t="shared" si="14"/>
        <v>0</v>
      </c>
      <c r="BB139" s="105">
        <f t="shared" si="15"/>
        <v>0</v>
      </c>
    </row>
    <row r="140" spans="1:54" ht="15" customHeight="1" x14ac:dyDescent="0.25">
      <c r="A140" s="2">
        <v>138</v>
      </c>
      <c r="B140" s="83">
        <f t="shared" si="16"/>
        <v>0</v>
      </c>
      <c r="C140" s="83">
        <f>B140*N(Crédits!$D$5)/12</f>
        <v>0</v>
      </c>
      <c r="D140" s="83">
        <f>MIN(N(Crédits!$E$5),B140+C140)</f>
        <v>0</v>
      </c>
      <c r="E140" s="83">
        <f t="shared" si="0"/>
        <v>0</v>
      </c>
      <c r="F140" s="86">
        <f>IF(Crédits!$K$5="",0,MAX(0,MIN(E140,Plan!$L$142-(IF(Crédits!$K$6="",0,IF(Crédits!$K$6&lt;Crédits!$K$5,M140,0))+IF(Crédits!$K$7="",0,IF(Crédits!$K$7&lt;Crédits!$K$5,U140,0))+IF(Crédits!$K$8="",0,IF(Crédits!$K$8&lt;Crédits!$K$5,AC140,0))+IF(Crédits!$K$9="",0,IF(Crédits!$K$9&lt;Crédits!$K$5,AK140,0))+IF(Crédits!$K$10="",0,IF(Crédits!$K$10&lt;Crédits!$K$5,AS140,0))))))</f>
        <v>0</v>
      </c>
      <c r="G140" s="87">
        <f t="shared" si="1"/>
        <v>0</v>
      </c>
      <c r="H140" s="88">
        <f>ROUND(H139+I140-MIN(N(Crédits!$E$5),H139+I140),2)</f>
        <v>0</v>
      </c>
      <c r="I140" s="89">
        <f>H139*N(Crédits!$D$5)/12</f>
        <v>0</v>
      </c>
      <c r="J140" s="90">
        <f t="shared" si="17"/>
        <v>0</v>
      </c>
      <c r="K140" s="90">
        <f>J140*N(Crédits!$D$6)/12</f>
        <v>0</v>
      </c>
      <c r="L140" s="90">
        <f>MIN(N(Crédits!$E$6),J140+K140)</f>
        <v>0</v>
      </c>
      <c r="M140" s="90">
        <f t="shared" si="2"/>
        <v>0</v>
      </c>
      <c r="N140" s="91">
        <f>IF(Crédits!$K$6="",0,MAX(0,MIN(M140,Plan!$L$142-(IF(Crédits!$K$5="",0,IF(Crédits!$K$5&lt;Crédits!$K$6,E140,0))+IF(Crédits!$K$7="",0,IF(Crédits!$K$7&lt;Crédits!$K$6,U140,0))+IF(Crédits!$K$8="",0,IF(Crédits!$K$8&lt;Crédits!$K$6,AC140,0))+IF(Crédits!$K$9="",0,IF(Crédits!$K$9&lt;Crédits!$K$6,AK140,0))+IF(Crédits!$K$10="",0,IF(Crédits!$K$10&lt;Crédits!$K$6,AS140,0))))))</f>
        <v>0</v>
      </c>
      <c r="O140" s="92">
        <f t="shared" si="3"/>
        <v>0</v>
      </c>
      <c r="P140" s="88">
        <f>ROUND(P139+Q140-MIN(N(Crédits!$E$6),P139+Q140),2)</f>
        <v>0</v>
      </c>
      <c r="Q140" s="89">
        <f>P139*N(Crédits!$D$6)/12</f>
        <v>0</v>
      </c>
      <c r="R140" s="93">
        <f t="shared" si="18"/>
        <v>0</v>
      </c>
      <c r="S140" s="93">
        <f>R140*N(Crédits!$D$7)/12</f>
        <v>0</v>
      </c>
      <c r="T140" s="93">
        <f>MIN(N(Crédits!$E$7),R140+S140)</f>
        <v>0</v>
      </c>
      <c r="U140" s="93">
        <f t="shared" si="4"/>
        <v>0</v>
      </c>
      <c r="V140" s="94">
        <f>IF(Crédits!$K$7="",0,MAX(0,MIN(U140,Plan!$L$142-(IF(Crédits!$K$5="",0,IF(Crédits!$K$5&lt;Crédits!$K$7,E140,0))+IF(Crédits!$K$6="",0,IF(Crédits!$K$6&lt;Crédits!$K$7,M140,0))+IF(Crédits!$K$8="",0,IF(Crédits!$K$8&lt;Crédits!$K$7,AC140,0))+IF(Crédits!$K$9="",0,IF(Crédits!$K$9&lt;Crédits!$K$7,AK140,0))+IF(Crédits!$K$10="",0,IF(Crédits!$K$10&lt;Crédits!$K$7,AS140,0))))))</f>
        <v>0</v>
      </c>
      <c r="W140" s="95">
        <f t="shared" si="5"/>
        <v>0</v>
      </c>
      <c r="X140" s="88">
        <f>ROUND(X139+Y140-MIN(N(Crédits!$E$7),X139+Y140),2)</f>
        <v>0</v>
      </c>
      <c r="Y140" s="89">
        <f>X139*N(Crédits!$D$7)/12</f>
        <v>0</v>
      </c>
      <c r="Z140" s="96">
        <f t="shared" si="19"/>
        <v>0</v>
      </c>
      <c r="AA140" s="96">
        <f>Z140*N(Crédits!$D$8)/12</f>
        <v>0</v>
      </c>
      <c r="AB140" s="96">
        <f>MIN(N(Crédits!$E$8),Z140+AA140)</f>
        <v>0</v>
      </c>
      <c r="AC140" s="96">
        <f t="shared" si="6"/>
        <v>0</v>
      </c>
      <c r="AD140" s="97">
        <f>IF(Crédits!$K$8="",0,MAX(0,MIN(AC140,Plan!$L$142-(IF(Crédits!$K$5="",0,IF(Crédits!$K$5&lt;Crédits!$K$8,E140,0))+IF(Crédits!$K$6="",0,IF(Crédits!$K$6&lt;Crédits!$K$8,M140,0))+IF(Crédits!$K$7="",0,IF(Crédits!$K$7&lt;Crédits!$K$8,U140,0))+IF(Crédits!$K$9="",0,IF(Crédits!$K$9&lt;Crédits!$K$8,AK140,0))+IF(Crédits!$K$10="",0,IF(Crédits!$K$10&lt;Crédits!$K$8,AS140,0))))))</f>
        <v>0</v>
      </c>
      <c r="AE140" s="98">
        <f t="shared" si="7"/>
        <v>0</v>
      </c>
      <c r="AF140" s="88">
        <f>ROUND(AF139+AG140-MIN(N(Crédits!$E$8),AF139+AG140),2)</f>
        <v>0</v>
      </c>
      <c r="AG140" s="89">
        <f>AF139*N(Crédits!$D$8)/12</f>
        <v>0</v>
      </c>
      <c r="AH140" s="99">
        <f t="shared" si="20"/>
        <v>0</v>
      </c>
      <c r="AI140" s="99">
        <f>AH140*N(Crédits!$D$9)/12</f>
        <v>0</v>
      </c>
      <c r="AJ140" s="99">
        <f>MIN(N(Crédits!$E$9),AH140+AI140)</f>
        <v>0</v>
      </c>
      <c r="AK140" s="99">
        <f t="shared" si="8"/>
        <v>0</v>
      </c>
      <c r="AL140" s="100">
        <f>IF(Crédits!$K$9="",0,MAX(0,MIN(AK140,Plan!$L$142-(IF(Crédits!$K$5="",0,IF(Crédits!$K$5&lt;Crédits!$K$9,E140,0))+IF(Crédits!$K$6="",0,IF(Crédits!$K$6&lt;Crédits!$K$9,M140,0))+IF(Crédits!$K$7="",0,IF(Crédits!$K$7&lt;Crédits!$K$9,U140,0))+IF(Crédits!$K$8="",0,IF(Crédits!$K$8&lt;Crédits!$K$9,AC140,0))+IF(Crédits!$K$10="",0,IF(Crédits!$K$10&lt;Crédits!$K$9,AS140,0))))))</f>
        <v>0</v>
      </c>
      <c r="AM140" s="101">
        <f t="shared" si="9"/>
        <v>0</v>
      </c>
      <c r="AN140" s="88">
        <f>ROUND(AN139+AO140-MIN(N(Crédits!$E$9),AN139+AO140),2)</f>
        <v>0</v>
      </c>
      <c r="AO140" s="89">
        <f>AN139*N(Crédits!$D$9)/12</f>
        <v>0</v>
      </c>
      <c r="AP140" s="102">
        <f t="shared" si="21"/>
        <v>0</v>
      </c>
      <c r="AQ140" s="102">
        <f>AP140*N(Crédits!$D$10)/12</f>
        <v>0</v>
      </c>
      <c r="AR140" s="102">
        <f>MIN(N(Crédits!$E$10),AP140+AQ140)</f>
        <v>0</v>
      </c>
      <c r="AS140" s="102">
        <f t="shared" si="10"/>
        <v>0</v>
      </c>
      <c r="AT140" s="103">
        <f>IF(Crédits!$K$10="",0,MAX(0,MIN(AS140,Plan!$L$142-(IF(Crédits!$K$5="",0,IF(Crédits!$K$5&lt;Crédits!$K$10,E140,0))+IF(Crédits!$K$6="",0,IF(Crédits!$K$6&lt;Crédits!$K$10,M140,0))+IF(Crédits!$K$7="",0,IF(Crédits!$K$7&lt;Crédits!$K$10,U140,0))+IF(Crédits!$K$8="",0,IF(Crédits!$K$8&lt;Crédits!$K$10,AC140,0))+IF(Crédits!$K$9="",0,IF(Crédits!$K$9&lt;Crédits!$K$10,AK140,0))))))</f>
        <v>0</v>
      </c>
      <c r="AU140" s="104">
        <f t="shared" si="11"/>
        <v>0</v>
      </c>
      <c r="AV140" s="88">
        <f>ROUND(AV139+AW140-MIN(N(Crédits!$E$10),AV139+AW140),2)</f>
        <v>0</v>
      </c>
      <c r="AW140" s="89">
        <f>AV139*N(Crédits!$D$10)/12</f>
        <v>0</v>
      </c>
      <c r="AX140" s="105">
        <f t="shared" si="12"/>
        <v>0</v>
      </c>
      <c r="AY140" s="105">
        <f t="shared" ref="AY140:AZ140" si="158">F140+N140+V140+AD140+AL140+AT140</f>
        <v>0</v>
      </c>
      <c r="AZ140" s="105">
        <f t="shared" si="158"/>
        <v>0</v>
      </c>
      <c r="BA140" s="105">
        <f t="shared" si="14"/>
        <v>0</v>
      </c>
      <c r="BB140" s="105">
        <f t="shared" si="15"/>
        <v>0</v>
      </c>
    </row>
    <row r="141" spans="1:54" ht="15" customHeight="1" x14ac:dyDescent="0.25">
      <c r="A141" s="2">
        <v>139</v>
      </c>
      <c r="B141" s="83">
        <f t="shared" si="16"/>
        <v>0</v>
      </c>
      <c r="C141" s="83">
        <f>B141*N(Crédits!$D$5)/12</f>
        <v>0</v>
      </c>
      <c r="D141" s="83">
        <f>MIN(N(Crédits!$E$5),B141+C141)</f>
        <v>0</v>
      </c>
      <c r="E141" s="83">
        <f t="shared" si="0"/>
        <v>0</v>
      </c>
      <c r="F141" s="86">
        <f>IF(Crédits!$K$5="",0,MAX(0,MIN(E141,Plan!$L$143-(IF(Crédits!$K$6="",0,IF(Crédits!$K$6&lt;Crédits!$K$5,M141,0))+IF(Crédits!$K$7="",0,IF(Crédits!$K$7&lt;Crédits!$K$5,U141,0))+IF(Crédits!$K$8="",0,IF(Crédits!$K$8&lt;Crédits!$K$5,AC141,0))+IF(Crédits!$K$9="",0,IF(Crédits!$K$9&lt;Crédits!$K$5,AK141,0))+IF(Crédits!$K$10="",0,IF(Crédits!$K$10&lt;Crédits!$K$5,AS141,0))))))</f>
        <v>0</v>
      </c>
      <c r="G141" s="87">
        <f t="shared" si="1"/>
        <v>0</v>
      </c>
      <c r="H141" s="88">
        <f>ROUND(H140+I141-MIN(N(Crédits!$E$5),H140+I141),2)</f>
        <v>0</v>
      </c>
      <c r="I141" s="89">
        <f>H140*N(Crédits!$D$5)/12</f>
        <v>0</v>
      </c>
      <c r="J141" s="90">
        <f t="shared" si="17"/>
        <v>0</v>
      </c>
      <c r="K141" s="90">
        <f>J141*N(Crédits!$D$6)/12</f>
        <v>0</v>
      </c>
      <c r="L141" s="90">
        <f>MIN(N(Crédits!$E$6),J141+K141)</f>
        <v>0</v>
      </c>
      <c r="M141" s="90">
        <f t="shared" si="2"/>
        <v>0</v>
      </c>
      <c r="N141" s="91">
        <f>IF(Crédits!$K$6="",0,MAX(0,MIN(M141,Plan!$L$143-(IF(Crédits!$K$5="",0,IF(Crédits!$K$5&lt;Crédits!$K$6,E141,0))+IF(Crédits!$K$7="",0,IF(Crédits!$K$7&lt;Crédits!$K$6,U141,0))+IF(Crédits!$K$8="",0,IF(Crédits!$K$8&lt;Crédits!$K$6,AC141,0))+IF(Crédits!$K$9="",0,IF(Crédits!$K$9&lt;Crédits!$K$6,AK141,0))+IF(Crédits!$K$10="",0,IF(Crédits!$K$10&lt;Crédits!$K$6,AS141,0))))))</f>
        <v>0</v>
      </c>
      <c r="O141" s="92">
        <f t="shared" si="3"/>
        <v>0</v>
      </c>
      <c r="P141" s="88">
        <f>ROUND(P140+Q141-MIN(N(Crédits!$E$6),P140+Q141),2)</f>
        <v>0</v>
      </c>
      <c r="Q141" s="89">
        <f>P140*N(Crédits!$D$6)/12</f>
        <v>0</v>
      </c>
      <c r="R141" s="93">
        <f t="shared" si="18"/>
        <v>0</v>
      </c>
      <c r="S141" s="93">
        <f>R141*N(Crédits!$D$7)/12</f>
        <v>0</v>
      </c>
      <c r="T141" s="93">
        <f>MIN(N(Crédits!$E$7),R141+S141)</f>
        <v>0</v>
      </c>
      <c r="U141" s="93">
        <f t="shared" si="4"/>
        <v>0</v>
      </c>
      <c r="V141" s="94">
        <f>IF(Crédits!$K$7="",0,MAX(0,MIN(U141,Plan!$L$143-(IF(Crédits!$K$5="",0,IF(Crédits!$K$5&lt;Crédits!$K$7,E141,0))+IF(Crédits!$K$6="",0,IF(Crédits!$K$6&lt;Crédits!$K$7,M141,0))+IF(Crédits!$K$8="",0,IF(Crédits!$K$8&lt;Crédits!$K$7,AC141,0))+IF(Crédits!$K$9="",0,IF(Crédits!$K$9&lt;Crédits!$K$7,AK141,0))+IF(Crédits!$K$10="",0,IF(Crédits!$K$10&lt;Crédits!$K$7,AS141,0))))))</f>
        <v>0</v>
      </c>
      <c r="W141" s="95">
        <f t="shared" si="5"/>
        <v>0</v>
      </c>
      <c r="X141" s="88">
        <f>ROUND(X140+Y141-MIN(N(Crédits!$E$7),X140+Y141),2)</f>
        <v>0</v>
      </c>
      <c r="Y141" s="89">
        <f>X140*N(Crédits!$D$7)/12</f>
        <v>0</v>
      </c>
      <c r="Z141" s="96">
        <f t="shared" si="19"/>
        <v>0</v>
      </c>
      <c r="AA141" s="96">
        <f>Z141*N(Crédits!$D$8)/12</f>
        <v>0</v>
      </c>
      <c r="AB141" s="96">
        <f>MIN(N(Crédits!$E$8),Z141+AA141)</f>
        <v>0</v>
      </c>
      <c r="AC141" s="96">
        <f t="shared" si="6"/>
        <v>0</v>
      </c>
      <c r="AD141" s="97">
        <f>IF(Crédits!$K$8="",0,MAX(0,MIN(AC141,Plan!$L$143-(IF(Crédits!$K$5="",0,IF(Crédits!$K$5&lt;Crédits!$K$8,E141,0))+IF(Crédits!$K$6="",0,IF(Crédits!$K$6&lt;Crédits!$K$8,M141,0))+IF(Crédits!$K$7="",0,IF(Crédits!$K$7&lt;Crédits!$K$8,U141,0))+IF(Crédits!$K$9="",0,IF(Crédits!$K$9&lt;Crédits!$K$8,AK141,0))+IF(Crédits!$K$10="",0,IF(Crédits!$K$10&lt;Crédits!$K$8,AS141,0))))))</f>
        <v>0</v>
      </c>
      <c r="AE141" s="98">
        <f t="shared" si="7"/>
        <v>0</v>
      </c>
      <c r="AF141" s="88">
        <f>ROUND(AF140+AG141-MIN(N(Crédits!$E$8),AF140+AG141),2)</f>
        <v>0</v>
      </c>
      <c r="AG141" s="89">
        <f>AF140*N(Crédits!$D$8)/12</f>
        <v>0</v>
      </c>
      <c r="AH141" s="99">
        <f t="shared" si="20"/>
        <v>0</v>
      </c>
      <c r="AI141" s="99">
        <f>AH141*N(Crédits!$D$9)/12</f>
        <v>0</v>
      </c>
      <c r="AJ141" s="99">
        <f>MIN(N(Crédits!$E$9),AH141+AI141)</f>
        <v>0</v>
      </c>
      <c r="AK141" s="99">
        <f t="shared" si="8"/>
        <v>0</v>
      </c>
      <c r="AL141" s="100">
        <f>IF(Crédits!$K$9="",0,MAX(0,MIN(AK141,Plan!$L$143-(IF(Crédits!$K$5="",0,IF(Crédits!$K$5&lt;Crédits!$K$9,E141,0))+IF(Crédits!$K$6="",0,IF(Crédits!$K$6&lt;Crédits!$K$9,M141,0))+IF(Crédits!$K$7="",0,IF(Crédits!$K$7&lt;Crédits!$K$9,U141,0))+IF(Crédits!$K$8="",0,IF(Crédits!$K$8&lt;Crédits!$K$9,AC141,0))+IF(Crédits!$K$10="",0,IF(Crédits!$K$10&lt;Crédits!$K$9,AS141,0))))))</f>
        <v>0</v>
      </c>
      <c r="AM141" s="101">
        <f t="shared" si="9"/>
        <v>0</v>
      </c>
      <c r="AN141" s="88">
        <f>ROUND(AN140+AO141-MIN(N(Crédits!$E$9),AN140+AO141),2)</f>
        <v>0</v>
      </c>
      <c r="AO141" s="89">
        <f>AN140*N(Crédits!$D$9)/12</f>
        <v>0</v>
      </c>
      <c r="AP141" s="102">
        <f t="shared" si="21"/>
        <v>0</v>
      </c>
      <c r="AQ141" s="102">
        <f>AP141*N(Crédits!$D$10)/12</f>
        <v>0</v>
      </c>
      <c r="AR141" s="102">
        <f>MIN(N(Crédits!$E$10),AP141+AQ141)</f>
        <v>0</v>
      </c>
      <c r="AS141" s="102">
        <f t="shared" si="10"/>
        <v>0</v>
      </c>
      <c r="AT141" s="103">
        <f>IF(Crédits!$K$10="",0,MAX(0,MIN(AS141,Plan!$L$143-(IF(Crédits!$K$5="",0,IF(Crédits!$K$5&lt;Crédits!$K$10,E141,0))+IF(Crédits!$K$6="",0,IF(Crédits!$K$6&lt;Crédits!$K$10,M141,0))+IF(Crédits!$K$7="",0,IF(Crédits!$K$7&lt;Crédits!$K$10,U141,0))+IF(Crédits!$K$8="",0,IF(Crédits!$K$8&lt;Crédits!$K$10,AC141,0))+IF(Crédits!$K$9="",0,IF(Crédits!$K$9&lt;Crédits!$K$10,AK141,0))))))</f>
        <v>0</v>
      </c>
      <c r="AU141" s="104">
        <f t="shared" si="11"/>
        <v>0</v>
      </c>
      <c r="AV141" s="88">
        <f>ROUND(AV140+AW141-MIN(N(Crédits!$E$10),AV140+AW141),2)</f>
        <v>0</v>
      </c>
      <c r="AW141" s="89">
        <f>AV140*N(Crédits!$D$10)/12</f>
        <v>0</v>
      </c>
      <c r="AX141" s="105">
        <f t="shared" si="12"/>
        <v>0</v>
      </c>
      <c r="AY141" s="105">
        <f t="shared" ref="AY141:AZ141" si="159">F141+N141+V141+AD141+AL141+AT141</f>
        <v>0</v>
      </c>
      <c r="AZ141" s="105">
        <f t="shared" si="159"/>
        <v>0</v>
      </c>
      <c r="BA141" s="105">
        <f t="shared" si="14"/>
        <v>0</v>
      </c>
      <c r="BB141" s="105">
        <f t="shared" si="15"/>
        <v>0</v>
      </c>
    </row>
    <row r="142" spans="1:54" ht="15" customHeight="1" x14ac:dyDescent="0.25">
      <c r="A142" s="2">
        <v>140</v>
      </c>
      <c r="B142" s="83">
        <f t="shared" si="16"/>
        <v>0</v>
      </c>
      <c r="C142" s="83">
        <f>B142*N(Crédits!$D$5)/12</f>
        <v>0</v>
      </c>
      <c r="D142" s="83">
        <f>MIN(N(Crédits!$E$5),B142+C142)</f>
        <v>0</v>
      </c>
      <c r="E142" s="83">
        <f t="shared" si="0"/>
        <v>0</v>
      </c>
      <c r="F142" s="86">
        <f>IF(Crédits!$K$5="",0,MAX(0,MIN(E142,Plan!$L$144-(IF(Crédits!$K$6="",0,IF(Crédits!$K$6&lt;Crédits!$K$5,M142,0))+IF(Crédits!$K$7="",0,IF(Crédits!$K$7&lt;Crédits!$K$5,U142,0))+IF(Crédits!$K$8="",0,IF(Crédits!$K$8&lt;Crédits!$K$5,AC142,0))+IF(Crédits!$K$9="",0,IF(Crédits!$K$9&lt;Crédits!$K$5,AK142,0))+IF(Crédits!$K$10="",0,IF(Crédits!$K$10&lt;Crédits!$K$5,AS142,0))))))</f>
        <v>0</v>
      </c>
      <c r="G142" s="87">
        <f t="shared" si="1"/>
        <v>0</v>
      </c>
      <c r="H142" s="88">
        <f>ROUND(H141+I142-MIN(N(Crédits!$E$5),H141+I142),2)</f>
        <v>0</v>
      </c>
      <c r="I142" s="89">
        <f>H141*N(Crédits!$D$5)/12</f>
        <v>0</v>
      </c>
      <c r="J142" s="90">
        <f t="shared" si="17"/>
        <v>0</v>
      </c>
      <c r="K142" s="90">
        <f>J142*N(Crédits!$D$6)/12</f>
        <v>0</v>
      </c>
      <c r="L142" s="90">
        <f>MIN(N(Crédits!$E$6),J142+K142)</f>
        <v>0</v>
      </c>
      <c r="M142" s="90">
        <f t="shared" si="2"/>
        <v>0</v>
      </c>
      <c r="N142" s="91">
        <f>IF(Crédits!$K$6="",0,MAX(0,MIN(M142,Plan!$L$144-(IF(Crédits!$K$5="",0,IF(Crédits!$K$5&lt;Crédits!$K$6,E142,0))+IF(Crédits!$K$7="",0,IF(Crédits!$K$7&lt;Crédits!$K$6,U142,0))+IF(Crédits!$K$8="",0,IF(Crédits!$K$8&lt;Crédits!$K$6,AC142,0))+IF(Crédits!$K$9="",0,IF(Crédits!$K$9&lt;Crédits!$K$6,AK142,0))+IF(Crédits!$K$10="",0,IF(Crédits!$K$10&lt;Crédits!$K$6,AS142,0))))))</f>
        <v>0</v>
      </c>
      <c r="O142" s="92">
        <f t="shared" si="3"/>
        <v>0</v>
      </c>
      <c r="P142" s="88">
        <f>ROUND(P141+Q142-MIN(N(Crédits!$E$6),P141+Q142),2)</f>
        <v>0</v>
      </c>
      <c r="Q142" s="89">
        <f>P141*N(Crédits!$D$6)/12</f>
        <v>0</v>
      </c>
      <c r="R142" s="93">
        <f t="shared" si="18"/>
        <v>0</v>
      </c>
      <c r="S142" s="93">
        <f>R142*N(Crédits!$D$7)/12</f>
        <v>0</v>
      </c>
      <c r="T142" s="93">
        <f>MIN(N(Crédits!$E$7),R142+S142)</f>
        <v>0</v>
      </c>
      <c r="U142" s="93">
        <f t="shared" si="4"/>
        <v>0</v>
      </c>
      <c r="V142" s="94">
        <f>IF(Crédits!$K$7="",0,MAX(0,MIN(U142,Plan!$L$144-(IF(Crédits!$K$5="",0,IF(Crédits!$K$5&lt;Crédits!$K$7,E142,0))+IF(Crédits!$K$6="",0,IF(Crédits!$K$6&lt;Crédits!$K$7,M142,0))+IF(Crédits!$K$8="",0,IF(Crédits!$K$8&lt;Crédits!$K$7,AC142,0))+IF(Crédits!$K$9="",0,IF(Crédits!$K$9&lt;Crédits!$K$7,AK142,0))+IF(Crédits!$K$10="",0,IF(Crédits!$K$10&lt;Crédits!$K$7,AS142,0))))))</f>
        <v>0</v>
      </c>
      <c r="W142" s="95">
        <f t="shared" si="5"/>
        <v>0</v>
      </c>
      <c r="X142" s="88">
        <f>ROUND(X141+Y142-MIN(N(Crédits!$E$7),X141+Y142),2)</f>
        <v>0</v>
      </c>
      <c r="Y142" s="89">
        <f>X141*N(Crédits!$D$7)/12</f>
        <v>0</v>
      </c>
      <c r="Z142" s="96">
        <f t="shared" si="19"/>
        <v>0</v>
      </c>
      <c r="AA142" s="96">
        <f>Z142*N(Crédits!$D$8)/12</f>
        <v>0</v>
      </c>
      <c r="AB142" s="96">
        <f>MIN(N(Crédits!$E$8),Z142+AA142)</f>
        <v>0</v>
      </c>
      <c r="AC142" s="96">
        <f t="shared" si="6"/>
        <v>0</v>
      </c>
      <c r="AD142" s="97">
        <f>IF(Crédits!$K$8="",0,MAX(0,MIN(AC142,Plan!$L$144-(IF(Crédits!$K$5="",0,IF(Crédits!$K$5&lt;Crédits!$K$8,E142,0))+IF(Crédits!$K$6="",0,IF(Crédits!$K$6&lt;Crédits!$K$8,M142,0))+IF(Crédits!$K$7="",0,IF(Crédits!$K$7&lt;Crédits!$K$8,U142,0))+IF(Crédits!$K$9="",0,IF(Crédits!$K$9&lt;Crédits!$K$8,AK142,0))+IF(Crédits!$K$10="",0,IF(Crédits!$K$10&lt;Crédits!$K$8,AS142,0))))))</f>
        <v>0</v>
      </c>
      <c r="AE142" s="98">
        <f t="shared" si="7"/>
        <v>0</v>
      </c>
      <c r="AF142" s="88">
        <f>ROUND(AF141+AG142-MIN(N(Crédits!$E$8),AF141+AG142),2)</f>
        <v>0</v>
      </c>
      <c r="AG142" s="89">
        <f>AF141*N(Crédits!$D$8)/12</f>
        <v>0</v>
      </c>
      <c r="AH142" s="99">
        <f t="shared" si="20"/>
        <v>0</v>
      </c>
      <c r="AI142" s="99">
        <f>AH142*N(Crédits!$D$9)/12</f>
        <v>0</v>
      </c>
      <c r="AJ142" s="99">
        <f>MIN(N(Crédits!$E$9),AH142+AI142)</f>
        <v>0</v>
      </c>
      <c r="AK142" s="99">
        <f t="shared" si="8"/>
        <v>0</v>
      </c>
      <c r="AL142" s="100">
        <f>IF(Crédits!$K$9="",0,MAX(0,MIN(AK142,Plan!$L$144-(IF(Crédits!$K$5="",0,IF(Crédits!$K$5&lt;Crédits!$K$9,E142,0))+IF(Crédits!$K$6="",0,IF(Crédits!$K$6&lt;Crédits!$K$9,M142,0))+IF(Crédits!$K$7="",0,IF(Crédits!$K$7&lt;Crédits!$K$9,U142,0))+IF(Crédits!$K$8="",0,IF(Crédits!$K$8&lt;Crédits!$K$9,AC142,0))+IF(Crédits!$K$10="",0,IF(Crédits!$K$10&lt;Crédits!$K$9,AS142,0))))))</f>
        <v>0</v>
      </c>
      <c r="AM142" s="101">
        <f t="shared" si="9"/>
        <v>0</v>
      </c>
      <c r="AN142" s="88">
        <f>ROUND(AN141+AO142-MIN(N(Crédits!$E$9),AN141+AO142),2)</f>
        <v>0</v>
      </c>
      <c r="AO142" s="89">
        <f>AN141*N(Crédits!$D$9)/12</f>
        <v>0</v>
      </c>
      <c r="AP142" s="102">
        <f t="shared" si="21"/>
        <v>0</v>
      </c>
      <c r="AQ142" s="102">
        <f>AP142*N(Crédits!$D$10)/12</f>
        <v>0</v>
      </c>
      <c r="AR142" s="102">
        <f>MIN(N(Crédits!$E$10),AP142+AQ142)</f>
        <v>0</v>
      </c>
      <c r="AS142" s="102">
        <f t="shared" si="10"/>
        <v>0</v>
      </c>
      <c r="AT142" s="103">
        <f>IF(Crédits!$K$10="",0,MAX(0,MIN(AS142,Plan!$L$144-(IF(Crédits!$K$5="",0,IF(Crédits!$K$5&lt;Crédits!$K$10,E142,0))+IF(Crédits!$K$6="",0,IF(Crédits!$K$6&lt;Crédits!$K$10,M142,0))+IF(Crédits!$K$7="",0,IF(Crédits!$K$7&lt;Crédits!$K$10,U142,0))+IF(Crédits!$K$8="",0,IF(Crédits!$K$8&lt;Crédits!$K$10,AC142,0))+IF(Crédits!$K$9="",0,IF(Crédits!$K$9&lt;Crédits!$K$10,AK142,0))))))</f>
        <v>0</v>
      </c>
      <c r="AU142" s="104">
        <f t="shared" si="11"/>
        <v>0</v>
      </c>
      <c r="AV142" s="88">
        <f>ROUND(AV141+AW142-MIN(N(Crédits!$E$10),AV141+AW142),2)</f>
        <v>0</v>
      </c>
      <c r="AW142" s="89">
        <f>AV141*N(Crédits!$D$10)/12</f>
        <v>0</v>
      </c>
      <c r="AX142" s="105">
        <f t="shared" si="12"/>
        <v>0</v>
      </c>
      <c r="AY142" s="105">
        <f t="shared" ref="AY142:AZ142" si="160">F142+N142+V142+AD142+AL142+AT142</f>
        <v>0</v>
      </c>
      <c r="AZ142" s="105">
        <f t="shared" si="160"/>
        <v>0</v>
      </c>
      <c r="BA142" s="105">
        <f t="shared" si="14"/>
        <v>0</v>
      </c>
      <c r="BB142" s="105">
        <f t="shared" si="15"/>
        <v>0</v>
      </c>
    </row>
    <row r="143" spans="1:54" ht="15" customHeight="1" x14ac:dyDescent="0.25">
      <c r="A143" s="2">
        <v>141</v>
      </c>
      <c r="B143" s="83">
        <f t="shared" si="16"/>
        <v>0</v>
      </c>
      <c r="C143" s="83">
        <f>B143*N(Crédits!$D$5)/12</f>
        <v>0</v>
      </c>
      <c r="D143" s="83">
        <f>MIN(N(Crédits!$E$5),B143+C143)</f>
        <v>0</v>
      </c>
      <c r="E143" s="83">
        <f t="shared" si="0"/>
        <v>0</v>
      </c>
      <c r="F143" s="86">
        <f>IF(Crédits!$K$5="",0,MAX(0,MIN(E143,Plan!$L$145-(IF(Crédits!$K$6="",0,IF(Crédits!$K$6&lt;Crédits!$K$5,M143,0))+IF(Crédits!$K$7="",0,IF(Crédits!$K$7&lt;Crédits!$K$5,U143,0))+IF(Crédits!$K$8="",0,IF(Crédits!$K$8&lt;Crédits!$K$5,AC143,0))+IF(Crédits!$K$9="",0,IF(Crédits!$K$9&lt;Crédits!$K$5,AK143,0))+IF(Crédits!$K$10="",0,IF(Crédits!$K$10&lt;Crédits!$K$5,AS143,0))))))</f>
        <v>0</v>
      </c>
      <c r="G143" s="87">
        <f t="shared" si="1"/>
        <v>0</v>
      </c>
      <c r="H143" s="88">
        <f>ROUND(H142+I143-MIN(N(Crédits!$E$5),H142+I143),2)</f>
        <v>0</v>
      </c>
      <c r="I143" s="89">
        <f>H142*N(Crédits!$D$5)/12</f>
        <v>0</v>
      </c>
      <c r="J143" s="90">
        <f t="shared" si="17"/>
        <v>0</v>
      </c>
      <c r="K143" s="90">
        <f>J143*N(Crédits!$D$6)/12</f>
        <v>0</v>
      </c>
      <c r="L143" s="90">
        <f>MIN(N(Crédits!$E$6),J143+K143)</f>
        <v>0</v>
      </c>
      <c r="M143" s="90">
        <f t="shared" si="2"/>
        <v>0</v>
      </c>
      <c r="N143" s="91">
        <f>IF(Crédits!$K$6="",0,MAX(0,MIN(M143,Plan!$L$145-(IF(Crédits!$K$5="",0,IF(Crédits!$K$5&lt;Crédits!$K$6,E143,0))+IF(Crédits!$K$7="",0,IF(Crédits!$K$7&lt;Crédits!$K$6,U143,0))+IF(Crédits!$K$8="",0,IF(Crédits!$K$8&lt;Crédits!$K$6,AC143,0))+IF(Crédits!$K$9="",0,IF(Crédits!$K$9&lt;Crédits!$K$6,AK143,0))+IF(Crédits!$K$10="",0,IF(Crédits!$K$10&lt;Crédits!$K$6,AS143,0))))))</f>
        <v>0</v>
      </c>
      <c r="O143" s="92">
        <f t="shared" si="3"/>
        <v>0</v>
      </c>
      <c r="P143" s="88">
        <f>ROUND(P142+Q143-MIN(N(Crédits!$E$6),P142+Q143),2)</f>
        <v>0</v>
      </c>
      <c r="Q143" s="89">
        <f>P142*N(Crédits!$D$6)/12</f>
        <v>0</v>
      </c>
      <c r="R143" s="93">
        <f t="shared" si="18"/>
        <v>0</v>
      </c>
      <c r="S143" s="93">
        <f>R143*N(Crédits!$D$7)/12</f>
        <v>0</v>
      </c>
      <c r="T143" s="93">
        <f>MIN(N(Crédits!$E$7),R143+S143)</f>
        <v>0</v>
      </c>
      <c r="U143" s="93">
        <f t="shared" si="4"/>
        <v>0</v>
      </c>
      <c r="V143" s="94">
        <f>IF(Crédits!$K$7="",0,MAX(0,MIN(U143,Plan!$L$145-(IF(Crédits!$K$5="",0,IF(Crédits!$K$5&lt;Crédits!$K$7,E143,0))+IF(Crédits!$K$6="",0,IF(Crédits!$K$6&lt;Crédits!$K$7,M143,0))+IF(Crédits!$K$8="",0,IF(Crédits!$K$8&lt;Crédits!$K$7,AC143,0))+IF(Crédits!$K$9="",0,IF(Crédits!$K$9&lt;Crédits!$K$7,AK143,0))+IF(Crédits!$K$10="",0,IF(Crédits!$K$10&lt;Crédits!$K$7,AS143,0))))))</f>
        <v>0</v>
      </c>
      <c r="W143" s="95">
        <f t="shared" si="5"/>
        <v>0</v>
      </c>
      <c r="X143" s="88">
        <f>ROUND(X142+Y143-MIN(N(Crédits!$E$7),X142+Y143),2)</f>
        <v>0</v>
      </c>
      <c r="Y143" s="89">
        <f>X142*N(Crédits!$D$7)/12</f>
        <v>0</v>
      </c>
      <c r="Z143" s="96">
        <f t="shared" si="19"/>
        <v>0</v>
      </c>
      <c r="AA143" s="96">
        <f>Z143*N(Crédits!$D$8)/12</f>
        <v>0</v>
      </c>
      <c r="AB143" s="96">
        <f>MIN(N(Crédits!$E$8),Z143+AA143)</f>
        <v>0</v>
      </c>
      <c r="AC143" s="96">
        <f t="shared" si="6"/>
        <v>0</v>
      </c>
      <c r="AD143" s="97">
        <f>IF(Crédits!$K$8="",0,MAX(0,MIN(AC143,Plan!$L$145-(IF(Crédits!$K$5="",0,IF(Crédits!$K$5&lt;Crédits!$K$8,E143,0))+IF(Crédits!$K$6="",0,IF(Crédits!$K$6&lt;Crédits!$K$8,M143,0))+IF(Crédits!$K$7="",0,IF(Crédits!$K$7&lt;Crédits!$K$8,U143,0))+IF(Crédits!$K$9="",0,IF(Crédits!$K$9&lt;Crédits!$K$8,AK143,0))+IF(Crédits!$K$10="",0,IF(Crédits!$K$10&lt;Crédits!$K$8,AS143,0))))))</f>
        <v>0</v>
      </c>
      <c r="AE143" s="98">
        <f t="shared" si="7"/>
        <v>0</v>
      </c>
      <c r="AF143" s="88">
        <f>ROUND(AF142+AG143-MIN(N(Crédits!$E$8),AF142+AG143),2)</f>
        <v>0</v>
      </c>
      <c r="AG143" s="89">
        <f>AF142*N(Crédits!$D$8)/12</f>
        <v>0</v>
      </c>
      <c r="AH143" s="99">
        <f t="shared" si="20"/>
        <v>0</v>
      </c>
      <c r="AI143" s="99">
        <f>AH143*N(Crédits!$D$9)/12</f>
        <v>0</v>
      </c>
      <c r="AJ143" s="99">
        <f>MIN(N(Crédits!$E$9),AH143+AI143)</f>
        <v>0</v>
      </c>
      <c r="AK143" s="99">
        <f t="shared" si="8"/>
        <v>0</v>
      </c>
      <c r="AL143" s="100">
        <f>IF(Crédits!$K$9="",0,MAX(0,MIN(AK143,Plan!$L$145-(IF(Crédits!$K$5="",0,IF(Crédits!$K$5&lt;Crédits!$K$9,E143,0))+IF(Crédits!$K$6="",0,IF(Crédits!$K$6&lt;Crédits!$K$9,M143,0))+IF(Crédits!$K$7="",0,IF(Crédits!$K$7&lt;Crédits!$K$9,U143,0))+IF(Crédits!$K$8="",0,IF(Crédits!$K$8&lt;Crédits!$K$9,AC143,0))+IF(Crédits!$K$10="",0,IF(Crédits!$K$10&lt;Crédits!$K$9,AS143,0))))))</f>
        <v>0</v>
      </c>
      <c r="AM143" s="101">
        <f t="shared" si="9"/>
        <v>0</v>
      </c>
      <c r="AN143" s="88">
        <f>ROUND(AN142+AO143-MIN(N(Crédits!$E$9),AN142+AO143),2)</f>
        <v>0</v>
      </c>
      <c r="AO143" s="89">
        <f>AN142*N(Crédits!$D$9)/12</f>
        <v>0</v>
      </c>
      <c r="AP143" s="102">
        <f t="shared" si="21"/>
        <v>0</v>
      </c>
      <c r="AQ143" s="102">
        <f>AP143*N(Crédits!$D$10)/12</f>
        <v>0</v>
      </c>
      <c r="AR143" s="102">
        <f>MIN(N(Crédits!$E$10),AP143+AQ143)</f>
        <v>0</v>
      </c>
      <c r="AS143" s="102">
        <f t="shared" si="10"/>
        <v>0</v>
      </c>
      <c r="AT143" s="103">
        <f>IF(Crédits!$K$10="",0,MAX(0,MIN(AS143,Plan!$L$145-(IF(Crédits!$K$5="",0,IF(Crédits!$K$5&lt;Crédits!$K$10,E143,0))+IF(Crédits!$K$6="",0,IF(Crédits!$K$6&lt;Crédits!$K$10,M143,0))+IF(Crédits!$K$7="",0,IF(Crédits!$K$7&lt;Crédits!$K$10,U143,0))+IF(Crédits!$K$8="",0,IF(Crédits!$K$8&lt;Crédits!$K$10,AC143,0))+IF(Crédits!$K$9="",0,IF(Crédits!$K$9&lt;Crédits!$K$10,AK143,0))))))</f>
        <v>0</v>
      </c>
      <c r="AU143" s="104">
        <f t="shared" si="11"/>
        <v>0</v>
      </c>
      <c r="AV143" s="88">
        <f>ROUND(AV142+AW143-MIN(N(Crédits!$E$10),AV142+AW143),2)</f>
        <v>0</v>
      </c>
      <c r="AW143" s="89">
        <f>AV142*N(Crédits!$D$10)/12</f>
        <v>0</v>
      </c>
      <c r="AX143" s="105">
        <f t="shared" si="12"/>
        <v>0</v>
      </c>
      <c r="AY143" s="105">
        <f t="shared" ref="AY143:AZ143" si="161">F143+N143+V143+AD143+AL143+AT143</f>
        <v>0</v>
      </c>
      <c r="AZ143" s="105">
        <f t="shared" si="161"/>
        <v>0</v>
      </c>
      <c r="BA143" s="105">
        <f t="shared" si="14"/>
        <v>0</v>
      </c>
      <c r="BB143" s="105">
        <f t="shared" si="15"/>
        <v>0</v>
      </c>
    </row>
    <row r="144" spans="1:54" ht="15" customHeight="1" x14ac:dyDescent="0.25">
      <c r="A144" s="2">
        <v>142</v>
      </c>
      <c r="B144" s="83">
        <f t="shared" si="16"/>
        <v>0</v>
      </c>
      <c r="C144" s="83">
        <f>B144*N(Crédits!$D$5)/12</f>
        <v>0</v>
      </c>
      <c r="D144" s="83">
        <f>MIN(N(Crédits!$E$5),B144+C144)</f>
        <v>0</v>
      </c>
      <c r="E144" s="83">
        <f t="shared" si="0"/>
        <v>0</v>
      </c>
      <c r="F144" s="86">
        <f>IF(Crédits!$K$5="",0,MAX(0,MIN(E144,Plan!$L$146-(IF(Crédits!$K$6="",0,IF(Crédits!$K$6&lt;Crédits!$K$5,M144,0))+IF(Crédits!$K$7="",0,IF(Crédits!$K$7&lt;Crédits!$K$5,U144,0))+IF(Crédits!$K$8="",0,IF(Crédits!$K$8&lt;Crédits!$K$5,AC144,0))+IF(Crédits!$K$9="",0,IF(Crédits!$K$9&lt;Crédits!$K$5,AK144,0))+IF(Crédits!$K$10="",0,IF(Crédits!$K$10&lt;Crédits!$K$5,AS144,0))))))</f>
        <v>0</v>
      </c>
      <c r="G144" s="87">
        <f t="shared" si="1"/>
        <v>0</v>
      </c>
      <c r="H144" s="88">
        <f>ROUND(H143+I144-MIN(N(Crédits!$E$5),H143+I144),2)</f>
        <v>0</v>
      </c>
      <c r="I144" s="89">
        <f>H143*N(Crédits!$D$5)/12</f>
        <v>0</v>
      </c>
      <c r="J144" s="90">
        <f t="shared" si="17"/>
        <v>0</v>
      </c>
      <c r="K144" s="90">
        <f>J144*N(Crédits!$D$6)/12</f>
        <v>0</v>
      </c>
      <c r="L144" s="90">
        <f>MIN(N(Crédits!$E$6),J144+K144)</f>
        <v>0</v>
      </c>
      <c r="M144" s="90">
        <f t="shared" si="2"/>
        <v>0</v>
      </c>
      <c r="N144" s="91">
        <f>IF(Crédits!$K$6="",0,MAX(0,MIN(M144,Plan!$L$146-(IF(Crédits!$K$5="",0,IF(Crédits!$K$5&lt;Crédits!$K$6,E144,0))+IF(Crédits!$K$7="",0,IF(Crédits!$K$7&lt;Crédits!$K$6,U144,0))+IF(Crédits!$K$8="",0,IF(Crédits!$K$8&lt;Crédits!$K$6,AC144,0))+IF(Crédits!$K$9="",0,IF(Crédits!$K$9&lt;Crédits!$K$6,AK144,0))+IF(Crédits!$K$10="",0,IF(Crédits!$K$10&lt;Crédits!$K$6,AS144,0))))))</f>
        <v>0</v>
      </c>
      <c r="O144" s="92">
        <f t="shared" si="3"/>
        <v>0</v>
      </c>
      <c r="P144" s="88">
        <f>ROUND(P143+Q144-MIN(N(Crédits!$E$6),P143+Q144),2)</f>
        <v>0</v>
      </c>
      <c r="Q144" s="89">
        <f>P143*N(Crédits!$D$6)/12</f>
        <v>0</v>
      </c>
      <c r="R144" s="93">
        <f t="shared" si="18"/>
        <v>0</v>
      </c>
      <c r="S144" s="93">
        <f>R144*N(Crédits!$D$7)/12</f>
        <v>0</v>
      </c>
      <c r="T144" s="93">
        <f>MIN(N(Crédits!$E$7),R144+S144)</f>
        <v>0</v>
      </c>
      <c r="U144" s="93">
        <f t="shared" si="4"/>
        <v>0</v>
      </c>
      <c r="V144" s="94">
        <f>IF(Crédits!$K$7="",0,MAX(0,MIN(U144,Plan!$L$146-(IF(Crédits!$K$5="",0,IF(Crédits!$K$5&lt;Crédits!$K$7,E144,0))+IF(Crédits!$K$6="",0,IF(Crédits!$K$6&lt;Crédits!$K$7,M144,0))+IF(Crédits!$K$8="",0,IF(Crédits!$K$8&lt;Crédits!$K$7,AC144,0))+IF(Crédits!$K$9="",0,IF(Crédits!$K$9&lt;Crédits!$K$7,AK144,0))+IF(Crédits!$K$10="",0,IF(Crédits!$K$10&lt;Crédits!$K$7,AS144,0))))))</f>
        <v>0</v>
      </c>
      <c r="W144" s="95">
        <f t="shared" si="5"/>
        <v>0</v>
      </c>
      <c r="X144" s="88">
        <f>ROUND(X143+Y144-MIN(N(Crédits!$E$7),X143+Y144),2)</f>
        <v>0</v>
      </c>
      <c r="Y144" s="89">
        <f>X143*N(Crédits!$D$7)/12</f>
        <v>0</v>
      </c>
      <c r="Z144" s="96">
        <f t="shared" si="19"/>
        <v>0</v>
      </c>
      <c r="AA144" s="96">
        <f>Z144*N(Crédits!$D$8)/12</f>
        <v>0</v>
      </c>
      <c r="AB144" s="96">
        <f>MIN(N(Crédits!$E$8),Z144+AA144)</f>
        <v>0</v>
      </c>
      <c r="AC144" s="96">
        <f t="shared" si="6"/>
        <v>0</v>
      </c>
      <c r="AD144" s="97">
        <f>IF(Crédits!$K$8="",0,MAX(0,MIN(AC144,Plan!$L$146-(IF(Crédits!$K$5="",0,IF(Crédits!$K$5&lt;Crédits!$K$8,E144,0))+IF(Crédits!$K$6="",0,IF(Crédits!$K$6&lt;Crédits!$K$8,M144,0))+IF(Crédits!$K$7="",0,IF(Crédits!$K$7&lt;Crédits!$K$8,U144,0))+IF(Crédits!$K$9="",0,IF(Crédits!$K$9&lt;Crédits!$K$8,AK144,0))+IF(Crédits!$K$10="",0,IF(Crédits!$K$10&lt;Crédits!$K$8,AS144,0))))))</f>
        <v>0</v>
      </c>
      <c r="AE144" s="98">
        <f t="shared" si="7"/>
        <v>0</v>
      </c>
      <c r="AF144" s="88">
        <f>ROUND(AF143+AG144-MIN(N(Crédits!$E$8),AF143+AG144),2)</f>
        <v>0</v>
      </c>
      <c r="AG144" s="89">
        <f>AF143*N(Crédits!$D$8)/12</f>
        <v>0</v>
      </c>
      <c r="AH144" s="99">
        <f t="shared" si="20"/>
        <v>0</v>
      </c>
      <c r="AI144" s="99">
        <f>AH144*N(Crédits!$D$9)/12</f>
        <v>0</v>
      </c>
      <c r="AJ144" s="99">
        <f>MIN(N(Crédits!$E$9),AH144+AI144)</f>
        <v>0</v>
      </c>
      <c r="AK144" s="99">
        <f t="shared" si="8"/>
        <v>0</v>
      </c>
      <c r="AL144" s="100">
        <f>IF(Crédits!$K$9="",0,MAX(0,MIN(AK144,Plan!$L$146-(IF(Crédits!$K$5="",0,IF(Crédits!$K$5&lt;Crédits!$K$9,E144,0))+IF(Crédits!$K$6="",0,IF(Crédits!$K$6&lt;Crédits!$K$9,M144,0))+IF(Crédits!$K$7="",0,IF(Crédits!$K$7&lt;Crédits!$K$9,U144,0))+IF(Crédits!$K$8="",0,IF(Crédits!$K$8&lt;Crédits!$K$9,AC144,0))+IF(Crédits!$K$10="",0,IF(Crédits!$K$10&lt;Crédits!$K$9,AS144,0))))))</f>
        <v>0</v>
      </c>
      <c r="AM144" s="101">
        <f t="shared" si="9"/>
        <v>0</v>
      </c>
      <c r="AN144" s="88">
        <f>ROUND(AN143+AO144-MIN(N(Crédits!$E$9),AN143+AO144),2)</f>
        <v>0</v>
      </c>
      <c r="AO144" s="89">
        <f>AN143*N(Crédits!$D$9)/12</f>
        <v>0</v>
      </c>
      <c r="AP144" s="102">
        <f t="shared" si="21"/>
        <v>0</v>
      </c>
      <c r="AQ144" s="102">
        <f>AP144*N(Crédits!$D$10)/12</f>
        <v>0</v>
      </c>
      <c r="AR144" s="102">
        <f>MIN(N(Crédits!$E$10),AP144+AQ144)</f>
        <v>0</v>
      </c>
      <c r="AS144" s="102">
        <f t="shared" si="10"/>
        <v>0</v>
      </c>
      <c r="AT144" s="103">
        <f>IF(Crédits!$K$10="",0,MAX(0,MIN(AS144,Plan!$L$146-(IF(Crédits!$K$5="",0,IF(Crédits!$K$5&lt;Crédits!$K$10,E144,0))+IF(Crédits!$K$6="",0,IF(Crédits!$K$6&lt;Crédits!$K$10,M144,0))+IF(Crédits!$K$7="",0,IF(Crédits!$K$7&lt;Crédits!$K$10,U144,0))+IF(Crédits!$K$8="",0,IF(Crédits!$K$8&lt;Crédits!$K$10,AC144,0))+IF(Crédits!$K$9="",0,IF(Crédits!$K$9&lt;Crédits!$K$10,AK144,0))))))</f>
        <v>0</v>
      </c>
      <c r="AU144" s="104">
        <f t="shared" si="11"/>
        <v>0</v>
      </c>
      <c r="AV144" s="88">
        <f>ROUND(AV143+AW144-MIN(N(Crédits!$E$10),AV143+AW144),2)</f>
        <v>0</v>
      </c>
      <c r="AW144" s="89">
        <f>AV143*N(Crédits!$D$10)/12</f>
        <v>0</v>
      </c>
      <c r="AX144" s="105">
        <f t="shared" si="12"/>
        <v>0</v>
      </c>
      <c r="AY144" s="105">
        <f t="shared" ref="AY144:AZ144" si="162">F144+N144+V144+AD144+AL144+AT144</f>
        <v>0</v>
      </c>
      <c r="AZ144" s="105">
        <f t="shared" si="162"/>
        <v>0</v>
      </c>
      <c r="BA144" s="105">
        <f t="shared" si="14"/>
        <v>0</v>
      </c>
      <c r="BB144" s="105">
        <f t="shared" si="15"/>
        <v>0</v>
      </c>
    </row>
    <row r="145" spans="1:54" ht="15" customHeight="1" x14ac:dyDescent="0.25">
      <c r="A145" s="2">
        <v>143</v>
      </c>
      <c r="B145" s="83">
        <f t="shared" si="16"/>
        <v>0</v>
      </c>
      <c r="C145" s="83">
        <f>B145*N(Crédits!$D$5)/12</f>
        <v>0</v>
      </c>
      <c r="D145" s="83">
        <f>MIN(N(Crédits!$E$5),B145+C145)</f>
        <v>0</v>
      </c>
      <c r="E145" s="83">
        <f t="shared" si="0"/>
        <v>0</v>
      </c>
      <c r="F145" s="86">
        <f>IF(Crédits!$K$5="",0,MAX(0,MIN(E145,Plan!$L$147-(IF(Crédits!$K$6="",0,IF(Crédits!$K$6&lt;Crédits!$K$5,M145,0))+IF(Crédits!$K$7="",0,IF(Crédits!$K$7&lt;Crédits!$K$5,U145,0))+IF(Crédits!$K$8="",0,IF(Crédits!$K$8&lt;Crédits!$K$5,AC145,0))+IF(Crédits!$K$9="",0,IF(Crédits!$K$9&lt;Crédits!$K$5,AK145,0))+IF(Crédits!$K$10="",0,IF(Crédits!$K$10&lt;Crédits!$K$5,AS145,0))))))</f>
        <v>0</v>
      </c>
      <c r="G145" s="87">
        <f t="shared" si="1"/>
        <v>0</v>
      </c>
      <c r="H145" s="88">
        <f>ROUND(H144+I145-MIN(N(Crédits!$E$5),H144+I145),2)</f>
        <v>0</v>
      </c>
      <c r="I145" s="89">
        <f>H144*N(Crédits!$D$5)/12</f>
        <v>0</v>
      </c>
      <c r="J145" s="90">
        <f t="shared" si="17"/>
        <v>0</v>
      </c>
      <c r="K145" s="90">
        <f>J145*N(Crédits!$D$6)/12</f>
        <v>0</v>
      </c>
      <c r="L145" s="90">
        <f>MIN(N(Crédits!$E$6),J145+K145)</f>
        <v>0</v>
      </c>
      <c r="M145" s="90">
        <f t="shared" si="2"/>
        <v>0</v>
      </c>
      <c r="N145" s="91">
        <f>IF(Crédits!$K$6="",0,MAX(0,MIN(M145,Plan!$L$147-(IF(Crédits!$K$5="",0,IF(Crédits!$K$5&lt;Crédits!$K$6,E145,0))+IF(Crédits!$K$7="",0,IF(Crédits!$K$7&lt;Crédits!$K$6,U145,0))+IF(Crédits!$K$8="",0,IF(Crédits!$K$8&lt;Crédits!$K$6,AC145,0))+IF(Crédits!$K$9="",0,IF(Crédits!$K$9&lt;Crédits!$K$6,AK145,0))+IF(Crédits!$K$10="",0,IF(Crédits!$K$10&lt;Crédits!$K$6,AS145,0))))))</f>
        <v>0</v>
      </c>
      <c r="O145" s="92">
        <f t="shared" si="3"/>
        <v>0</v>
      </c>
      <c r="P145" s="88">
        <f>ROUND(P144+Q145-MIN(N(Crédits!$E$6),P144+Q145),2)</f>
        <v>0</v>
      </c>
      <c r="Q145" s="89">
        <f>P144*N(Crédits!$D$6)/12</f>
        <v>0</v>
      </c>
      <c r="R145" s="93">
        <f t="shared" si="18"/>
        <v>0</v>
      </c>
      <c r="S145" s="93">
        <f>R145*N(Crédits!$D$7)/12</f>
        <v>0</v>
      </c>
      <c r="T145" s="93">
        <f>MIN(N(Crédits!$E$7),R145+S145)</f>
        <v>0</v>
      </c>
      <c r="U145" s="93">
        <f t="shared" si="4"/>
        <v>0</v>
      </c>
      <c r="V145" s="94">
        <f>IF(Crédits!$K$7="",0,MAX(0,MIN(U145,Plan!$L$147-(IF(Crédits!$K$5="",0,IF(Crédits!$K$5&lt;Crédits!$K$7,E145,0))+IF(Crédits!$K$6="",0,IF(Crédits!$K$6&lt;Crédits!$K$7,M145,0))+IF(Crédits!$K$8="",0,IF(Crédits!$K$8&lt;Crédits!$K$7,AC145,0))+IF(Crédits!$K$9="",0,IF(Crédits!$K$9&lt;Crédits!$K$7,AK145,0))+IF(Crédits!$K$10="",0,IF(Crédits!$K$10&lt;Crédits!$K$7,AS145,0))))))</f>
        <v>0</v>
      </c>
      <c r="W145" s="95">
        <f t="shared" si="5"/>
        <v>0</v>
      </c>
      <c r="X145" s="88">
        <f>ROUND(X144+Y145-MIN(N(Crédits!$E$7),X144+Y145),2)</f>
        <v>0</v>
      </c>
      <c r="Y145" s="89">
        <f>X144*N(Crédits!$D$7)/12</f>
        <v>0</v>
      </c>
      <c r="Z145" s="96">
        <f t="shared" si="19"/>
        <v>0</v>
      </c>
      <c r="AA145" s="96">
        <f>Z145*N(Crédits!$D$8)/12</f>
        <v>0</v>
      </c>
      <c r="AB145" s="96">
        <f>MIN(N(Crédits!$E$8),Z145+AA145)</f>
        <v>0</v>
      </c>
      <c r="AC145" s="96">
        <f t="shared" si="6"/>
        <v>0</v>
      </c>
      <c r="AD145" s="97">
        <f>IF(Crédits!$K$8="",0,MAX(0,MIN(AC145,Plan!$L$147-(IF(Crédits!$K$5="",0,IF(Crédits!$K$5&lt;Crédits!$K$8,E145,0))+IF(Crédits!$K$6="",0,IF(Crédits!$K$6&lt;Crédits!$K$8,M145,0))+IF(Crédits!$K$7="",0,IF(Crédits!$K$7&lt;Crédits!$K$8,U145,0))+IF(Crédits!$K$9="",0,IF(Crédits!$K$9&lt;Crédits!$K$8,AK145,0))+IF(Crédits!$K$10="",0,IF(Crédits!$K$10&lt;Crédits!$K$8,AS145,0))))))</f>
        <v>0</v>
      </c>
      <c r="AE145" s="98">
        <f t="shared" si="7"/>
        <v>0</v>
      </c>
      <c r="AF145" s="88">
        <f>ROUND(AF144+AG145-MIN(N(Crédits!$E$8),AF144+AG145),2)</f>
        <v>0</v>
      </c>
      <c r="AG145" s="89">
        <f>AF144*N(Crédits!$D$8)/12</f>
        <v>0</v>
      </c>
      <c r="AH145" s="99">
        <f t="shared" si="20"/>
        <v>0</v>
      </c>
      <c r="AI145" s="99">
        <f>AH145*N(Crédits!$D$9)/12</f>
        <v>0</v>
      </c>
      <c r="AJ145" s="99">
        <f>MIN(N(Crédits!$E$9),AH145+AI145)</f>
        <v>0</v>
      </c>
      <c r="AK145" s="99">
        <f t="shared" si="8"/>
        <v>0</v>
      </c>
      <c r="AL145" s="100">
        <f>IF(Crédits!$K$9="",0,MAX(0,MIN(AK145,Plan!$L$147-(IF(Crédits!$K$5="",0,IF(Crédits!$K$5&lt;Crédits!$K$9,E145,0))+IF(Crédits!$K$6="",0,IF(Crédits!$K$6&lt;Crédits!$K$9,M145,0))+IF(Crédits!$K$7="",0,IF(Crédits!$K$7&lt;Crédits!$K$9,U145,0))+IF(Crédits!$K$8="",0,IF(Crédits!$K$8&lt;Crédits!$K$9,AC145,0))+IF(Crédits!$K$10="",0,IF(Crédits!$K$10&lt;Crédits!$K$9,AS145,0))))))</f>
        <v>0</v>
      </c>
      <c r="AM145" s="101">
        <f t="shared" si="9"/>
        <v>0</v>
      </c>
      <c r="AN145" s="88">
        <f>ROUND(AN144+AO145-MIN(N(Crédits!$E$9),AN144+AO145),2)</f>
        <v>0</v>
      </c>
      <c r="AO145" s="89">
        <f>AN144*N(Crédits!$D$9)/12</f>
        <v>0</v>
      </c>
      <c r="AP145" s="102">
        <f t="shared" si="21"/>
        <v>0</v>
      </c>
      <c r="AQ145" s="102">
        <f>AP145*N(Crédits!$D$10)/12</f>
        <v>0</v>
      </c>
      <c r="AR145" s="102">
        <f>MIN(N(Crédits!$E$10),AP145+AQ145)</f>
        <v>0</v>
      </c>
      <c r="AS145" s="102">
        <f t="shared" si="10"/>
        <v>0</v>
      </c>
      <c r="AT145" s="103">
        <f>IF(Crédits!$K$10="",0,MAX(0,MIN(AS145,Plan!$L$147-(IF(Crédits!$K$5="",0,IF(Crédits!$K$5&lt;Crédits!$K$10,E145,0))+IF(Crédits!$K$6="",0,IF(Crédits!$K$6&lt;Crédits!$K$10,M145,0))+IF(Crédits!$K$7="",0,IF(Crédits!$K$7&lt;Crédits!$K$10,U145,0))+IF(Crédits!$K$8="",0,IF(Crédits!$K$8&lt;Crédits!$K$10,AC145,0))+IF(Crédits!$K$9="",0,IF(Crédits!$K$9&lt;Crédits!$K$10,AK145,0))))))</f>
        <v>0</v>
      </c>
      <c r="AU145" s="104">
        <f t="shared" si="11"/>
        <v>0</v>
      </c>
      <c r="AV145" s="88">
        <f>ROUND(AV144+AW145-MIN(N(Crédits!$E$10),AV144+AW145),2)</f>
        <v>0</v>
      </c>
      <c r="AW145" s="89">
        <f>AV144*N(Crédits!$D$10)/12</f>
        <v>0</v>
      </c>
      <c r="AX145" s="105">
        <f t="shared" si="12"/>
        <v>0</v>
      </c>
      <c r="AY145" s="105">
        <f t="shared" ref="AY145:AZ145" si="163">F145+N145+V145+AD145+AL145+AT145</f>
        <v>0</v>
      </c>
      <c r="AZ145" s="105">
        <f t="shared" si="163"/>
        <v>0</v>
      </c>
      <c r="BA145" s="105">
        <f t="shared" si="14"/>
        <v>0</v>
      </c>
      <c r="BB145" s="105">
        <f t="shared" si="15"/>
        <v>0</v>
      </c>
    </row>
    <row r="146" spans="1:54" ht="15" customHeight="1" x14ac:dyDescent="0.25">
      <c r="A146" s="2">
        <v>144</v>
      </c>
      <c r="B146" s="83">
        <f t="shared" si="16"/>
        <v>0</v>
      </c>
      <c r="C146" s="83">
        <f>B146*N(Crédits!$D$5)/12</f>
        <v>0</v>
      </c>
      <c r="D146" s="83">
        <f>MIN(N(Crédits!$E$5),B146+C146)</f>
        <v>0</v>
      </c>
      <c r="E146" s="83">
        <f t="shared" si="0"/>
        <v>0</v>
      </c>
      <c r="F146" s="86">
        <f>IF(Crédits!$K$5="",0,MAX(0,MIN(E146,Plan!$L$148-(IF(Crédits!$K$6="",0,IF(Crédits!$K$6&lt;Crédits!$K$5,M146,0))+IF(Crédits!$K$7="",0,IF(Crédits!$K$7&lt;Crédits!$K$5,U146,0))+IF(Crédits!$K$8="",0,IF(Crédits!$K$8&lt;Crédits!$K$5,AC146,0))+IF(Crédits!$K$9="",0,IF(Crédits!$K$9&lt;Crédits!$K$5,AK146,0))+IF(Crédits!$K$10="",0,IF(Crédits!$K$10&lt;Crédits!$K$5,AS146,0))))))</f>
        <v>0</v>
      </c>
      <c r="G146" s="87">
        <f t="shared" si="1"/>
        <v>0</v>
      </c>
      <c r="H146" s="88">
        <f>ROUND(H145+I146-MIN(N(Crédits!$E$5),H145+I146),2)</f>
        <v>0</v>
      </c>
      <c r="I146" s="89">
        <f>H145*N(Crédits!$D$5)/12</f>
        <v>0</v>
      </c>
      <c r="J146" s="90">
        <f t="shared" si="17"/>
        <v>0</v>
      </c>
      <c r="K146" s="90">
        <f>J146*N(Crédits!$D$6)/12</f>
        <v>0</v>
      </c>
      <c r="L146" s="90">
        <f>MIN(N(Crédits!$E$6),J146+K146)</f>
        <v>0</v>
      </c>
      <c r="M146" s="90">
        <f t="shared" si="2"/>
        <v>0</v>
      </c>
      <c r="N146" s="91">
        <f>IF(Crédits!$K$6="",0,MAX(0,MIN(M146,Plan!$L$148-(IF(Crédits!$K$5="",0,IF(Crédits!$K$5&lt;Crédits!$K$6,E146,0))+IF(Crédits!$K$7="",0,IF(Crédits!$K$7&lt;Crédits!$K$6,U146,0))+IF(Crédits!$K$8="",0,IF(Crédits!$K$8&lt;Crédits!$K$6,AC146,0))+IF(Crédits!$K$9="",0,IF(Crédits!$K$9&lt;Crédits!$K$6,AK146,0))+IF(Crédits!$K$10="",0,IF(Crédits!$K$10&lt;Crédits!$K$6,AS146,0))))))</f>
        <v>0</v>
      </c>
      <c r="O146" s="92">
        <f t="shared" si="3"/>
        <v>0</v>
      </c>
      <c r="P146" s="88">
        <f>ROUND(P145+Q146-MIN(N(Crédits!$E$6),P145+Q146),2)</f>
        <v>0</v>
      </c>
      <c r="Q146" s="89">
        <f>P145*N(Crédits!$D$6)/12</f>
        <v>0</v>
      </c>
      <c r="R146" s="93">
        <f t="shared" si="18"/>
        <v>0</v>
      </c>
      <c r="S146" s="93">
        <f>R146*N(Crédits!$D$7)/12</f>
        <v>0</v>
      </c>
      <c r="T146" s="93">
        <f>MIN(N(Crédits!$E$7),R146+S146)</f>
        <v>0</v>
      </c>
      <c r="U146" s="93">
        <f t="shared" si="4"/>
        <v>0</v>
      </c>
      <c r="V146" s="94">
        <f>IF(Crédits!$K$7="",0,MAX(0,MIN(U146,Plan!$L$148-(IF(Crédits!$K$5="",0,IF(Crédits!$K$5&lt;Crédits!$K$7,E146,0))+IF(Crédits!$K$6="",0,IF(Crédits!$K$6&lt;Crédits!$K$7,M146,0))+IF(Crédits!$K$8="",0,IF(Crédits!$K$8&lt;Crédits!$K$7,AC146,0))+IF(Crédits!$K$9="",0,IF(Crédits!$K$9&lt;Crédits!$K$7,AK146,0))+IF(Crédits!$K$10="",0,IF(Crédits!$K$10&lt;Crédits!$K$7,AS146,0))))))</f>
        <v>0</v>
      </c>
      <c r="W146" s="95">
        <f t="shared" si="5"/>
        <v>0</v>
      </c>
      <c r="X146" s="88">
        <f>ROUND(X145+Y146-MIN(N(Crédits!$E$7),X145+Y146),2)</f>
        <v>0</v>
      </c>
      <c r="Y146" s="89">
        <f>X145*N(Crédits!$D$7)/12</f>
        <v>0</v>
      </c>
      <c r="Z146" s="96">
        <f t="shared" si="19"/>
        <v>0</v>
      </c>
      <c r="AA146" s="96">
        <f>Z146*N(Crédits!$D$8)/12</f>
        <v>0</v>
      </c>
      <c r="AB146" s="96">
        <f>MIN(N(Crédits!$E$8),Z146+AA146)</f>
        <v>0</v>
      </c>
      <c r="AC146" s="96">
        <f t="shared" si="6"/>
        <v>0</v>
      </c>
      <c r="AD146" s="97">
        <f>IF(Crédits!$K$8="",0,MAX(0,MIN(AC146,Plan!$L$148-(IF(Crédits!$K$5="",0,IF(Crédits!$K$5&lt;Crédits!$K$8,E146,0))+IF(Crédits!$K$6="",0,IF(Crédits!$K$6&lt;Crédits!$K$8,M146,0))+IF(Crédits!$K$7="",0,IF(Crédits!$K$7&lt;Crédits!$K$8,U146,0))+IF(Crédits!$K$9="",0,IF(Crédits!$K$9&lt;Crédits!$K$8,AK146,0))+IF(Crédits!$K$10="",0,IF(Crédits!$K$10&lt;Crédits!$K$8,AS146,0))))))</f>
        <v>0</v>
      </c>
      <c r="AE146" s="98">
        <f t="shared" si="7"/>
        <v>0</v>
      </c>
      <c r="AF146" s="88">
        <f>ROUND(AF145+AG146-MIN(N(Crédits!$E$8),AF145+AG146),2)</f>
        <v>0</v>
      </c>
      <c r="AG146" s="89">
        <f>AF145*N(Crédits!$D$8)/12</f>
        <v>0</v>
      </c>
      <c r="AH146" s="99">
        <f t="shared" si="20"/>
        <v>0</v>
      </c>
      <c r="AI146" s="99">
        <f>AH146*N(Crédits!$D$9)/12</f>
        <v>0</v>
      </c>
      <c r="AJ146" s="99">
        <f>MIN(N(Crédits!$E$9),AH146+AI146)</f>
        <v>0</v>
      </c>
      <c r="AK146" s="99">
        <f t="shared" si="8"/>
        <v>0</v>
      </c>
      <c r="AL146" s="100">
        <f>IF(Crédits!$K$9="",0,MAX(0,MIN(AK146,Plan!$L$148-(IF(Crédits!$K$5="",0,IF(Crédits!$K$5&lt;Crédits!$K$9,E146,0))+IF(Crédits!$K$6="",0,IF(Crédits!$K$6&lt;Crédits!$K$9,M146,0))+IF(Crédits!$K$7="",0,IF(Crédits!$K$7&lt;Crédits!$K$9,U146,0))+IF(Crédits!$K$8="",0,IF(Crédits!$K$8&lt;Crédits!$K$9,AC146,0))+IF(Crédits!$K$10="",0,IF(Crédits!$K$10&lt;Crédits!$K$9,AS146,0))))))</f>
        <v>0</v>
      </c>
      <c r="AM146" s="101">
        <f t="shared" si="9"/>
        <v>0</v>
      </c>
      <c r="AN146" s="88">
        <f>ROUND(AN145+AO146-MIN(N(Crédits!$E$9),AN145+AO146),2)</f>
        <v>0</v>
      </c>
      <c r="AO146" s="89">
        <f>AN145*N(Crédits!$D$9)/12</f>
        <v>0</v>
      </c>
      <c r="AP146" s="102">
        <f t="shared" si="21"/>
        <v>0</v>
      </c>
      <c r="AQ146" s="102">
        <f>AP146*N(Crédits!$D$10)/12</f>
        <v>0</v>
      </c>
      <c r="AR146" s="102">
        <f>MIN(N(Crédits!$E$10),AP146+AQ146)</f>
        <v>0</v>
      </c>
      <c r="AS146" s="102">
        <f t="shared" si="10"/>
        <v>0</v>
      </c>
      <c r="AT146" s="103">
        <f>IF(Crédits!$K$10="",0,MAX(0,MIN(AS146,Plan!$L$148-(IF(Crédits!$K$5="",0,IF(Crédits!$K$5&lt;Crédits!$K$10,E146,0))+IF(Crédits!$K$6="",0,IF(Crédits!$K$6&lt;Crédits!$K$10,M146,0))+IF(Crédits!$K$7="",0,IF(Crédits!$K$7&lt;Crédits!$K$10,U146,0))+IF(Crédits!$K$8="",0,IF(Crédits!$K$8&lt;Crédits!$K$10,AC146,0))+IF(Crédits!$K$9="",0,IF(Crédits!$K$9&lt;Crédits!$K$10,AK146,0))))))</f>
        <v>0</v>
      </c>
      <c r="AU146" s="104">
        <f t="shared" si="11"/>
        <v>0</v>
      </c>
      <c r="AV146" s="88">
        <f>ROUND(AV145+AW146-MIN(N(Crédits!$E$10),AV145+AW146),2)</f>
        <v>0</v>
      </c>
      <c r="AW146" s="89">
        <f>AV145*N(Crédits!$D$10)/12</f>
        <v>0</v>
      </c>
      <c r="AX146" s="105">
        <f t="shared" si="12"/>
        <v>0</v>
      </c>
      <c r="AY146" s="105">
        <f t="shared" ref="AY146:AZ146" si="164">F146+N146+V146+AD146+AL146+AT146</f>
        <v>0</v>
      </c>
      <c r="AZ146" s="105">
        <f t="shared" si="164"/>
        <v>0</v>
      </c>
      <c r="BA146" s="105">
        <f t="shared" si="14"/>
        <v>0</v>
      </c>
      <c r="BB146" s="105">
        <f t="shared" si="15"/>
        <v>0</v>
      </c>
    </row>
    <row r="147" spans="1:54" ht="15" customHeight="1" x14ac:dyDescent="0.25">
      <c r="A147" s="2">
        <v>145</v>
      </c>
      <c r="B147" s="83">
        <f t="shared" si="16"/>
        <v>0</v>
      </c>
      <c r="C147" s="83">
        <f>B147*N(Crédits!$D$5)/12</f>
        <v>0</v>
      </c>
      <c r="D147" s="83">
        <f>MIN(N(Crédits!$E$5),B147+C147)</f>
        <v>0</v>
      </c>
      <c r="E147" s="83">
        <f t="shared" si="0"/>
        <v>0</v>
      </c>
      <c r="F147" s="86">
        <f>IF(Crédits!$K$5="",0,MAX(0,MIN(E147,Plan!$L$149-(IF(Crédits!$K$6="",0,IF(Crédits!$K$6&lt;Crédits!$K$5,M147,0))+IF(Crédits!$K$7="",0,IF(Crédits!$K$7&lt;Crédits!$K$5,U147,0))+IF(Crédits!$K$8="",0,IF(Crédits!$K$8&lt;Crédits!$K$5,AC147,0))+IF(Crédits!$K$9="",0,IF(Crédits!$K$9&lt;Crédits!$K$5,AK147,0))+IF(Crédits!$K$10="",0,IF(Crédits!$K$10&lt;Crédits!$K$5,AS147,0))))))</f>
        <v>0</v>
      </c>
      <c r="G147" s="87">
        <f t="shared" si="1"/>
        <v>0</v>
      </c>
      <c r="H147" s="88">
        <f>ROUND(H146+I147-MIN(N(Crédits!$E$5),H146+I147),2)</f>
        <v>0</v>
      </c>
      <c r="I147" s="89">
        <f>H146*N(Crédits!$D$5)/12</f>
        <v>0</v>
      </c>
      <c r="J147" s="90">
        <f t="shared" si="17"/>
        <v>0</v>
      </c>
      <c r="K147" s="90">
        <f>J147*N(Crédits!$D$6)/12</f>
        <v>0</v>
      </c>
      <c r="L147" s="90">
        <f>MIN(N(Crédits!$E$6),J147+K147)</f>
        <v>0</v>
      </c>
      <c r="M147" s="90">
        <f t="shared" si="2"/>
        <v>0</v>
      </c>
      <c r="N147" s="91">
        <f>IF(Crédits!$K$6="",0,MAX(0,MIN(M147,Plan!$L$149-(IF(Crédits!$K$5="",0,IF(Crédits!$K$5&lt;Crédits!$K$6,E147,0))+IF(Crédits!$K$7="",0,IF(Crédits!$K$7&lt;Crédits!$K$6,U147,0))+IF(Crédits!$K$8="",0,IF(Crédits!$K$8&lt;Crédits!$K$6,AC147,0))+IF(Crédits!$K$9="",0,IF(Crédits!$K$9&lt;Crédits!$K$6,AK147,0))+IF(Crédits!$K$10="",0,IF(Crédits!$K$10&lt;Crédits!$K$6,AS147,0))))))</f>
        <v>0</v>
      </c>
      <c r="O147" s="92">
        <f t="shared" si="3"/>
        <v>0</v>
      </c>
      <c r="P147" s="88">
        <f>ROUND(P146+Q147-MIN(N(Crédits!$E$6),P146+Q147),2)</f>
        <v>0</v>
      </c>
      <c r="Q147" s="89">
        <f>P146*N(Crédits!$D$6)/12</f>
        <v>0</v>
      </c>
      <c r="R147" s="93">
        <f t="shared" si="18"/>
        <v>0</v>
      </c>
      <c r="S147" s="93">
        <f>R147*N(Crédits!$D$7)/12</f>
        <v>0</v>
      </c>
      <c r="T147" s="93">
        <f>MIN(N(Crédits!$E$7),R147+S147)</f>
        <v>0</v>
      </c>
      <c r="U147" s="93">
        <f t="shared" si="4"/>
        <v>0</v>
      </c>
      <c r="V147" s="94">
        <f>IF(Crédits!$K$7="",0,MAX(0,MIN(U147,Plan!$L$149-(IF(Crédits!$K$5="",0,IF(Crédits!$K$5&lt;Crédits!$K$7,E147,0))+IF(Crédits!$K$6="",0,IF(Crédits!$K$6&lt;Crédits!$K$7,M147,0))+IF(Crédits!$K$8="",0,IF(Crédits!$K$8&lt;Crédits!$K$7,AC147,0))+IF(Crédits!$K$9="",0,IF(Crédits!$K$9&lt;Crédits!$K$7,AK147,0))+IF(Crédits!$K$10="",0,IF(Crédits!$K$10&lt;Crédits!$K$7,AS147,0))))))</f>
        <v>0</v>
      </c>
      <c r="W147" s="95">
        <f t="shared" si="5"/>
        <v>0</v>
      </c>
      <c r="X147" s="88">
        <f>ROUND(X146+Y147-MIN(N(Crédits!$E$7),X146+Y147),2)</f>
        <v>0</v>
      </c>
      <c r="Y147" s="89">
        <f>X146*N(Crédits!$D$7)/12</f>
        <v>0</v>
      </c>
      <c r="Z147" s="96">
        <f t="shared" si="19"/>
        <v>0</v>
      </c>
      <c r="AA147" s="96">
        <f>Z147*N(Crédits!$D$8)/12</f>
        <v>0</v>
      </c>
      <c r="AB147" s="96">
        <f>MIN(N(Crédits!$E$8),Z147+AA147)</f>
        <v>0</v>
      </c>
      <c r="AC147" s="96">
        <f t="shared" si="6"/>
        <v>0</v>
      </c>
      <c r="AD147" s="97">
        <f>IF(Crédits!$K$8="",0,MAX(0,MIN(AC147,Plan!$L$149-(IF(Crédits!$K$5="",0,IF(Crédits!$K$5&lt;Crédits!$K$8,E147,0))+IF(Crédits!$K$6="",0,IF(Crédits!$K$6&lt;Crédits!$K$8,M147,0))+IF(Crédits!$K$7="",0,IF(Crédits!$K$7&lt;Crédits!$K$8,U147,0))+IF(Crédits!$K$9="",0,IF(Crédits!$K$9&lt;Crédits!$K$8,AK147,0))+IF(Crédits!$K$10="",0,IF(Crédits!$K$10&lt;Crédits!$K$8,AS147,0))))))</f>
        <v>0</v>
      </c>
      <c r="AE147" s="98">
        <f t="shared" si="7"/>
        <v>0</v>
      </c>
      <c r="AF147" s="88">
        <f>ROUND(AF146+AG147-MIN(N(Crédits!$E$8),AF146+AG147),2)</f>
        <v>0</v>
      </c>
      <c r="AG147" s="89">
        <f>AF146*N(Crédits!$D$8)/12</f>
        <v>0</v>
      </c>
      <c r="AH147" s="99">
        <f t="shared" si="20"/>
        <v>0</v>
      </c>
      <c r="AI147" s="99">
        <f>AH147*N(Crédits!$D$9)/12</f>
        <v>0</v>
      </c>
      <c r="AJ147" s="99">
        <f>MIN(N(Crédits!$E$9),AH147+AI147)</f>
        <v>0</v>
      </c>
      <c r="AK147" s="99">
        <f t="shared" si="8"/>
        <v>0</v>
      </c>
      <c r="AL147" s="100">
        <f>IF(Crédits!$K$9="",0,MAX(0,MIN(AK147,Plan!$L$149-(IF(Crédits!$K$5="",0,IF(Crédits!$K$5&lt;Crédits!$K$9,E147,0))+IF(Crédits!$K$6="",0,IF(Crédits!$K$6&lt;Crédits!$K$9,M147,0))+IF(Crédits!$K$7="",0,IF(Crédits!$K$7&lt;Crédits!$K$9,U147,0))+IF(Crédits!$K$8="",0,IF(Crédits!$K$8&lt;Crédits!$K$9,AC147,0))+IF(Crédits!$K$10="",0,IF(Crédits!$K$10&lt;Crédits!$K$9,AS147,0))))))</f>
        <v>0</v>
      </c>
      <c r="AM147" s="101">
        <f t="shared" si="9"/>
        <v>0</v>
      </c>
      <c r="AN147" s="88">
        <f>ROUND(AN146+AO147-MIN(N(Crédits!$E$9),AN146+AO147),2)</f>
        <v>0</v>
      </c>
      <c r="AO147" s="89">
        <f>AN146*N(Crédits!$D$9)/12</f>
        <v>0</v>
      </c>
      <c r="AP147" s="102">
        <f t="shared" si="21"/>
        <v>0</v>
      </c>
      <c r="AQ147" s="102">
        <f>AP147*N(Crédits!$D$10)/12</f>
        <v>0</v>
      </c>
      <c r="AR147" s="102">
        <f>MIN(N(Crédits!$E$10),AP147+AQ147)</f>
        <v>0</v>
      </c>
      <c r="AS147" s="102">
        <f t="shared" si="10"/>
        <v>0</v>
      </c>
      <c r="AT147" s="103">
        <f>IF(Crédits!$K$10="",0,MAX(0,MIN(AS147,Plan!$L$149-(IF(Crédits!$K$5="",0,IF(Crédits!$K$5&lt;Crédits!$K$10,E147,0))+IF(Crédits!$K$6="",0,IF(Crédits!$K$6&lt;Crédits!$K$10,M147,0))+IF(Crédits!$K$7="",0,IF(Crédits!$K$7&lt;Crédits!$K$10,U147,0))+IF(Crédits!$K$8="",0,IF(Crédits!$K$8&lt;Crédits!$K$10,AC147,0))+IF(Crédits!$K$9="",0,IF(Crédits!$K$9&lt;Crédits!$K$10,AK147,0))))))</f>
        <v>0</v>
      </c>
      <c r="AU147" s="104">
        <f t="shared" si="11"/>
        <v>0</v>
      </c>
      <c r="AV147" s="88">
        <f>ROUND(AV146+AW147-MIN(N(Crédits!$E$10),AV146+AW147),2)</f>
        <v>0</v>
      </c>
      <c r="AW147" s="89">
        <f>AV146*N(Crédits!$D$10)/12</f>
        <v>0</v>
      </c>
      <c r="AX147" s="105">
        <f t="shared" si="12"/>
        <v>0</v>
      </c>
      <c r="AY147" s="105">
        <f t="shared" ref="AY147:AZ147" si="165">F147+N147+V147+AD147+AL147+AT147</f>
        <v>0</v>
      </c>
      <c r="AZ147" s="105">
        <f t="shared" si="165"/>
        <v>0</v>
      </c>
      <c r="BA147" s="105">
        <f t="shared" si="14"/>
        <v>0</v>
      </c>
      <c r="BB147" s="105">
        <f t="shared" si="15"/>
        <v>0</v>
      </c>
    </row>
    <row r="148" spans="1:54" ht="15" customHeight="1" x14ac:dyDescent="0.25">
      <c r="A148" s="2">
        <v>146</v>
      </c>
      <c r="B148" s="83">
        <f t="shared" si="16"/>
        <v>0</v>
      </c>
      <c r="C148" s="83">
        <f>B148*N(Crédits!$D$5)/12</f>
        <v>0</v>
      </c>
      <c r="D148" s="83">
        <f>MIN(N(Crédits!$E$5),B148+C148)</f>
        <v>0</v>
      </c>
      <c r="E148" s="83">
        <f t="shared" si="0"/>
        <v>0</v>
      </c>
      <c r="F148" s="86">
        <f>IF(Crédits!$K$5="",0,MAX(0,MIN(E148,Plan!$L$150-(IF(Crédits!$K$6="",0,IF(Crédits!$K$6&lt;Crédits!$K$5,M148,0))+IF(Crédits!$K$7="",0,IF(Crédits!$K$7&lt;Crédits!$K$5,U148,0))+IF(Crédits!$K$8="",0,IF(Crédits!$K$8&lt;Crédits!$K$5,AC148,0))+IF(Crédits!$K$9="",0,IF(Crédits!$K$9&lt;Crédits!$K$5,AK148,0))+IF(Crédits!$K$10="",0,IF(Crédits!$K$10&lt;Crédits!$K$5,AS148,0))))))</f>
        <v>0</v>
      </c>
      <c r="G148" s="87">
        <f t="shared" si="1"/>
        <v>0</v>
      </c>
      <c r="H148" s="88">
        <f>ROUND(H147+I148-MIN(N(Crédits!$E$5),H147+I148),2)</f>
        <v>0</v>
      </c>
      <c r="I148" s="89">
        <f>H147*N(Crédits!$D$5)/12</f>
        <v>0</v>
      </c>
      <c r="J148" s="90">
        <f t="shared" si="17"/>
        <v>0</v>
      </c>
      <c r="K148" s="90">
        <f>J148*N(Crédits!$D$6)/12</f>
        <v>0</v>
      </c>
      <c r="L148" s="90">
        <f>MIN(N(Crédits!$E$6),J148+K148)</f>
        <v>0</v>
      </c>
      <c r="M148" s="90">
        <f t="shared" si="2"/>
        <v>0</v>
      </c>
      <c r="N148" s="91">
        <f>IF(Crédits!$K$6="",0,MAX(0,MIN(M148,Plan!$L$150-(IF(Crédits!$K$5="",0,IF(Crédits!$K$5&lt;Crédits!$K$6,E148,0))+IF(Crédits!$K$7="",0,IF(Crédits!$K$7&lt;Crédits!$K$6,U148,0))+IF(Crédits!$K$8="",0,IF(Crédits!$K$8&lt;Crédits!$K$6,AC148,0))+IF(Crédits!$K$9="",0,IF(Crédits!$K$9&lt;Crédits!$K$6,AK148,0))+IF(Crédits!$K$10="",0,IF(Crédits!$K$10&lt;Crédits!$K$6,AS148,0))))))</f>
        <v>0</v>
      </c>
      <c r="O148" s="92">
        <f t="shared" si="3"/>
        <v>0</v>
      </c>
      <c r="P148" s="88">
        <f>ROUND(P147+Q148-MIN(N(Crédits!$E$6),P147+Q148),2)</f>
        <v>0</v>
      </c>
      <c r="Q148" s="89">
        <f>P147*N(Crédits!$D$6)/12</f>
        <v>0</v>
      </c>
      <c r="R148" s="93">
        <f t="shared" si="18"/>
        <v>0</v>
      </c>
      <c r="S148" s="93">
        <f>R148*N(Crédits!$D$7)/12</f>
        <v>0</v>
      </c>
      <c r="T148" s="93">
        <f>MIN(N(Crédits!$E$7),R148+S148)</f>
        <v>0</v>
      </c>
      <c r="U148" s="93">
        <f t="shared" si="4"/>
        <v>0</v>
      </c>
      <c r="V148" s="94">
        <f>IF(Crédits!$K$7="",0,MAX(0,MIN(U148,Plan!$L$150-(IF(Crédits!$K$5="",0,IF(Crédits!$K$5&lt;Crédits!$K$7,E148,0))+IF(Crédits!$K$6="",0,IF(Crédits!$K$6&lt;Crédits!$K$7,M148,0))+IF(Crédits!$K$8="",0,IF(Crédits!$K$8&lt;Crédits!$K$7,AC148,0))+IF(Crédits!$K$9="",0,IF(Crédits!$K$9&lt;Crédits!$K$7,AK148,0))+IF(Crédits!$K$10="",0,IF(Crédits!$K$10&lt;Crédits!$K$7,AS148,0))))))</f>
        <v>0</v>
      </c>
      <c r="W148" s="95">
        <f t="shared" si="5"/>
        <v>0</v>
      </c>
      <c r="X148" s="88">
        <f>ROUND(X147+Y148-MIN(N(Crédits!$E$7),X147+Y148),2)</f>
        <v>0</v>
      </c>
      <c r="Y148" s="89">
        <f>X147*N(Crédits!$D$7)/12</f>
        <v>0</v>
      </c>
      <c r="Z148" s="96">
        <f t="shared" si="19"/>
        <v>0</v>
      </c>
      <c r="AA148" s="96">
        <f>Z148*N(Crédits!$D$8)/12</f>
        <v>0</v>
      </c>
      <c r="AB148" s="96">
        <f>MIN(N(Crédits!$E$8),Z148+AA148)</f>
        <v>0</v>
      </c>
      <c r="AC148" s="96">
        <f t="shared" si="6"/>
        <v>0</v>
      </c>
      <c r="AD148" s="97">
        <f>IF(Crédits!$K$8="",0,MAX(0,MIN(AC148,Plan!$L$150-(IF(Crédits!$K$5="",0,IF(Crédits!$K$5&lt;Crédits!$K$8,E148,0))+IF(Crédits!$K$6="",0,IF(Crédits!$K$6&lt;Crédits!$K$8,M148,0))+IF(Crédits!$K$7="",0,IF(Crédits!$K$7&lt;Crédits!$K$8,U148,0))+IF(Crédits!$K$9="",0,IF(Crédits!$K$9&lt;Crédits!$K$8,AK148,0))+IF(Crédits!$K$10="",0,IF(Crédits!$K$10&lt;Crédits!$K$8,AS148,0))))))</f>
        <v>0</v>
      </c>
      <c r="AE148" s="98">
        <f t="shared" si="7"/>
        <v>0</v>
      </c>
      <c r="AF148" s="88">
        <f>ROUND(AF147+AG148-MIN(N(Crédits!$E$8),AF147+AG148),2)</f>
        <v>0</v>
      </c>
      <c r="AG148" s="89">
        <f>AF147*N(Crédits!$D$8)/12</f>
        <v>0</v>
      </c>
      <c r="AH148" s="99">
        <f t="shared" si="20"/>
        <v>0</v>
      </c>
      <c r="AI148" s="99">
        <f>AH148*N(Crédits!$D$9)/12</f>
        <v>0</v>
      </c>
      <c r="AJ148" s="99">
        <f>MIN(N(Crédits!$E$9),AH148+AI148)</f>
        <v>0</v>
      </c>
      <c r="AK148" s="99">
        <f t="shared" si="8"/>
        <v>0</v>
      </c>
      <c r="AL148" s="100">
        <f>IF(Crédits!$K$9="",0,MAX(0,MIN(AK148,Plan!$L$150-(IF(Crédits!$K$5="",0,IF(Crédits!$K$5&lt;Crédits!$K$9,E148,0))+IF(Crédits!$K$6="",0,IF(Crédits!$K$6&lt;Crédits!$K$9,M148,0))+IF(Crédits!$K$7="",0,IF(Crédits!$K$7&lt;Crédits!$K$9,U148,0))+IF(Crédits!$K$8="",0,IF(Crédits!$K$8&lt;Crédits!$K$9,AC148,0))+IF(Crédits!$K$10="",0,IF(Crédits!$K$10&lt;Crédits!$K$9,AS148,0))))))</f>
        <v>0</v>
      </c>
      <c r="AM148" s="101">
        <f t="shared" si="9"/>
        <v>0</v>
      </c>
      <c r="AN148" s="88">
        <f>ROUND(AN147+AO148-MIN(N(Crédits!$E$9),AN147+AO148),2)</f>
        <v>0</v>
      </c>
      <c r="AO148" s="89">
        <f>AN147*N(Crédits!$D$9)/12</f>
        <v>0</v>
      </c>
      <c r="AP148" s="102">
        <f t="shared" si="21"/>
        <v>0</v>
      </c>
      <c r="AQ148" s="102">
        <f>AP148*N(Crédits!$D$10)/12</f>
        <v>0</v>
      </c>
      <c r="AR148" s="102">
        <f>MIN(N(Crédits!$E$10),AP148+AQ148)</f>
        <v>0</v>
      </c>
      <c r="AS148" s="102">
        <f t="shared" si="10"/>
        <v>0</v>
      </c>
      <c r="AT148" s="103">
        <f>IF(Crédits!$K$10="",0,MAX(0,MIN(AS148,Plan!$L$150-(IF(Crédits!$K$5="",0,IF(Crédits!$K$5&lt;Crédits!$K$10,E148,0))+IF(Crédits!$K$6="",0,IF(Crédits!$K$6&lt;Crédits!$K$10,M148,0))+IF(Crédits!$K$7="",0,IF(Crédits!$K$7&lt;Crédits!$K$10,U148,0))+IF(Crédits!$K$8="",0,IF(Crédits!$K$8&lt;Crédits!$K$10,AC148,0))+IF(Crédits!$K$9="",0,IF(Crédits!$K$9&lt;Crédits!$K$10,AK148,0))))))</f>
        <v>0</v>
      </c>
      <c r="AU148" s="104">
        <f t="shared" si="11"/>
        <v>0</v>
      </c>
      <c r="AV148" s="88">
        <f>ROUND(AV147+AW148-MIN(N(Crédits!$E$10),AV147+AW148),2)</f>
        <v>0</v>
      </c>
      <c r="AW148" s="89">
        <f>AV147*N(Crédits!$D$10)/12</f>
        <v>0</v>
      </c>
      <c r="AX148" s="105">
        <f t="shared" si="12"/>
        <v>0</v>
      </c>
      <c r="AY148" s="105">
        <f t="shared" ref="AY148:AZ148" si="166">F148+N148+V148+AD148+AL148+AT148</f>
        <v>0</v>
      </c>
      <c r="AZ148" s="105">
        <f t="shared" si="166"/>
        <v>0</v>
      </c>
      <c r="BA148" s="105">
        <f t="shared" si="14"/>
        <v>0</v>
      </c>
      <c r="BB148" s="105">
        <f t="shared" si="15"/>
        <v>0</v>
      </c>
    </row>
    <row r="149" spans="1:54" ht="15" customHeight="1" x14ac:dyDescent="0.25">
      <c r="A149" s="2">
        <v>147</v>
      </c>
      <c r="B149" s="83">
        <f t="shared" si="16"/>
        <v>0</v>
      </c>
      <c r="C149" s="83">
        <f>B149*N(Crédits!$D$5)/12</f>
        <v>0</v>
      </c>
      <c r="D149" s="83">
        <f>MIN(N(Crédits!$E$5),B149+C149)</f>
        <v>0</v>
      </c>
      <c r="E149" s="83">
        <f t="shared" si="0"/>
        <v>0</v>
      </c>
      <c r="F149" s="86">
        <f>IF(Crédits!$K$5="",0,MAX(0,MIN(E149,Plan!$L$151-(IF(Crédits!$K$6="",0,IF(Crédits!$K$6&lt;Crédits!$K$5,M149,0))+IF(Crédits!$K$7="",0,IF(Crédits!$K$7&lt;Crédits!$K$5,U149,0))+IF(Crédits!$K$8="",0,IF(Crédits!$K$8&lt;Crédits!$K$5,AC149,0))+IF(Crédits!$K$9="",0,IF(Crédits!$K$9&lt;Crédits!$K$5,AK149,0))+IF(Crédits!$K$10="",0,IF(Crédits!$K$10&lt;Crédits!$K$5,AS149,0))))))</f>
        <v>0</v>
      </c>
      <c r="G149" s="87">
        <f t="shared" si="1"/>
        <v>0</v>
      </c>
      <c r="H149" s="88">
        <f>ROUND(H148+I149-MIN(N(Crédits!$E$5),H148+I149),2)</f>
        <v>0</v>
      </c>
      <c r="I149" s="89">
        <f>H148*N(Crédits!$D$5)/12</f>
        <v>0</v>
      </c>
      <c r="J149" s="90">
        <f t="shared" si="17"/>
        <v>0</v>
      </c>
      <c r="K149" s="90">
        <f>J149*N(Crédits!$D$6)/12</f>
        <v>0</v>
      </c>
      <c r="L149" s="90">
        <f>MIN(N(Crédits!$E$6),J149+K149)</f>
        <v>0</v>
      </c>
      <c r="M149" s="90">
        <f t="shared" si="2"/>
        <v>0</v>
      </c>
      <c r="N149" s="91">
        <f>IF(Crédits!$K$6="",0,MAX(0,MIN(M149,Plan!$L$151-(IF(Crédits!$K$5="",0,IF(Crédits!$K$5&lt;Crédits!$K$6,E149,0))+IF(Crédits!$K$7="",0,IF(Crédits!$K$7&lt;Crédits!$K$6,U149,0))+IF(Crédits!$K$8="",0,IF(Crédits!$K$8&lt;Crédits!$K$6,AC149,0))+IF(Crédits!$K$9="",0,IF(Crédits!$K$9&lt;Crédits!$K$6,AK149,0))+IF(Crédits!$K$10="",0,IF(Crédits!$K$10&lt;Crédits!$K$6,AS149,0))))))</f>
        <v>0</v>
      </c>
      <c r="O149" s="92">
        <f t="shared" si="3"/>
        <v>0</v>
      </c>
      <c r="P149" s="88">
        <f>ROUND(P148+Q149-MIN(N(Crédits!$E$6),P148+Q149),2)</f>
        <v>0</v>
      </c>
      <c r="Q149" s="89">
        <f>P148*N(Crédits!$D$6)/12</f>
        <v>0</v>
      </c>
      <c r="R149" s="93">
        <f t="shared" si="18"/>
        <v>0</v>
      </c>
      <c r="S149" s="93">
        <f>R149*N(Crédits!$D$7)/12</f>
        <v>0</v>
      </c>
      <c r="T149" s="93">
        <f>MIN(N(Crédits!$E$7),R149+S149)</f>
        <v>0</v>
      </c>
      <c r="U149" s="93">
        <f t="shared" si="4"/>
        <v>0</v>
      </c>
      <c r="V149" s="94">
        <f>IF(Crédits!$K$7="",0,MAX(0,MIN(U149,Plan!$L$151-(IF(Crédits!$K$5="",0,IF(Crédits!$K$5&lt;Crédits!$K$7,E149,0))+IF(Crédits!$K$6="",0,IF(Crédits!$K$6&lt;Crédits!$K$7,M149,0))+IF(Crédits!$K$8="",0,IF(Crédits!$K$8&lt;Crédits!$K$7,AC149,0))+IF(Crédits!$K$9="",0,IF(Crédits!$K$9&lt;Crédits!$K$7,AK149,0))+IF(Crédits!$K$10="",0,IF(Crédits!$K$10&lt;Crédits!$K$7,AS149,0))))))</f>
        <v>0</v>
      </c>
      <c r="W149" s="95">
        <f t="shared" si="5"/>
        <v>0</v>
      </c>
      <c r="X149" s="88">
        <f>ROUND(X148+Y149-MIN(N(Crédits!$E$7),X148+Y149),2)</f>
        <v>0</v>
      </c>
      <c r="Y149" s="89">
        <f>X148*N(Crédits!$D$7)/12</f>
        <v>0</v>
      </c>
      <c r="Z149" s="96">
        <f t="shared" si="19"/>
        <v>0</v>
      </c>
      <c r="AA149" s="96">
        <f>Z149*N(Crédits!$D$8)/12</f>
        <v>0</v>
      </c>
      <c r="AB149" s="96">
        <f>MIN(N(Crédits!$E$8),Z149+AA149)</f>
        <v>0</v>
      </c>
      <c r="AC149" s="96">
        <f t="shared" si="6"/>
        <v>0</v>
      </c>
      <c r="AD149" s="97">
        <f>IF(Crédits!$K$8="",0,MAX(0,MIN(AC149,Plan!$L$151-(IF(Crédits!$K$5="",0,IF(Crédits!$K$5&lt;Crédits!$K$8,E149,0))+IF(Crédits!$K$6="",0,IF(Crédits!$K$6&lt;Crédits!$K$8,M149,0))+IF(Crédits!$K$7="",0,IF(Crédits!$K$7&lt;Crédits!$K$8,U149,0))+IF(Crédits!$K$9="",0,IF(Crédits!$K$9&lt;Crédits!$K$8,AK149,0))+IF(Crédits!$K$10="",0,IF(Crédits!$K$10&lt;Crédits!$K$8,AS149,0))))))</f>
        <v>0</v>
      </c>
      <c r="AE149" s="98">
        <f t="shared" si="7"/>
        <v>0</v>
      </c>
      <c r="AF149" s="88">
        <f>ROUND(AF148+AG149-MIN(N(Crédits!$E$8),AF148+AG149),2)</f>
        <v>0</v>
      </c>
      <c r="AG149" s="89">
        <f>AF148*N(Crédits!$D$8)/12</f>
        <v>0</v>
      </c>
      <c r="AH149" s="99">
        <f t="shared" si="20"/>
        <v>0</v>
      </c>
      <c r="AI149" s="99">
        <f>AH149*N(Crédits!$D$9)/12</f>
        <v>0</v>
      </c>
      <c r="AJ149" s="99">
        <f>MIN(N(Crédits!$E$9),AH149+AI149)</f>
        <v>0</v>
      </c>
      <c r="AK149" s="99">
        <f t="shared" si="8"/>
        <v>0</v>
      </c>
      <c r="AL149" s="100">
        <f>IF(Crédits!$K$9="",0,MAX(0,MIN(AK149,Plan!$L$151-(IF(Crédits!$K$5="",0,IF(Crédits!$K$5&lt;Crédits!$K$9,E149,0))+IF(Crédits!$K$6="",0,IF(Crédits!$K$6&lt;Crédits!$K$9,M149,0))+IF(Crédits!$K$7="",0,IF(Crédits!$K$7&lt;Crédits!$K$9,U149,0))+IF(Crédits!$K$8="",0,IF(Crédits!$K$8&lt;Crédits!$K$9,AC149,0))+IF(Crédits!$K$10="",0,IF(Crédits!$K$10&lt;Crédits!$K$9,AS149,0))))))</f>
        <v>0</v>
      </c>
      <c r="AM149" s="101">
        <f t="shared" si="9"/>
        <v>0</v>
      </c>
      <c r="AN149" s="88">
        <f>ROUND(AN148+AO149-MIN(N(Crédits!$E$9),AN148+AO149),2)</f>
        <v>0</v>
      </c>
      <c r="AO149" s="89">
        <f>AN148*N(Crédits!$D$9)/12</f>
        <v>0</v>
      </c>
      <c r="AP149" s="102">
        <f t="shared" si="21"/>
        <v>0</v>
      </c>
      <c r="AQ149" s="102">
        <f>AP149*N(Crédits!$D$10)/12</f>
        <v>0</v>
      </c>
      <c r="AR149" s="102">
        <f>MIN(N(Crédits!$E$10),AP149+AQ149)</f>
        <v>0</v>
      </c>
      <c r="AS149" s="102">
        <f t="shared" si="10"/>
        <v>0</v>
      </c>
      <c r="AT149" s="103">
        <f>IF(Crédits!$K$10="",0,MAX(0,MIN(AS149,Plan!$L$151-(IF(Crédits!$K$5="",0,IF(Crédits!$K$5&lt;Crédits!$K$10,E149,0))+IF(Crédits!$K$6="",0,IF(Crédits!$K$6&lt;Crédits!$K$10,M149,0))+IF(Crédits!$K$7="",0,IF(Crédits!$K$7&lt;Crédits!$K$10,U149,0))+IF(Crédits!$K$8="",0,IF(Crédits!$K$8&lt;Crédits!$K$10,AC149,0))+IF(Crédits!$K$9="",0,IF(Crédits!$K$9&lt;Crédits!$K$10,AK149,0))))))</f>
        <v>0</v>
      </c>
      <c r="AU149" s="104">
        <f t="shared" si="11"/>
        <v>0</v>
      </c>
      <c r="AV149" s="88">
        <f>ROUND(AV148+AW149-MIN(N(Crédits!$E$10),AV148+AW149),2)</f>
        <v>0</v>
      </c>
      <c r="AW149" s="89">
        <f>AV148*N(Crédits!$D$10)/12</f>
        <v>0</v>
      </c>
      <c r="AX149" s="105">
        <f t="shared" si="12"/>
        <v>0</v>
      </c>
      <c r="AY149" s="105">
        <f t="shared" ref="AY149:AZ149" si="167">F149+N149+V149+AD149+AL149+AT149</f>
        <v>0</v>
      </c>
      <c r="AZ149" s="105">
        <f t="shared" si="167"/>
        <v>0</v>
      </c>
      <c r="BA149" s="105">
        <f t="shared" si="14"/>
        <v>0</v>
      </c>
      <c r="BB149" s="105">
        <f t="shared" si="15"/>
        <v>0</v>
      </c>
    </row>
    <row r="150" spans="1:54" ht="15" customHeight="1" x14ac:dyDescent="0.25">
      <c r="A150" s="2">
        <v>148</v>
      </c>
      <c r="B150" s="83">
        <f t="shared" si="16"/>
        <v>0</v>
      </c>
      <c r="C150" s="83">
        <f>B150*N(Crédits!$D$5)/12</f>
        <v>0</v>
      </c>
      <c r="D150" s="83">
        <f>MIN(N(Crédits!$E$5),B150+C150)</f>
        <v>0</v>
      </c>
      <c r="E150" s="83">
        <f t="shared" si="0"/>
        <v>0</v>
      </c>
      <c r="F150" s="86">
        <f>IF(Crédits!$K$5="",0,MAX(0,MIN(E150,Plan!$L$152-(IF(Crédits!$K$6="",0,IF(Crédits!$K$6&lt;Crédits!$K$5,M150,0))+IF(Crédits!$K$7="",0,IF(Crédits!$K$7&lt;Crédits!$K$5,U150,0))+IF(Crédits!$K$8="",0,IF(Crédits!$K$8&lt;Crédits!$K$5,AC150,0))+IF(Crédits!$K$9="",0,IF(Crédits!$K$9&lt;Crédits!$K$5,AK150,0))+IF(Crédits!$K$10="",0,IF(Crédits!$K$10&lt;Crédits!$K$5,AS150,0))))))</f>
        <v>0</v>
      </c>
      <c r="G150" s="87">
        <f t="shared" si="1"/>
        <v>0</v>
      </c>
      <c r="H150" s="88">
        <f>ROUND(H149+I150-MIN(N(Crédits!$E$5),H149+I150),2)</f>
        <v>0</v>
      </c>
      <c r="I150" s="89">
        <f>H149*N(Crédits!$D$5)/12</f>
        <v>0</v>
      </c>
      <c r="J150" s="90">
        <f t="shared" si="17"/>
        <v>0</v>
      </c>
      <c r="K150" s="90">
        <f>J150*N(Crédits!$D$6)/12</f>
        <v>0</v>
      </c>
      <c r="L150" s="90">
        <f>MIN(N(Crédits!$E$6),J150+K150)</f>
        <v>0</v>
      </c>
      <c r="M150" s="90">
        <f t="shared" si="2"/>
        <v>0</v>
      </c>
      <c r="N150" s="91">
        <f>IF(Crédits!$K$6="",0,MAX(0,MIN(M150,Plan!$L$152-(IF(Crédits!$K$5="",0,IF(Crédits!$K$5&lt;Crédits!$K$6,E150,0))+IF(Crédits!$K$7="",0,IF(Crédits!$K$7&lt;Crédits!$K$6,U150,0))+IF(Crédits!$K$8="",0,IF(Crédits!$K$8&lt;Crédits!$K$6,AC150,0))+IF(Crédits!$K$9="",0,IF(Crédits!$K$9&lt;Crédits!$K$6,AK150,0))+IF(Crédits!$K$10="",0,IF(Crédits!$K$10&lt;Crédits!$K$6,AS150,0))))))</f>
        <v>0</v>
      </c>
      <c r="O150" s="92">
        <f t="shared" si="3"/>
        <v>0</v>
      </c>
      <c r="P150" s="88">
        <f>ROUND(P149+Q150-MIN(N(Crédits!$E$6),P149+Q150),2)</f>
        <v>0</v>
      </c>
      <c r="Q150" s="89">
        <f>P149*N(Crédits!$D$6)/12</f>
        <v>0</v>
      </c>
      <c r="R150" s="93">
        <f t="shared" si="18"/>
        <v>0</v>
      </c>
      <c r="S150" s="93">
        <f>R150*N(Crédits!$D$7)/12</f>
        <v>0</v>
      </c>
      <c r="T150" s="93">
        <f>MIN(N(Crédits!$E$7),R150+S150)</f>
        <v>0</v>
      </c>
      <c r="U150" s="93">
        <f t="shared" si="4"/>
        <v>0</v>
      </c>
      <c r="V150" s="94">
        <f>IF(Crédits!$K$7="",0,MAX(0,MIN(U150,Plan!$L$152-(IF(Crédits!$K$5="",0,IF(Crédits!$K$5&lt;Crédits!$K$7,E150,0))+IF(Crédits!$K$6="",0,IF(Crédits!$K$6&lt;Crédits!$K$7,M150,0))+IF(Crédits!$K$8="",0,IF(Crédits!$K$8&lt;Crédits!$K$7,AC150,0))+IF(Crédits!$K$9="",0,IF(Crédits!$K$9&lt;Crédits!$K$7,AK150,0))+IF(Crédits!$K$10="",0,IF(Crédits!$K$10&lt;Crédits!$K$7,AS150,0))))))</f>
        <v>0</v>
      </c>
      <c r="W150" s="95">
        <f t="shared" si="5"/>
        <v>0</v>
      </c>
      <c r="X150" s="88">
        <f>ROUND(X149+Y150-MIN(N(Crédits!$E$7),X149+Y150),2)</f>
        <v>0</v>
      </c>
      <c r="Y150" s="89">
        <f>X149*N(Crédits!$D$7)/12</f>
        <v>0</v>
      </c>
      <c r="Z150" s="96">
        <f t="shared" si="19"/>
        <v>0</v>
      </c>
      <c r="AA150" s="96">
        <f>Z150*N(Crédits!$D$8)/12</f>
        <v>0</v>
      </c>
      <c r="AB150" s="96">
        <f>MIN(N(Crédits!$E$8),Z150+AA150)</f>
        <v>0</v>
      </c>
      <c r="AC150" s="96">
        <f t="shared" si="6"/>
        <v>0</v>
      </c>
      <c r="AD150" s="97">
        <f>IF(Crédits!$K$8="",0,MAX(0,MIN(AC150,Plan!$L$152-(IF(Crédits!$K$5="",0,IF(Crédits!$K$5&lt;Crédits!$K$8,E150,0))+IF(Crédits!$K$6="",0,IF(Crédits!$K$6&lt;Crédits!$K$8,M150,0))+IF(Crédits!$K$7="",0,IF(Crédits!$K$7&lt;Crédits!$K$8,U150,0))+IF(Crédits!$K$9="",0,IF(Crédits!$K$9&lt;Crédits!$K$8,AK150,0))+IF(Crédits!$K$10="",0,IF(Crédits!$K$10&lt;Crédits!$K$8,AS150,0))))))</f>
        <v>0</v>
      </c>
      <c r="AE150" s="98">
        <f t="shared" si="7"/>
        <v>0</v>
      </c>
      <c r="AF150" s="88">
        <f>ROUND(AF149+AG150-MIN(N(Crédits!$E$8),AF149+AG150),2)</f>
        <v>0</v>
      </c>
      <c r="AG150" s="89">
        <f>AF149*N(Crédits!$D$8)/12</f>
        <v>0</v>
      </c>
      <c r="AH150" s="99">
        <f t="shared" si="20"/>
        <v>0</v>
      </c>
      <c r="AI150" s="99">
        <f>AH150*N(Crédits!$D$9)/12</f>
        <v>0</v>
      </c>
      <c r="AJ150" s="99">
        <f>MIN(N(Crédits!$E$9),AH150+AI150)</f>
        <v>0</v>
      </c>
      <c r="AK150" s="99">
        <f t="shared" si="8"/>
        <v>0</v>
      </c>
      <c r="AL150" s="100">
        <f>IF(Crédits!$K$9="",0,MAX(0,MIN(AK150,Plan!$L$152-(IF(Crédits!$K$5="",0,IF(Crédits!$K$5&lt;Crédits!$K$9,E150,0))+IF(Crédits!$K$6="",0,IF(Crédits!$K$6&lt;Crédits!$K$9,M150,0))+IF(Crédits!$K$7="",0,IF(Crédits!$K$7&lt;Crédits!$K$9,U150,0))+IF(Crédits!$K$8="",0,IF(Crédits!$K$8&lt;Crédits!$K$9,AC150,0))+IF(Crédits!$K$10="",0,IF(Crédits!$K$10&lt;Crédits!$K$9,AS150,0))))))</f>
        <v>0</v>
      </c>
      <c r="AM150" s="101">
        <f t="shared" si="9"/>
        <v>0</v>
      </c>
      <c r="AN150" s="88">
        <f>ROUND(AN149+AO150-MIN(N(Crédits!$E$9),AN149+AO150),2)</f>
        <v>0</v>
      </c>
      <c r="AO150" s="89">
        <f>AN149*N(Crédits!$D$9)/12</f>
        <v>0</v>
      </c>
      <c r="AP150" s="102">
        <f t="shared" si="21"/>
        <v>0</v>
      </c>
      <c r="AQ150" s="102">
        <f>AP150*N(Crédits!$D$10)/12</f>
        <v>0</v>
      </c>
      <c r="AR150" s="102">
        <f>MIN(N(Crédits!$E$10),AP150+AQ150)</f>
        <v>0</v>
      </c>
      <c r="AS150" s="102">
        <f t="shared" si="10"/>
        <v>0</v>
      </c>
      <c r="AT150" s="103">
        <f>IF(Crédits!$K$10="",0,MAX(0,MIN(AS150,Plan!$L$152-(IF(Crédits!$K$5="",0,IF(Crédits!$K$5&lt;Crédits!$K$10,E150,0))+IF(Crédits!$K$6="",0,IF(Crédits!$K$6&lt;Crédits!$K$10,M150,0))+IF(Crédits!$K$7="",0,IF(Crédits!$K$7&lt;Crédits!$K$10,U150,0))+IF(Crédits!$K$8="",0,IF(Crédits!$K$8&lt;Crédits!$K$10,AC150,0))+IF(Crédits!$K$9="",0,IF(Crédits!$K$9&lt;Crédits!$K$10,AK150,0))))))</f>
        <v>0</v>
      </c>
      <c r="AU150" s="104">
        <f t="shared" si="11"/>
        <v>0</v>
      </c>
      <c r="AV150" s="88">
        <f>ROUND(AV149+AW150-MIN(N(Crédits!$E$10),AV149+AW150),2)</f>
        <v>0</v>
      </c>
      <c r="AW150" s="89">
        <f>AV149*N(Crédits!$D$10)/12</f>
        <v>0</v>
      </c>
      <c r="AX150" s="105">
        <f t="shared" si="12"/>
        <v>0</v>
      </c>
      <c r="AY150" s="105">
        <f t="shared" ref="AY150:AZ150" si="168">F150+N150+V150+AD150+AL150+AT150</f>
        <v>0</v>
      </c>
      <c r="AZ150" s="105">
        <f t="shared" si="168"/>
        <v>0</v>
      </c>
      <c r="BA150" s="105">
        <f t="shared" si="14"/>
        <v>0</v>
      </c>
      <c r="BB150" s="105">
        <f t="shared" si="15"/>
        <v>0</v>
      </c>
    </row>
    <row r="151" spans="1:54" ht="15" customHeight="1" x14ac:dyDescent="0.25">
      <c r="A151" s="2">
        <v>149</v>
      </c>
      <c r="B151" s="83">
        <f t="shared" si="16"/>
        <v>0</v>
      </c>
      <c r="C151" s="83">
        <f>B151*N(Crédits!$D$5)/12</f>
        <v>0</v>
      </c>
      <c r="D151" s="83">
        <f>MIN(N(Crédits!$E$5),B151+C151)</f>
        <v>0</v>
      </c>
      <c r="E151" s="83">
        <f t="shared" si="0"/>
        <v>0</v>
      </c>
      <c r="F151" s="86">
        <f>IF(Crédits!$K$5="",0,MAX(0,MIN(E151,Plan!$L$153-(IF(Crédits!$K$6="",0,IF(Crédits!$K$6&lt;Crédits!$K$5,M151,0))+IF(Crédits!$K$7="",0,IF(Crédits!$K$7&lt;Crédits!$K$5,U151,0))+IF(Crédits!$K$8="",0,IF(Crédits!$K$8&lt;Crédits!$K$5,AC151,0))+IF(Crédits!$K$9="",0,IF(Crédits!$K$9&lt;Crédits!$K$5,AK151,0))+IF(Crédits!$K$10="",0,IF(Crédits!$K$10&lt;Crédits!$K$5,AS151,0))))))</f>
        <v>0</v>
      </c>
      <c r="G151" s="87">
        <f t="shared" si="1"/>
        <v>0</v>
      </c>
      <c r="H151" s="88">
        <f>ROUND(H150+I151-MIN(N(Crédits!$E$5),H150+I151),2)</f>
        <v>0</v>
      </c>
      <c r="I151" s="89">
        <f>H150*N(Crédits!$D$5)/12</f>
        <v>0</v>
      </c>
      <c r="J151" s="90">
        <f t="shared" si="17"/>
        <v>0</v>
      </c>
      <c r="K151" s="90">
        <f>J151*N(Crédits!$D$6)/12</f>
        <v>0</v>
      </c>
      <c r="L151" s="90">
        <f>MIN(N(Crédits!$E$6),J151+K151)</f>
        <v>0</v>
      </c>
      <c r="M151" s="90">
        <f t="shared" si="2"/>
        <v>0</v>
      </c>
      <c r="N151" s="91">
        <f>IF(Crédits!$K$6="",0,MAX(0,MIN(M151,Plan!$L$153-(IF(Crédits!$K$5="",0,IF(Crédits!$K$5&lt;Crédits!$K$6,E151,0))+IF(Crédits!$K$7="",0,IF(Crédits!$K$7&lt;Crédits!$K$6,U151,0))+IF(Crédits!$K$8="",0,IF(Crédits!$K$8&lt;Crédits!$K$6,AC151,0))+IF(Crédits!$K$9="",0,IF(Crédits!$K$9&lt;Crédits!$K$6,AK151,0))+IF(Crédits!$K$10="",0,IF(Crédits!$K$10&lt;Crédits!$K$6,AS151,0))))))</f>
        <v>0</v>
      </c>
      <c r="O151" s="92">
        <f t="shared" si="3"/>
        <v>0</v>
      </c>
      <c r="P151" s="88">
        <f>ROUND(P150+Q151-MIN(N(Crédits!$E$6),P150+Q151),2)</f>
        <v>0</v>
      </c>
      <c r="Q151" s="89">
        <f>P150*N(Crédits!$D$6)/12</f>
        <v>0</v>
      </c>
      <c r="R151" s="93">
        <f t="shared" si="18"/>
        <v>0</v>
      </c>
      <c r="S151" s="93">
        <f>R151*N(Crédits!$D$7)/12</f>
        <v>0</v>
      </c>
      <c r="T151" s="93">
        <f>MIN(N(Crédits!$E$7),R151+S151)</f>
        <v>0</v>
      </c>
      <c r="U151" s="93">
        <f t="shared" si="4"/>
        <v>0</v>
      </c>
      <c r="V151" s="94">
        <f>IF(Crédits!$K$7="",0,MAX(0,MIN(U151,Plan!$L$153-(IF(Crédits!$K$5="",0,IF(Crédits!$K$5&lt;Crédits!$K$7,E151,0))+IF(Crédits!$K$6="",0,IF(Crédits!$K$6&lt;Crédits!$K$7,M151,0))+IF(Crédits!$K$8="",0,IF(Crédits!$K$8&lt;Crédits!$K$7,AC151,0))+IF(Crédits!$K$9="",0,IF(Crédits!$K$9&lt;Crédits!$K$7,AK151,0))+IF(Crédits!$K$10="",0,IF(Crédits!$K$10&lt;Crédits!$K$7,AS151,0))))))</f>
        <v>0</v>
      </c>
      <c r="W151" s="95">
        <f t="shared" si="5"/>
        <v>0</v>
      </c>
      <c r="X151" s="88">
        <f>ROUND(X150+Y151-MIN(N(Crédits!$E$7),X150+Y151),2)</f>
        <v>0</v>
      </c>
      <c r="Y151" s="89">
        <f>X150*N(Crédits!$D$7)/12</f>
        <v>0</v>
      </c>
      <c r="Z151" s="96">
        <f t="shared" si="19"/>
        <v>0</v>
      </c>
      <c r="AA151" s="96">
        <f>Z151*N(Crédits!$D$8)/12</f>
        <v>0</v>
      </c>
      <c r="AB151" s="96">
        <f>MIN(N(Crédits!$E$8),Z151+AA151)</f>
        <v>0</v>
      </c>
      <c r="AC151" s="96">
        <f t="shared" si="6"/>
        <v>0</v>
      </c>
      <c r="AD151" s="97">
        <f>IF(Crédits!$K$8="",0,MAX(0,MIN(AC151,Plan!$L$153-(IF(Crédits!$K$5="",0,IF(Crédits!$K$5&lt;Crédits!$K$8,E151,0))+IF(Crédits!$K$6="",0,IF(Crédits!$K$6&lt;Crédits!$K$8,M151,0))+IF(Crédits!$K$7="",0,IF(Crédits!$K$7&lt;Crédits!$K$8,U151,0))+IF(Crédits!$K$9="",0,IF(Crédits!$K$9&lt;Crédits!$K$8,AK151,0))+IF(Crédits!$K$10="",0,IF(Crédits!$K$10&lt;Crédits!$K$8,AS151,0))))))</f>
        <v>0</v>
      </c>
      <c r="AE151" s="98">
        <f t="shared" si="7"/>
        <v>0</v>
      </c>
      <c r="AF151" s="88">
        <f>ROUND(AF150+AG151-MIN(N(Crédits!$E$8),AF150+AG151),2)</f>
        <v>0</v>
      </c>
      <c r="AG151" s="89">
        <f>AF150*N(Crédits!$D$8)/12</f>
        <v>0</v>
      </c>
      <c r="AH151" s="99">
        <f t="shared" si="20"/>
        <v>0</v>
      </c>
      <c r="AI151" s="99">
        <f>AH151*N(Crédits!$D$9)/12</f>
        <v>0</v>
      </c>
      <c r="AJ151" s="99">
        <f>MIN(N(Crédits!$E$9),AH151+AI151)</f>
        <v>0</v>
      </c>
      <c r="AK151" s="99">
        <f t="shared" si="8"/>
        <v>0</v>
      </c>
      <c r="AL151" s="100">
        <f>IF(Crédits!$K$9="",0,MAX(0,MIN(AK151,Plan!$L$153-(IF(Crédits!$K$5="",0,IF(Crédits!$K$5&lt;Crédits!$K$9,E151,0))+IF(Crédits!$K$6="",0,IF(Crédits!$K$6&lt;Crédits!$K$9,M151,0))+IF(Crédits!$K$7="",0,IF(Crédits!$K$7&lt;Crédits!$K$9,U151,0))+IF(Crédits!$K$8="",0,IF(Crédits!$K$8&lt;Crédits!$K$9,AC151,0))+IF(Crédits!$K$10="",0,IF(Crédits!$K$10&lt;Crédits!$K$9,AS151,0))))))</f>
        <v>0</v>
      </c>
      <c r="AM151" s="101">
        <f t="shared" si="9"/>
        <v>0</v>
      </c>
      <c r="AN151" s="88">
        <f>ROUND(AN150+AO151-MIN(N(Crédits!$E$9),AN150+AO151),2)</f>
        <v>0</v>
      </c>
      <c r="AO151" s="89">
        <f>AN150*N(Crédits!$D$9)/12</f>
        <v>0</v>
      </c>
      <c r="AP151" s="102">
        <f t="shared" si="21"/>
        <v>0</v>
      </c>
      <c r="AQ151" s="102">
        <f>AP151*N(Crédits!$D$10)/12</f>
        <v>0</v>
      </c>
      <c r="AR151" s="102">
        <f>MIN(N(Crédits!$E$10),AP151+AQ151)</f>
        <v>0</v>
      </c>
      <c r="AS151" s="102">
        <f t="shared" si="10"/>
        <v>0</v>
      </c>
      <c r="AT151" s="103">
        <f>IF(Crédits!$K$10="",0,MAX(0,MIN(AS151,Plan!$L$153-(IF(Crédits!$K$5="",0,IF(Crédits!$K$5&lt;Crédits!$K$10,E151,0))+IF(Crédits!$K$6="",0,IF(Crédits!$K$6&lt;Crédits!$K$10,M151,0))+IF(Crédits!$K$7="",0,IF(Crédits!$K$7&lt;Crédits!$K$10,U151,0))+IF(Crédits!$K$8="",0,IF(Crédits!$K$8&lt;Crédits!$K$10,AC151,0))+IF(Crédits!$K$9="",0,IF(Crédits!$K$9&lt;Crédits!$K$10,AK151,0))))))</f>
        <v>0</v>
      </c>
      <c r="AU151" s="104">
        <f t="shared" si="11"/>
        <v>0</v>
      </c>
      <c r="AV151" s="88">
        <f>ROUND(AV150+AW151-MIN(N(Crédits!$E$10),AV150+AW151),2)</f>
        <v>0</v>
      </c>
      <c r="AW151" s="89">
        <f>AV150*N(Crédits!$D$10)/12</f>
        <v>0</v>
      </c>
      <c r="AX151" s="105">
        <f t="shared" si="12"/>
        <v>0</v>
      </c>
      <c r="AY151" s="105">
        <f t="shared" ref="AY151:AZ151" si="169">F151+N151+V151+AD151+AL151+AT151</f>
        <v>0</v>
      </c>
      <c r="AZ151" s="105">
        <f t="shared" si="169"/>
        <v>0</v>
      </c>
      <c r="BA151" s="105">
        <f t="shared" si="14"/>
        <v>0</v>
      </c>
      <c r="BB151" s="105">
        <f t="shared" si="15"/>
        <v>0</v>
      </c>
    </row>
    <row r="152" spans="1:54" ht="15" customHeight="1" x14ac:dyDescent="0.25">
      <c r="A152" s="2">
        <v>150</v>
      </c>
      <c r="B152" s="83">
        <f t="shared" si="16"/>
        <v>0</v>
      </c>
      <c r="C152" s="83">
        <f>B152*N(Crédits!$D$5)/12</f>
        <v>0</v>
      </c>
      <c r="D152" s="83">
        <f>MIN(N(Crédits!$E$5),B152+C152)</f>
        <v>0</v>
      </c>
      <c r="E152" s="83">
        <f t="shared" si="0"/>
        <v>0</v>
      </c>
      <c r="F152" s="86">
        <f>IF(Crédits!$K$5="",0,MAX(0,MIN(E152,Plan!$L$154-(IF(Crédits!$K$6="",0,IF(Crédits!$K$6&lt;Crédits!$K$5,M152,0))+IF(Crédits!$K$7="",0,IF(Crédits!$K$7&lt;Crédits!$K$5,U152,0))+IF(Crédits!$K$8="",0,IF(Crédits!$K$8&lt;Crédits!$K$5,AC152,0))+IF(Crédits!$K$9="",0,IF(Crédits!$K$9&lt;Crédits!$K$5,AK152,0))+IF(Crédits!$K$10="",0,IF(Crédits!$K$10&lt;Crédits!$K$5,AS152,0))))))</f>
        <v>0</v>
      </c>
      <c r="G152" s="87">
        <f t="shared" si="1"/>
        <v>0</v>
      </c>
      <c r="H152" s="88">
        <f>ROUND(H151+I152-MIN(N(Crédits!$E$5),H151+I152),2)</f>
        <v>0</v>
      </c>
      <c r="I152" s="89">
        <f>H151*N(Crédits!$D$5)/12</f>
        <v>0</v>
      </c>
      <c r="J152" s="90">
        <f t="shared" si="17"/>
        <v>0</v>
      </c>
      <c r="K152" s="90">
        <f>J152*N(Crédits!$D$6)/12</f>
        <v>0</v>
      </c>
      <c r="L152" s="90">
        <f>MIN(N(Crédits!$E$6),J152+K152)</f>
        <v>0</v>
      </c>
      <c r="M152" s="90">
        <f t="shared" si="2"/>
        <v>0</v>
      </c>
      <c r="N152" s="91">
        <f>IF(Crédits!$K$6="",0,MAX(0,MIN(M152,Plan!$L$154-(IF(Crédits!$K$5="",0,IF(Crédits!$K$5&lt;Crédits!$K$6,E152,0))+IF(Crédits!$K$7="",0,IF(Crédits!$K$7&lt;Crédits!$K$6,U152,0))+IF(Crédits!$K$8="",0,IF(Crédits!$K$8&lt;Crédits!$K$6,AC152,0))+IF(Crédits!$K$9="",0,IF(Crédits!$K$9&lt;Crédits!$K$6,AK152,0))+IF(Crédits!$K$10="",0,IF(Crédits!$K$10&lt;Crédits!$K$6,AS152,0))))))</f>
        <v>0</v>
      </c>
      <c r="O152" s="92">
        <f t="shared" si="3"/>
        <v>0</v>
      </c>
      <c r="P152" s="88">
        <f>ROUND(P151+Q152-MIN(N(Crédits!$E$6),P151+Q152),2)</f>
        <v>0</v>
      </c>
      <c r="Q152" s="89">
        <f>P151*N(Crédits!$D$6)/12</f>
        <v>0</v>
      </c>
      <c r="R152" s="93">
        <f t="shared" si="18"/>
        <v>0</v>
      </c>
      <c r="S152" s="93">
        <f>R152*N(Crédits!$D$7)/12</f>
        <v>0</v>
      </c>
      <c r="T152" s="93">
        <f>MIN(N(Crédits!$E$7),R152+S152)</f>
        <v>0</v>
      </c>
      <c r="U152" s="93">
        <f t="shared" si="4"/>
        <v>0</v>
      </c>
      <c r="V152" s="94">
        <f>IF(Crédits!$K$7="",0,MAX(0,MIN(U152,Plan!$L$154-(IF(Crédits!$K$5="",0,IF(Crédits!$K$5&lt;Crédits!$K$7,E152,0))+IF(Crédits!$K$6="",0,IF(Crédits!$K$6&lt;Crédits!$K$7,M152,0))+IF(Crédits!$K$8="",0,IF(Crédits!$K$8&lt;Crédits!$K$7,AC152,0))+IF(Crédits!$K$9="",0,IF(Crédits!$K$9&lt;Crédits!$K$7,AK152,0))+IF(Crédits!$K$10="",0,IF(Crédits!$K$10&lt;Crédits!$K$7,AS152,0))))))</f>
        <v>0</v>
      </c>
      <c r="W152" s="95">
        <f t="shared" si="5"/>
        <v>0</v>
      </c>
      <c r="X152" s="88">
        <f>ROUND(X151+Y152-MIN(N(Crédits!$E$7),X151+Y152),2)</f>
        <v>0</v>
      </c>
      <c r="Y152" s="89">
        <f>X151*N(Crédits!$D$7)/12</f>
        <v>0</v>
      </c>
      <c r="Z152" s="96">
        <f t="shared" si="19"/>
        <v>0</v>
      </c>
      <c r="AA152" s="96">
        <f>Z152*N(Crédits!$D$8)/12</f>
        <v>0</v>
      </c>
      <c r="AB152" s="96">
        <f>MIN(N(Crédits!$E$8),Z152+AA152)</f>
        <v>0</v>
      </c>
      <c r="AC152" s="96">
        <f t="shared" si="6"/>
        <v>0</v>
      </c>
      <c r="AD152" s="97">
        <f>IF(Crédits!$K$8="",0,MAX(0,MIN(AC152,Plan!$L$154-(IF(Crédits!$K$5="",0,IF(Crédits!$K$5&lt;Crédits!$K$8,E152,0))+IF(Crédits!$K$6="",0,IF(Crédits!$K$6&lt;Crédits!$K$8,M152,0))+IF(Crédits!$K$7="",0,IF(Crédits!$K$7&lt;Crédits!$K$8,U152,0))+IF(Crédits!$K$9="",0,IF(Crédits!$K$9&lt;Crédits!$K$8,AK152,0))+IF(Crédits!$K$10="",0,IF(Crédits!$K$10&lt;Crédits!$K$8,AS152,0))))))</f>
        <v>0</v>
      </c>
      <c r="AE152" s="98">
        <f t="shared" si="7"/>
        <v>0</v>
      </c>
      <c r="AF152" s="88">
        <f>ROUND(AF151+AG152-MIN(N(Crédits!$E$8),AF151+AG152),2)</f>
        <v>0</v>
      </c>
      <c r="AG152" s="89">
        <f>AF151*N(Crédits!$D$8)/12</f>
        <v>0</v>
      </c>
      <c r="AH152" s="99">
        <f t="shared" si="20"/>
        <v>0</v>
      </c>
      <c r="AI152" s="99">
        <f>AH152*N(Crédits!$D$9)/12</f>
        <v>0</v>
      </c>
      <c r="AJ152" s="99">
        <f>MIN(N(Crédits!$E$9),AH152+AI152)</f>
        <v>0</v>
      </c>
      <c r="AK152" s="99">
        <f t="shared" si="8"/>
        <v>0</v>
      </c>
      <c r="AL152" s="100">
        <f>IF(Crédits!$K$9="",0,MAX(0,MIN(AK152,Plan!$L$154-(IF(Crédits!$K$5="",0,IF(Crédits!$K$5&lt;Crédits!$K$9,E152,0))+IF(Crédits!$K$6="",0,IF(Crédits!$K$6&lt;Crédits!$K$9,M152,0))+IF(Crédits!$K$7="",0,IF(Crédits!$K$7&lt;Crédits!$K$9,U152,0))+IF(Crédits!$K$8="",0,IF(Crédits!$K$8&lt;Crédits!$K$9,AC152,0))+IF(Crédits!$K$10="",0,IF(Crédits!$K$10&lt;Crédits!$K$9,AS152,0))))))</f>
        <v>0</v>
      </c>
      <c r="AM152" s="101">
        <f t="shared" si="9"/>
        <v>0</v>
      </c>
      <c r="AN152" s="88">
        <f>ROUND(AN151+AO152-MIN(N(Crédits!$E$9),AN151+AO152),2)</f>
        <v>0</v>
      </c>
      <c r="AO152" s="89">
        <f>AN151*N(Crédits!$D$9)/12</f>
        <v>0</v>
      </c>
      <c r="AP152" s="102">
        <f t="shared" si="21"/>
        <v>0</v>
      </c>
      <c r="AQ152" s="102">
        <f>AP152*N(Crédits!$D$10)/12</f>
        <v>0</v>
      </c>
      <c r="AR152" s="102">
        <f>MIN(N(Crédits!$E$10),AP152+AQ152)</f>
        <v>0</v>
      </c>
      <c r="AS152" s="102">
        <f t="shared" si="10"/>
        <v>0</v>
      </c>
      <c r="AT152" s="103">
        <f>IF(Crédits!$K$10="",0,MAX(0,MIN(AS152,Plan!$L$154-(IF(Crédits!$K$5="",0,IF(Crédits!$K$5&lt;Crédits!$K$10,E152,0))+IF(Crédits!$K$6="",0,IF(Crédits!$K$6&lt;Crédits!$K$10,M152,0))+IF(Crédits!$K$7="",0,IF(Crédits!$K$7&lt;Crédits!$K$10,U152,0))+IF(Crédits!$K$8="",0,IF(Crédits!$K$8&lt;Crédits!$K$10,AC152,0))+IF(Crédits!$K$9="",0,IF(Crédits!$K$9&lt;Crédits!$K$10,AK152,0))))))</f>
        <v>0</v>
      </c>
      <c r="AU152" s="104">
        <f t="shared" si="11"/>
        <v>0</v>
      </c>
      <c r="AV152" s="88">
        <f>ROUND(AV151+AW152-MIN(N(Crédits!$E$10),AV151+AW152),2)</f>
        <v>0</v>
      </c>
      <c r="AW152" s="89">
        <f>AV151*N(Crédits!$D$10)/12</f>
        <v>0</v>
      </c>
      <c r="AX152" s="105">
        <f t="shared" si="12"/>
        <v>0</v>
      </c>
      <c r="AY152" s="105">
        <f t="shared" ref="AY152:AZ152" si="170">F152+N152+V152+AD152+AL152+AT152</f>
        <v>0</v>
      </c>
      <c r="AZ152" s="105">
        <f t="shared" si="170"/>
        <v>0</v>
      </c>
      <c r="BA152" s="105">
        <f t="shared" si="14"/>
        <v>0</v>
      </c>
      <c r="BB152" s="105">
        <f t="shared" si="15"/>
        <v>0</v>
      </c>
    </row>
    <row r="153" spans="1:54" ht="15" customHeight="1" x14ac:dyDescent="0.25">
      <c r="A153" s="2">
        <v>151</v>
      </c>
      <c r="B153" s="83">
        <f t="shared" si="16"/>
        <v>0</v>
      </c>
      <c r="C153" s="83">
        <f>B153*N(Crédits!$D$5)/12</f>
        <v>0</v>
      </c>
      <c r="D153" s="83">
        <f>MIN(N(Crédits!$E$5),B153+C153)</f>
        <v>0</v>
      </c>
      <c r="E153" s="83">
        <f t="shared" si="0"/>
        <v>0</v>
      </c>
      <c r="F153" s="86">
        <f>IF(Crédits!$K$5="",0,MAX(0,MIN(E153,Plan!$L$155-(IF(Crédits!$K$6="",0,IF(Crédits!$K$6&lt;Crédits!$K$5,M153,0))+IF(Crédits!$K$7="",0,IF(Crédits!$K$7&lt;Crédits!$K$5,U153,0))+IF(Crédits!$K$8="",0,IF(Crédits!$K$8&lt;Crédits!$K$5,AC153,0))+IF(Crédits!$K$9="",0,IF(Crédits!$K$9&lt;Crédits!$K$5,AK153,0))+IF(Crédits!$K$10="",0,IF(Crédits!$K$10&lt;Crédits!$K$5,AS153,0))))))</f>
        <v>0</v>
      </c>
      <c r="G153" s="87">
        <f t="shared" si="1"/>
        <v>0</v>
      </c>
      <c r="H153" s="88">
        <f>ROUND(H152+I153-MIN(N(Crédits!$E$5),H152+I153),2)</f>
        <v>0</v>
      </c>
      <c r="I153" s="89">
        <f>H152*N(Crédits!$D$5)/12</f>
        <v>0</v>
      </c>
      <c r="J153" s="90">
        <f t="shared" si="17"/>
        <v>0</v>
      </c>
      <c r="K153" s="90">
        <f>J153*N(Crédits!$D$6)/12</f>
        <v>0</v>
      </c>
      <c r="L153" s="90">
        <f>MIN(N(Crédits!$E$6),J153+K153)</f>
        <v>0</v>
      </c>
      <c r="M153" s="90">
        <f t="shared" si="2"/>
        <v>0</v>
      </c>
      <c r="N153" s="91">
        <f>IF(Crédits!$K$6="",0,MAX(0,MIN(M153,Plan!$L$155-(IF(Crédits!$K$5="",0,IF(Crédits!$K$5&lt;Crédits!$K$6,E153,0))+IF(Crédits!$K$7="",0,IF(Crédits!$K$7&lt;Crédits!$K$6,U153,0))+IF(Crédits!$K$8="",0,IF(Crédits!$K$8&lt;Crédits!$K$6,AC153,0))+IF(Crédits!$K$9="",0,IF(Crédits!$K$9&lt;Crédits!$K$6,AK153,0))+IF(Crédits!$K$10="",0,IF(Crédits!$K$10&lt;Crédits!$K$6,AS153,0))))))</f>
        <v>0</v>
      </c>
      <c r="O153" s="92">
        <f t="shared" si="3"/>
        <v>0</v>
      </c>
      <c r="P153" s="88">
        <f>ROUND(P152+Q153-MIN(N(Crédits!$E$6),P152+Q153),2)</f>
        <v>0</v>
      </c>
      <c r="Q153" s="89">
        <f>P152*N(Crédits!$D$6)/12</f>
        <v>0</v>
      </c>
      <c r="R153" s="93">
        <f t="shared" si="18"/>
        <v>0</v>
      </c>
      <c r="S153" s="93">
        <f>R153*N(Crédits!$D$7)/12</f>
        <v>0</v>
      </c>
      <c r="T153" s="93">
        <f>MIN(N(Crédits!$E$7),R153+S153)</f>
        <v>0</v>
      </c>
      <c r="U153" s="93">
        <f t="shared" si="4"/>
        <v>0</v>
      </c>
      <c r="V153" s="94">
        <f>IF(Crédits!$K$7="",0,MAX(0,MIN(U153,Plan!$L$155-(IF(Crédits!$K$5="",0,IF(Crédits!$K$5&lt;Crédits!$K$7,E153,0))+IF(Crédits!$K$6="",0,IF(Crédits!$K$6&lt;Crédits!$K$7,M153,0))+IF(Crédits!$K$8="",0,IF(Crédits!$K$8&lt;Crédits!$K$7,AC153,0))+IF(Crédits!$K$9="",0,IF(Crédits!$K$9&lt;Crédits!$K$7,AK153,0))+IF(Crédits!$K$10="",0,IF(Crédits!$K$10&lt;Crédits!$K$7,AS153,0))))))</f>
        <v>0</v>
      </c>
      <c r="W153" s="95">
        <f t="shared" si="5"/>
        <v>0</v>
      </c>
      <c r="X153" s="88">
        <f>ROUND(X152+Y153-MIN(N(Crédits!$E$7),X152+Y153),2)</f>
        <v>0</v>
      </c>
      <c r="Y153" s="89">
        <f>X152*N(Crédits!$D$7)/12</f>
        <v>0</v>
      </c>
      <c r="Z153" s="96">
        <f t="shared" si="19"/>
        <v>0</v>
      </c>
      <c r="AA153" s="96">
        <f>Z153*N(Crédits!$D$8)/12</f>
        <v>0</v>
      </c>
      <c r="AB153" s="96">
        <f>MIN(N(Crédits!$E$8),Z153+AA153)</f>
        <v>0</v>
      </c>
      <c r="AC153" s="96">
        <f t="shared" si="6"/>
        <v>0</v>
      </c>
      <c r="AD153" s="97">
        <f>IF(Crédits!$K$8="",0,MAX(0,MIN(AC153,Plan!$L$155-(IF(Crédits!$K$5="",0,IF(Crédits!$K$5&lt;Crédits!$K$8,E153,0))+IF(Crédits!$K$6="",0,IF(Crédits!$K$6&lt;Crédits!$K$8,M153,0))+IF(Crédits!$K$7="",0,IF(Crédits!$K$7&lt;Crédits!$K$8,U153,0))+IF(Crédits!$K$9="",0,IF(Crédits!$K$9&lt;Crédits!$K$8,AK153,0))+IF(Crédits!$K$10="",0,IF(Crédits!$K$10&lt;Crédits!$K$8,AS153,0))))))</f>
        <v>0</v>
      </c>
      <c r="AE153" s="98">
        <f t="shared" si="7"/>
        <v>0</v>
      </c>
      <c r="AF153" s="88">
        <f>ROUND(AF152+AG153-MIN(N(Crédits!$E$8),AF152+AG153),2)</f>
        <v>0</v>
      </c>
      <c r="AG153" s="89">
        <f>AF152*N(Crédits!$D$8)/12</f>
        <v>0</v>
      </c>
      <c r="AH153" s="99">
        <f t="shared" si="20"/>
        <v>0</v>
      </c>
      <c r="AI153" s="99">
        <f>AH153*N(Crédits!$D$9)/12</f>
        <v>0</v>
      </c>
      <c r="AJ153" s="99">
        <f>MIN(N(Crédits!$E$9),AH153+AI153)</f>
        <v>0</v>
      </c>
      <c r="AK153" s="99">
        <f t="shared" si="8"/>
        <v>0</v>
      </c>
      <c r="AL153" s="100">
        <f>IF(Crédits!$K$9="",0,MAX(0,MIN(AK153,Plan!$L$155-(IF(Crédits!$K$5="",0,IF(Crédits!$K$5&lt;Crédits!$K$9,E153,0))+IF(Crédits!$K$6="",0,IF(Crédits!$K$6&lt;Crédits!$K$9,M153,0))+IF(Crédits!$K$7="",0,IF(Crédits!$K$7&lt;Crédits!$K$9,U153,0))+IF(Crédits!$K$8="",0,IF(Crédits!$K$8&lt;Crédits!$K$9,AC153,0))+IF(Crédits!$K$10="",0,IF(Crédits!$K$10&lt;Crédits!$K$9,AS153,0))))))</f>
        <v>0</v>
      </c>
      <c r="AM153" s="101">
        <f t="shared" si="9"/>
        <v>0</v>
      </c>
      <c r="AN153" s="88">
        <f>ROUND(AN152+AO153-MIN(N(Crédits!$E$9),AN152+AO153),2)</f>
        <v>0</v>
      </c>
      <c r="AO153" s="89">
        <f>AN152*N(Crédits!$D$9)/12</f>
        <v>0</v>
      </c>
      <c r="AP153" s="102">
        <f t="shared" si="21"/>
        <v>0</v>
      </c>
      <c r="AQ153" s="102">
        <f>AP153*N(Crédits!$D$10)/12</f>
        <v>0</v>
      </c>
      <c r="AR153" s="102">
        <f>MIN(N(Crédits!$E$10),AP153+AQ153)</f>
        <v>0</v>
      </c>
      <c r="AS153" s="102">
        <f t="shared" si="10"/>
        <v>0</v>
      </c>
      <c r="AT153" s="103">
        <f>IF(Crédits!$K$10="",0,MAX(0,MIN(AS153,Plan!$L$155-(IF(Crédits!$K$5="",0,IF(Crédits!$K$5&lt;Crédits!$K$10,E153,0))+IF(Crédits!$K$6="",0,IF(Crédits!$K$6&lt;Crédits!$K$10,M153,0))+IF(Crédits!$K$7="",0,IF(Crédits!$K$7&lt;Crédits!$K$10,U153,0))+IF(Crédits!$K$8="",0,IF(Crédits!$K$8&lt;Crédits!$K$10,AC153,0))+IF(Crédits!$K$9="",0,IF(Crédits!$K$9&lt;Crédits!$K$10,AK153,0))))))</f>
        <v>0</v>
      </c>
      <c r="AU153" s="104">
        <f t="shared" si="11"/>
        <v>0</v>
      </c>
      <c r="AV153" s="88">
        <f>ROUND(AV152+AW153-MIN(N(Crédits!$E$10),AV152+AW153),2)</f>
        <v>0</v>
      </c>
      <c r="AW153" s="89">
        <f>AV152*N(Crédits!$D$10)/12</f>
        <v>0</v>
      </c>
      <c r="AX153" s="105">
        <f t="shared" si="12"/>
        <v>0</v>
      </c>
      <c r="AY153" s="105">
        <f t="shared" ref="AY153:AZ153" si="171">F153+N153+V153+AD153+AL153+AT153</f>
        <v>0</v>
      </c>
      <c r="AZ153" s="105">
        <f t="shared" si="171"/>
        <v>0</v>
      </c>
      <c r="BA153" s="105">
        <f t="shared" si="14"/>
        <v>0</v>
      </c>
      <c r="BB153" s="105">
        <f t="shared" si="15"/>
        <v>0</v>
      </c>
    </row>
    <row r="154" spans="1:54" ht="15" customHeight="1" x14ac:dyDescent="0.25">
      <c r="A154" s="2">
        <v>152</v>
      </c>
      <c r="B154" s="83">
        <f t="shared" si="16"/>
        <v>0</v>
      </c>
      <c r="C154" s="83">
        <f>B154*N(Crédits!$D$5)/12</f>
        <v>0</v>
      </c>
      <c r="D154" s="83">
        <f>MIN(N(Crédits!$E$5),B154+C154)</f>
        <v>0</v>
      </c>
      <c r="E154" s="83">
        <f t="shared" si="0"/>
        <v>0</v>
      </c>
      <c r="F154" s="86">
        <f>IF(Crédits!$K$5="",0,MAX(0,MIN(E154,Plan!$L$156-(IF(Crédits!$K$6="",0,IF(Crédits!$K$6&lt;Crédits!$K$5,M154,0))+IF(Crédits!$K$7="",0,IF(Crédits!$K$7&lt;Crédits!$K$5,U154,0))+IF(Crédits!$K$8="",0,IF(Crédits!$K$8&lt;Crédits!$K$5,AC154,0))+IF(Crédits!$K$9="",0,IF(Crédits!$K$9&lt;Crédits!$K$5,AK154,0))+IF(Crédits!$K$10="",0,IF(Crédits!$K$10&lt;Crédits!$K$5,AS154,0))))))</f>
        <v>0</v>
      </c>
      <c r="G154" s="87">
        <f t="shared" si="1"/>
        <v>0</v>
      </c>
      <c r="H154" s="88">
        <f>ROUND(H153+I154-MIN(N(Crédits!$E$5),H153+I154),2)</f>
        <v>0</v>
      </c>
      <c r="I154" s="89">
        <f>H153*N(Crédits!$D$5)/12</f>
        <v>0</v>
      </c>
      <c r="J154" s="90">
        <f t="shared" si="17"/>
        <v>0</v>
      </c>
      <c r="K154" s="90">
        <f>J154*N(Crédits!$D$6)/12</f>
        <v>0</v>
      </c>
      <c r="L154" s="90">
        <f>MIN(N(Crédits!$E$6),J154+K154)</f>
        <v>0</v>
      </c>
      <c r="M154" s="90">
        <f t="shared" si="2"/>
        <v>0</v>
      </c>
      <c r="N154" s="91">
        <f>IF(Crédits!$K$6="",0,MAX(0,MIN(M154,Plan!$L$156-(IF(Crédits!$K$5="",0,IF(Crédits!$K$5&lt;Crédits!$K$6,E154,0))+IF(Crédits!$K$7="",0,IF(Crédits!$K$7&lt;Crédits!$K$6,U154,0))+IF(Crédits!$K$8="",0,IF(Crédits!$K$8&lt;Crédits!$K$6,AC154,0))+IF(Crédits!$K$9="",0,IF(Crédits!$K$9&lt;Crédits!$K$6,AK154,0))+IF(Crédits!$K$10="",0,IF(Crédits!$K$10&lt;Crédits!$K$6,AS154,0))))))</f>
        <v>0</v>
      </c>
      <c r="O154" s="92">
        <f t="shared" si="3"/>
        <v>0</v>
      </c>
      <c r="P154" s="88">
        <f>ROUND(P153+Q154-MIN(N(Crédits!$E$6),P153+Q154),2)</f>
        <v>0</v>
      </c>
      <c r="Q154" s="89">
        <f>P153*N(Crédits!$D$6)/12</f>
        <v>0</v>
      </c>
      <c r="R154" s="93">
        <f t="shared" si="18"/>
        <v>0</v>
      </c>
      <c r="S154" s="93">
        <f>R154*N(Crédits!$D$7)/12</f>
        <v>0</v>
      </c>
      <c r="T154" s="93">
        <f>MIN(N(Crédits!$E$7),R154+S154)</f>
        <v>0</v>
      </c>
      <c r="U154" s="93">
        <f t="shared" si="4"/>
        <v>0</v>
      </c>
      <c r="V154" s="94">
        <f>IF(Crédits!$K$7="",0,MAX(0,MIN(U154,Plan!$L$156-(IF(Crédits!$K$5="",0,IF(Crédits!$K$5&lt;Crédits!$K$7,E154,0))+IF(Crédits!$K$6="",0,IF(Crédits!$K$6&lt;Crédits!$K$7,M154,0))+IF(Crédits!$K$8="",0,IF(Crédits!$K$8&lt;Crédits!$K$7,AC154,0))+IF(Crédits!$K$9="",0,IF(Crédits!$K$9&lt;Crédits!$K$7,AK154,0))+IF(Crédits!$K$10="",0,IF(Crédits!$K$10&lt;Crédits!$K$7,AS154,0))))))</f>
        <v>0</v>
      </c>
      <c r="W154" s="95">
        <f t="shared" si="5"/>
        <v>0</v>
      </c>
      <c r="X154" s="88">
        <f>ROUND(X153+Y154-MIN(N(Crédits!$E$7),X153+Y154),2)</f>
        <v>0</v>
      </c>
      <c r="Y154" s="89">
        <f>X153*N(Crédits!$D$7)/12</f>
        <v>0</v>
      </c>
      <c r="Z154" s="96">
        <f t="shared" si="19"/>
        <v>0</v>
      </c>
      <c r="AA154" s="96">
        <f>Z154*N(Crédits!$D$8)/12</f>
        <v>0</v>
      </c>
      <c r="AB154" s="96">
        <f>MIN(N(Crédits!$E$8),Z154+AA154)</f>
        <v>0</v>
      </c>
      <c r="AC154" s="96">
        <f t="shared" si="6"/>
        <v>0</v>
      </c>
      <c r="AD154" s="97">
        <f>IF(Crédits!$K$8="",0,MAX(0,MIN(AC154,Plan!$L$156-(IF(Crédits!$K$5="",0,IF(Crédits!$K$5&lt;Crédits!$K$8,E154,0))+IF(Crédits!$K$6="",0,IF(Crédits!$K$6&lt;Crédits!$K$8,M154,0))+IF(Crédits!$K$7="",0,IF(Crédits!$K$7&lt;Crédits!$K$8,U154,0))+IF(Crédits!$K$9="",0,IF(Crédits!$K$9&lt;Crédits!$K$8,AK154,0))+IF(Crédits!$K$10="",0,IF(Crédits!$K$10&lt;Crédits!$K$8,AS154,0))))))</f>
        <v>0</v>
      </c>
      <c r="AE154" s="98">
        <f t="shared" si="7"/>
        <v>0</v>
      </c>
      <c r="AF154" s="88">
        <f>ROUND(AF153+AG154-MIN(N(Crédits!$E$8),AF153+AG154),2)</f>
        <v>0</v>
      </c>
      <c r="AG154" s="89">
        <f>AF153*N(Crédits!$D$8)/12</f>
        <v>0</v>
      </c>
      <c r="AH154" s="99">
        <f t="shared" si="20"/>
        <v>0</v>
      </c>
      <c r="AI154" s="99">
        <f>AH154*N(Crédits!$D$9)/12</f>
        <v>0</v>
      </c>
      <c r="AJ154" s="99">
        <f>MIN(N(Crédits!$E$9),AH154+AI154)</f>
        <v>0</v>
      </c>
      <c r="AK154" s="99">
        <f t="shared" si="8"/>
        <v>0</v>
      </c>
      <c r="AL154" s="100">
        <f>IF(Crédits!$K$9="",0,MAX(0,MIN(AK154,Plan!$L$156-(IF(Crédits!$K$5="",0,IF(Crédits!$K$5&lt;Crédits!$K$9,E154,0))+IF(Crédits!$K$6="",0,IF(Crédits!$K$6&lt;Crédits!$K$9,M154,0))+IF(Crédits!$K$7="",0,IF(Crédits!$K$7&lt;Crédits!$K$9,U154,0))+IF(Crédits!$K$8="",0,IF(Crédits!$K$8&lt;Crédits!$K$9,AC154,0))+IF(Crédits!$K$10="",0,IF(Crédits!$K$10&lt;Crédits!$K$9,AS154,0))))))</f>
        <v>0</v>
      </c>
      <c r="AM154" s="101">
        <f t="shared" si="9"/>
        <v>0</v>
      </c>
      <c r="AN154" s="88">
        <f>ROUND(AN153+AO154-MIN(N(Crédits!$E$9),AN153+AO154),2)</f>
        <v>0</v>
      </c>
      <c r="AO154" s="89">
        <f>AN153*N(Crédits!$D$9)/12</f>
        <v>0</v>
      </c>
      <c r="AP154" s="102">
        <f t="shared" si="21"/>
        <v>0</v>
      </c>
      <c r="AQ154" s="102">
        <f>AP154*N(Crédits!$D$10)/12</f>
        <v>0</v>
      </c>
      <c r="AR154" s="102">
        <f>MIN(N(Crédits!$E$10),AP154+AQ154)</f>
        <v>0</v>
      </c>
      <c r="AS154" s="102">
        <f t="shared" si="10"/>
        <v>0</v>
      </c>
      <c r="AT154" s="103">
        <f>IF(Crédits!$K$10="",0,MAX(0,MIN(AS154,Plan!$L$156-(IF(Crédits!$K$5="",0,IF(Crédits!$K$5&lt;Crédits!$K$10,E154,0))+IF(Crédits!$K$6="",0,IF(Crédits!$K$6&lt;Crédits!$K$10,M154,0))+IF(Crédits!$K$7="",0,IF(Crédits!$K$7&lt;Crédits!$K$10,U154,0))+IF(Crédits!$K$8="",0,IF(Crédits!$K$8&lt;Crédits!$K$10,AC154,0))+IF(Crédits!$K$9="",0,IF(Crédits!$K$9&lt;Crédits!$K$10,AK154,0))))))</f>
        <v>0</v>
      </c>
      <c r="AU154" s="104">
        <f t="shared" si="11"/>
        <v>0</v>
      </c>
      <c r="AV154" s="88">
        <f>ROUND(AV153+AW154-MIN(N(Crédits!$E$10),AV153+AW154),2)</f>
        <v>0</v>
      </c>
      <c r="AW154" s="89">
        <f>AV153*N(Crédits!$D$10)/12</f>
        <v>0</v>
      </c>
      <c r="AX154" s="105">
        <f t="shared" si="12"/>
        <v>0</v>
      </c>
      <c r="AY154" s="105">
        <f t="shared" ref="AY154:AZ154" si="172">F154+N154+V154+AD154+AL154+AT154</f>
        <v>0</v>
      </c>
      <c r="AZ154" s="105">
        <f t="shared" si="172"/>
        <v>0</v>
      </c>
      <c r="BA154" s="105">
        <f t="shared" si="14"/>
        <v>0</v>
      </c>
      <c r="BB154" s="105">
        <f t="shared" si="15"/>
        <v>0</v>
      </c>
    </row>
    <row r="155" spans="1:54" ht="15" customHeight="1" x14ac:dyDescent="0.25">
      <c r="A155" s="2">
        <v>153</v>
      </c>
      <c r="B155" s="83">
        <f t="shared" si="16"/>
        <v>0</v>
      </c>
      <c r="C155" s="83">
        <f>B155*N(Crédits!$D$5)/12</f>
        <v>0</v>
      </c>
      <c r="D155" s="83">
        <f>MIN(N(Crédits!$E$5),B155+C155)</f>
        <v>0</v>
      </c>
      <c r="E155" s="83">
        <f t="shared" si="0"/>
        <v>0</v>
      </c>
      <c r="F155" s="86">
        <f>IF(Crédits!$K$5="",0,MAX(0,MIN(E155,Plan!$L$157-(IF(Crédits!$K$6="",0,IF(Crédits!$K$6&lt;Crédits!$K$5,M155,0))+IF(Crédits!$K$7="",0,IF(Crédits!$K$7&lt;Crédits!$K$5,U155,0))+IF(Crédits!$K$8="",0,IF(Crédits!$K$8&lt;Crédits!$K$5,AC155,0))+IF(Crédits!$K$9="",0,IF(Crédits!$K$9&lt;Crédits!$K$5,AK155,0))+IF(Crédits!$K$10="",0,IF(Crédits!$K$10&lt;Crédits!$K$5,AS155,0))))))</f>
        <v>0</v>
      </c>
      <c r="G155" s="87">
        <f t="shared" si="1"/>
        <v>0</v>
      </c>
      <c r="H155" s="88">
        <f>ROUND(H154+I155-MIN(N(Crédits!$E$5),H154+I155),2)</f>
        <v>0</v>
      </c>
      <c r="I155" s="89">
        <f>H154*N(Crédits!$D$5)/12</f>
        <v>0</v>
      </c>
      <c r="J155" s="90">
        <f t="shared" si="17"/>
        <v>0</v>
      </c>
      <c r="K155" s="90">
        <f>J155*N(Crédits!$D$6)/12</f>
        <v>0</v>
      </c>
      <c r="L155" s="90">
        <f>MIN(N(Crédits!$E$6),J155+K155)</f>
        <v>0</v>
      </c>
      <c r="M155" s="90">
        <f t="shared" si="2"/>
        <v>0</v>
      </c>
      <c r="N155" s="91">
        <f>IF(Crédits!$K$6="",0,MAX(0,MIN(M155,Plan!$L$157-(IF(Crédits!$K$5="",0,IF(Crédits!$K$5&lt;Crédits!$K$6,E155,0))+IF(Crédits!$K$7="",0,IF(Crédits!$K$7&lt;Crédits!$K$6,U155,0))+IF(Crédits!$K$8="",0,IF(Crédits!$K$8&lt;Crédits!$K$6,AC155,0))+IF(Crédits!$K$9="",0,IF(Crédits!$K$9&lt;Crédits!$K$6,AK155,0))+IF(Crédits!$K$10="",0,IF(Crédits!$K$10&lt;Crédits!$K$6,AS155,0))))))</f>
        <v>0</v>
      </c>
      <c r="O155" s="92">
        <f t="shared" si="3"/>
        <v>0</v>
      </c>
      <c r="P155" s="88">
        <f>ROUND(P154+Q155-MIN(N(Crédits!$E$6),P154+Q155),2)</f>
        <v>0</v>
      </c>
      <c r="Q155" s="89">
        <f>P154*N(Crédits!$D$6)/12</f>
        <v>0</v>
      </c>
      <c r="R155" s="93">
        <f t="shared" si="18"/>
        <v>0</v>
      </c>
      <c r="S155" s="93">
        <f>R155*N(Crédits!$D$7)/12</f>
        <v>0</v>
      </c>
      <c r="T155" s="93">
        <f>MIN(N(Crédits!$E$7),R155+S155)</f>
        <v>0</v>
      </c>
      <c r="U155" s="93">
        <f t="shared" si="4"/>
        <v>0</v>
      </c>
      <c r="V155" s="94">
        <f>IF(Crédits!$K$7="",0,MAX(0,MIN(U155,Plan!$L$157-(IF(Crédits!$K$5="",0,IF(Crédits!$K$5&lt;Crédits!$K$7,E155,0))+IF(Crédits!$K$6="",0,IF(Crédits!$K$6&lt;Crédits!$K$7,M155,0))+IF(Crédits!$K$8="",0,IF(Crédits!$K$8&lt;Crédits!$K$7,AC155,0))+IF(Crédits!$K$9="",0,IF(Crédits!$K$9&lt;Crédits!$K$7,AK155,0))+IF(Crédits!$K$10="",0,IF(Crédits!$K$10&lt;Crédits!$K$7,AS155,0))))))</f>
        <v>0</v>
      </c>
      <c r="W155" s="95">
        <f t="shared" si="5"/>
        <v>0</v>
      </c>
      <c r="X155" s="88">
        <f>ROUND(X154+Y155-MIN(N(Crédits!$E$7),X154+Y155),2)</f>
        <v>0</v>
      </c>
      <c r="Y155" s="89">
        <f>X154*N(Crédits!$D$7)/12</f>
        <v>0</v>
      </c>
      <c r="Z155" s="96">
        <f t="shared" si="19"/>
        <v>0</v>
      </c>
      <c r="AA155" s="96">
        <f>Z155*N(Crédits!$D$8)/12</f>
        <v>0</v>
      </c>
      <c r="AB155" s="96">
        <f>MIN(N(Crédits!$E$8),Z155+AA155)</f>
        <v>0</v>
      </c>
      <c r="AC155" s="96">
        <f t="shared" si="6"/>
        <v>0</v>
      </c>
      <c r="AD155" s="97">
        <f>IF(Crédits!$K$8="",0,MAX(0,MIN(AC155,Plan!$L$157-(IF(Crédits!$K$5="",0,IF(Crédits!$K$5&lt;Crédits!$K$8,E155,0))+IF(Crédits!$K$6="",0,IF(Crédits!$K$6&lt;Crédits!$K$8,M155,0))+IF(Crédits!$K$7="",0,IF(Crédits!$K$7&lt;Crédits!$K$8,U155,0))+IF(Crédits!$K$9="",0,IF(Crédits!$K$9&lt;Crédits!$K$8,AK155,0))+IF(Crédits!$K$10="",0,IF(Crédits!$K$10&lt;Crédits!$K$8,AS155,0))))))</f>
        <v>0</v>
      </c>
      <c r="AE155" s="98">
        <f t="shared" si="7"/>
        <v>0</v>
      </c>
      <c r="AF155" s="88">
        <f>ROUND(AF154+AG155-MIN(N(Crédits!$E$8),AF154+AG155),2)</f>
        <v>0</v>
      </c>
      <c r="AG155" s="89">
        <f>AF154*N(Crédits!$D$8)/12</f>
        <v>0</v>
      </c>
      <c r="AH155" s="99">
        <f t="shared" si="20"/>
        <v>0</v>
      </c>
      <c r="AI155" s="99">
        <f>AH155*N(Crédits!$D$9)/12</f>
        <v>0</v>
      </c>
      <c r="AJ155" s="99">
        <f>MIN(N(Crédits!$E$9),AH155+AI155)</f>
        <v>0</v>
      </c>
      <c r="AK155" s="99">
        <f t="shared" si="8"/>
        <v>0</v>
      </c>
      <c r="AL155" s="100">
        <f>IF(Crédits!$K$9="",0,MAX(0,MIN(AK155,Plan!$L$157-(IF(Crédits!$K$5="",0,IF(Crédits!$K$5&lt;Crédits!$K$9,E155,0))+IF(Crédits!$K$6="",0,IF(Crédits!$K$6&lt;Crédits!$K$9,M155,0))+IF(Crédits!$K$7="",0,IF(Crédits!$K$7&lt;Crédits!$K$9,U155,0))+IF(Crédits!$K$8="",0,IF(Crédits!$K$8&lt;Crédits!$K$9,AC155,0))+IF(Crédits!$K$10="",0,IF(Crédits!$K$10&lt;Crédits!$K$9,AS155,0))))))</f>
        <v>0</v>
      </c>
      <c r="AM155" s="101">
        <f t="shared" si="9"/>
        <v>0</v>
      </c>
      <c r="AN155" s="88">
        <f>ROUND(AN154+AO155-MIN(N(Crédits!$E$9),AN154+AO155),2)</f>
        <v>0</v>
      </c>
      <c r="AO155" s="89">
        <f>AN154*N(Crédits!$D$9)/12</f>
        <v>0</v>
      </c>
      <c r="AP155" s="102">
        <f t="shared" si="21"/>
        <v>0</v>
      </c>
      <c r="AQ155" s="102">
        <f>AP155*N(Crédits!$D$10)/12</f>
        <v>0</v>
      </c>
      <c r="AR155" s="102">
        <f>MIN(N(Crédits!$E$10),AP155+AQ155)</f>
        <v>0</v>
      </c>
      <c r="AS155" s="102">
        <f t="shared" si="10"/>
        <v>0</v>
      </c>
      <c r="AT155" s="103">
        <f>IF(Crédits!$K$10="",0,MAX(0,MIN(AS155,Plan!$L$157-(IF(Crédits!$K$5="",0,IF(Crédits!$K$5&lt;Crédits!$K$10,E155,0))+IF(Crédits!$K$6="",0,IF(Crédits!$K$6&lt;Crédits!$K$10,M155,0))+IF(Crédits!$K$7="",0,IF(Crédits!$K$7&lt;Crédits!$K$10,U155,0))+IF(Crédits!$K$8="",0,IF(Crédits!$K$8&lt;Crédits!$K$10,AC155,0))+IF(Crédits!$K$9="",0,IF(Crédits!$K$9&lt;Crédits!$K$10,AK155,0))))))</f>
        <v>0</v>
      </c>
      <c r="AU155" s="104">
        <f t="shared" si="11"/>
        <v>0</v>
      </c>
      <c r="AV155" s="88">
        <f>ROUND(AV154+AW155-MIN(N(Crédits!$E$10),AV154+AW155),2)</f>
        <v>0</v>
      </c>
      <c r="AW155" s="89">
        <f>AV154*N(Crédits!$D$10)/12</f>
        <v>0</v>
      </c>
      <c r="AX155" s="105">
        <f t="shared" si="12"/>
        <v>0</v>
      </c>
      <c r="AY155" s="105">
        <f t="shared" ref="AY155:AZ155" si="173">F155+N155+V155+AD155+AL155+AT155</f>
        <v>0</v>
      </c>
      <c r="AZ155" s="105">
        <f t="shared" si="173"/>
        <v>0</v>
      </c>
      <c r="BA155" s="105">
        <f t="shared" si="14"/>
        <v>0</v>
      </c>
      <c r="BB155" s="105">
        <f t="shared" si="15"/>
        <v>0</v>
      </c>
    </row>
    <row r="156" spans="1:54" ht="15" customHeight="1" x14ac:dyDescent="0.25">
      <c r="A156" s="2">
        <v>154</v>
      </c>
      <c r="B156" s="83">
        <f t="shared" si="16"/>
        <v>0</v>
      </c>
      <c r="C156" s="83">
        <f>B156*N(Crédits!$D$5)/12</f>
        <v>0</v>
      </c>
      <c r="D156" s="83">
        <f>MIN(N(Crédits!$E$5),B156+C156)</f>
        <v>0</v>
      </c>
      <c r="E156" s="83">
        <f t="shared" si="0"/>
        <v>0</v>
      </c>
      <c r="F156" s="86">
        <f>IF(Crédits!$K$5="",0,MAX(0,MIN(E156,Plan!$L$158-(IF(Crédits!$K$6="",0,IF(Crédits!$K$6&lt;Crédits!$K$5,M156,0))+IF(Crédits!$K$7="",0,IF(Crédits!$K$7&lt;Crédits!$K$5,U156,0))+IF(Crédits!$K$8="",0,IF(Crédits!$K$8&lt;Crédits!$K$5,AC156,0))+IF(Crédits!$K$9="",0,IF(Crédits!$K$9&lt;Crédits!$K$5,AK156,0))+IF(Crédits!$K$10="",0,IF(Crédits!$K$10&lt;Crédits!$K$5,AS156,0))))))</f>
        <v>0</v>
      </c>
      <c r="G156" s="87">
        <f t="shared" si="1"/>
        <v>0</v>
      </c>
      <c r="H156" s="88">
        <f>ROUND(H155+I156-MIN(N(Crédits!$E$5),H155+I156),2)</f>
        <v>0</v>
      </c>
      <c r="I156" s="89">
        <f>H155*N(Crédits!$D$5)/12</f>
        <v>0</v>
      </c>
      <c r="J156" s="90">
        <f t="shared" si="17"/>
        <v>0</v>
      </c>
      <c r="K156" s="90">
        <f>J156*N(Crédits!$D$6)/12</f>
        <v>0</v>
      </c>
      <c r="L156" s="90">
        <f>MIN(N(Crédits!$E$6),J156+K156)</f>
        <v>0</v>
      </c>
      <c r="M156" s="90">
        <f t="shared" si="2"/>
        <v>0</v>
      </c>
      <c r="N156" s="91">
        <f>IF(Crédits!$K$6="",0,MAX(0,MIN(M156,Plan!$L$158-(IF(Crédits!$K$5="",0,IF(Crédits!$K$5&lt;Crédits!$K$6,E156,0))+IF(Crédits!$K$7="",0,IF(Crédits!$K$7&lt;Crédits!$K$6,U156,0))+IF(Crédits!$K$8="",0,IF(Crédits!$K$8&lt;Crédits!$K$6,AC156,0))+IF(Crédits!$K$9="",0,IF(Crédits!$K$9&lt;Crédits!$K$6,AK156,0))+IF(Crédits!$K$10="",0,IF(Crédits!$K$10&lt;Crédits!$K$6,AS156,0))))))</f>
        <v>0</v>
      </c>
      <c r="O156" s="92">
        <f t="shared" si="3"/>
        <v>0</v>
      </c>
      <c r="P156" s="88">
        <f>ROUND(P155+Q156-MIN(N(Crédits!$E$6),P155+Q156),2)</f>
        <v>0</v>
      </c>
      <c r="Q156" s="89">
        <f>P155*N(Crédits!$D$6)/12</f>
        <v>0</v>
      </c>
      <c r="R156" s="93">
        <f t="shared" si="18"/>
        <v>0</v>
      </c>
      <c r="S156" s="93">
        <f>R156*N(Crédits!$D$7)/12</f>
        <v>0</v>
      </c>
      <c r="T156" s="93">
        <f>MIN(N(Crédits!$E$7),R156+S156)</f>
        <v>0</v>
      </c>
      <c r="U156" s="93">
        <f t="shared" si="4"/>
        <v>0</v>
      </c>
      <c r="V156" s="94">
        <f>IF(Crédits!$K$7="",0,MAX(0,MIN(U156,Plan!$L$158-(IF(Crédits!$K$5="",0,IF(Crédits!$K$5&lt;Crédits!$K$7,E156,0))+IF(Crédits!$K$6="",0,IF(Crédits!$K$6&lt;Crédits!$K$7,M156,0))+IF(Crédits!$K$8="",0,IF(Crédits!$K$8&lt;Crédits!$K$7,AC156,0))+IF(Crédits!$K$9="",0,IF(Crédits!$K$9&lt;Crédits!$K$7,AK156,0))+IF(Crédits!$K$10="",0,IF(Crédits!$K$10&lt;Crédits!$K$7,AS156,0))))))</f>
        <v>0</v>
      </c>
      <c r="W156" s="95">
        <f t="shared" si="5"/>
        <v>0</v>
      </c>
      <c r="X156" s="88">
        <f>ROUND(X155+Y156-MIN(N(Crédits!$E$7),X155+Y156),2)</f>
        <v>0</v>
      </c>
      <c r="Y156" s="89">
        <f>X155*N(Crédits!$D$7)/12</f>
        <v>0</v>
      </c>
      <c r="Z156" s="96">
        <f t="shared" si="19"/>
        <v>0</v>
      </c>
      <c r="AA156" s="96">
        <f>Z156*N(Crédits!$D$8)/12</f>
        <v>0</v>
      </c>
      <c r="AB156" s="96">
        <f>MIN(N(Crédits!$E$8),Z156+AA156)</f>
        <v>0</v>
      </c>
      <c r="AC156" s="96">
        <f t="shared" si="6"/>
        <v>0</v>
      </c>
      <c r="AD156" s="97">
        <f>IF(Crédits!$K$8="",0,MAX(0,MIN(AC156,Plan!$L$158-(IF(Crédits!$K$5="",0,IF(Crédits!$K$5&lt;Crédits!$K$8,E156,0))+IF(Crédits!$K$6="",0,IF(Crédits!$K$6&lt;Crédits!$K$8,M156,0))+IF(Crédits!$K$7="",0,IF(Crédits!$K$7&lt;Crédits!$K$8,U156,0))+IF(Crédits!$K$9="",0,IF(Crédits!$K$9&lt;Crédits!$K$8,AK156,0))+IF(Crédits!$K$10="",0,IF(Crédits!$K$10&lt;Crédits!$K$8,AS156,0))))))</f>
        <v>0</v>
      </c>
      <c r="AE156" s="98">
        <f t="shared" si="7"/>
        <v>0</v>
      </c>
      <c r="AF156" s="88">
        <f>ROUND(AF155+AG156-MIN(N(Crédits!$E$8),AF155+AG156),2)</f>
        <v>0</v>
      </c>
      <c r="AG156" s="89">
        <f>AF155*N(Crédits!$D$8)/12</f>
        <v>0</v>
      </c>
      <c r="AH156" s="99">
        <f t="shared" si="20"/>
        <v>0</v>
      </c>
      <c r="AI156" s="99">
        <f>AH156*N(Crédits!$D$9)/12</f>
        <v>0</v>
      </c>
      <c r="AJ156" s="99">
        <f>MIN(N(Crédits!$E$9),AH156+AI156)</f>
        <v>0</v>
      </c>
      <c r="AK156" s="99">
        <f t="shared" si="8"/>
        <v>0</v>
      </c>
      <c r="AL156" s="100">
        <f>IF(Crédits!$K$9="",0,MAX(0,MIN(AK156,Plan!$L$158-(IF(Crédits!$K$5="",0,IF(Crédits!$K$5&lt;Crédits!$K$9,E156,0))+IF(Crédits!$K$6="",0,IF(Crédits!$K$6&lt;Crédits!$K$9,M156,0))+IF(Crédits!$K$7="",0,IF(Crédits!$K$7&lt;Crédits!$K$9,U156,0))+IF(Crédits!$K$8="",0,IF(Crédits!$K$8&lt;Crédits!$K$9,AC156,0))+IF(Crédits!$K$10="",0,IF(Crédits!$K$10&lt;Crédits!$K$9,AS156,0))))))</f>
        <v>0</v>
      </c>
      <c r="AM156" s="101">
        <f t="shared" si="9"/>
        <v>0</v>
      </c>
      <c r="AN156" s="88">
        <f>ROUND(AN155+AO156-MIN(N(Crédits!$E$9),AN155+AO156),2)</f>
        <v>0</v>
      </c>
      <c r="AO156" s="89">
        <f>AN155*N(Crédits!$D$9)/12</f>
        <v>0</v>
      </c>
      <c r="AP156" s="102">
        <f t="shared" si="21"/>
        <v>0</v>
      </c>
      <c r="AQ156" s="102">
        <f>AP156*N(Crédits!$D$10)/12</f>
        <v>0</v>
      </c>
      <c r="AR156" s="102">
        <f>MIN(N(Crédits!$E$10),AP156+AQ156)</f>
        <v>0</v>
      </c>
      <c r="AS156" s="102">
        <f t="shared" si="10"/>
        <v>0</v>
      </c>
      <c r="AT156" s="103">
        <f>IF(Crédits!$K$10="",0,MAX(0,MIN(AS156,Plan!$L$158-(IF(Crédits!$K$5="",0,IF(Crédits!$K$5&lt;Crédits!$K$10,E156,0))+IF(Crédits!$K$6="",0,IF(Crédits!$K$6&lt;Crédits!$K$10,M156,0))+IF(Crédits!$K$7="",0,IF(Crédits!$K$7&lt;Crédits!$K$10,U156,0))+IF(Crédits!$K$8="",0,IF(Crédits!$K$8&lt;Crédits!$K$10,AC156,0))+IF(Crédits!$K$9="",0,IF(Crédits!$K$9&lt;Crédits!$K$10,AK156,0))))))</f>
        <v>0</v>
      </c>
      <c r="AU156" s="104">
        <f t="shared" si="11"/>
        <v>0</v>
      </c>
      <c r="AV156" s="88">
        <f>ROUND(AV155+AW156-MIN(N(Crédits!$E$10),AV155+AW156),2)</f>
        <v>0</v>
      </c>
      <c r="AW156" s="89">
        <f>AV155*N(Crédits!$D$10)/12</f>
        <v>0</v>
      </c>
      <c r="AX156" s="105">
        <f t="shared" si="12"/>
        <v>0</v>
      </c>
      <c r="AY156" s="105">
        <f t="shared" ref="AY156:AZ156" si="174">F156+N156+V156+AD156+AL156+AT156</f>
        <v>0</v>
      </c>
      <c r="AZ156" s="105">
        <f t="shared" si="174"/>
        <v>0</v>
      </c>
      <c r="BA156" s="105">
        <f t="shared" si="14"/>
        <v>0</v>
      </c>
      <c r="BB156" s="105">
        <f t="shared" si="15"/>
        <v>0</v>
      </c>
    </row>
    <row r="157" spans="1:54" ht="15" customHeight="1" x14ac:dyDescent="0.25">
      <c r="A157" s="2">
        <v>155</v>
      </c>
      <c r="B157" s="83">
        <f t="shared" si="16"/>
        <v>0</v>
      </c>
      <c r="C157" s="83">
        <f>B157*N(Crédits!$D$5)/12</f>
        <v>0</v>
      </c>
      <c r="D157" s="83">
        <f>MIN(N(Crédits!$E$5),B157+C157)</f>
        <v>0</v>
      </c>
      <c r="E157" s="83">
        <f t="shared" si="0"/>
        <v>0</v>
      </c>
      <c r="F157" s="86">
        <f>IF(Crédits!$K$5="",0,MAX(0,MIN(E157,Plan!$L$159-(IF(Crédits!$K$6="",0,IF(Crédits!$K$6&lt;Crédits!$K$5,M157,0))+IF(Crédits!$K$7="",0,IF(Crédits!$K$7&lt;Crédits!$K$5,U157,0))+IF(Crédits!$K$8="",0,IF(Crédits!$K$8&lt;Crédits!$K$5,AC157,0))+IF(Crédits!$K$9="",0,IF(Crédits!$K$9&lt;Crédits!$K$5,AK157,0))+IF(Crédits!$K$10="",0,IF(Crédits!$K$10&lt;Crédits!$K$5,AS157,0))))))</f>
        <v>0</v>
      </c>
      <c r="G157" s="87">
        <f t="shared" si="1"/>
        <v>0</v>
      </c>
      <c r="H157" s="88">
        <f>ROUND(H156+I157-MIN(N(Crédits!$E$5),H156+I157),2)</f>
        <v>0</v>
      </c>
      <c r="I157" s="89">
        <f>H156*N(Crédits!$D$5)/12</f>
        <v>0</v>
      </c>
      <c r="J157" s="90">
        <f t="shared" si="17"/>
        <v>0</v>
      </c>
      <c r="K157" s="90">
        <f>J157*N(Crédits!$D$6)/12</f>
        <v>0</v>
      </c>
      <c r="L157" s="90">
        <f>MIN(N(Crédits!$E$6),J157+K157)</f>
        <v>0</v>
      </c>
      <c r="M157" s="90">
        <f t="shared" si="2"/>
        <v>0</v>
      </c>
      <c r="N157" s="91">
        <f>IF(Crédits!$K$6="",0,MAX(0,MIN(M157,Plan!$L$159-(IF(Crédits!$K$5="",0,IF(Crédits!$K$5&lt;Crédits!$K$6,E157,0))+IF(Crédits!$K$7="",0,IF(Crédits!$K$7&lt;Crédits!$K$6,U157,0))+IF(Crédits!$K$8="",0,IF(Crédits!$K$8&lt;Crédits!$K$6,AC157,0))+IF(Crédits!$K$9="",0,IF(Crédits!$K$9&lt;Crédits!$K$6,AK157,0))+IF(Crédits!$K$10="",0,IF(Crédits!$K$10&lt;Crédits!$K$6,AS157,0))))))</f>
        <v>0</v>
      </c>
      <c r="O157" s="92">
        <f t="shared" si="3"/>
        <v>0</v>
      </c>
      <c r="P157" s="88">
        <f>ROUND(P156+Q157-MIN(N(Crédits!$E$6),P156+Q157),2)</f>
        <v>0</v>
      </c>
      <c r="Q157" s="89">
        <f>P156*N(Crédits!$D$6)/12</f>
        <v>0</v>
      </c>
      <c r="R157" s="93">
        <f t="shared" si="18"/>
        <v>0</v>
      </c>
      <c r="S157" s="93">
        <f>R157*N(Crédits!$D$7)/12</f>
        <v>0</v>
      </c>
      <c r="T157" s="93">
        <f>MIN(N(Crédits!$E$7),R157+S157)</f>
        <v>0</v>
      </c>
      <c r="U157" s="93">
        <f t="shared" si="4"/>
        <v>0</v>
      </c>
      <c r="V157" s="94">
        <f>IF(Crédits!$K$7="",0,MAX(0,MIN(U157,Plan!$L$159-(IF(Crédits!$K$5="",0,IF(Crédits!$K$5&lt;Crédits!$K$7,E157,0))+IF(Crédits!$K$6="",0,IF(Crédits!$K$6&lt;Crédits!$K$7,M157,0))+IF(Crédits!$K$8="",0,IF(Crédits!$K$8&lt;Crédits!$K$7,AC157,0))+IF(Crédits!$K$9="",0,IF(Crédits!$K$9&lt;Crédits!$K$7,AK157,0))+IF(Crédits!$K$10="",0,IF(Crédits!$K$10&lt;Crédits!$K$7,AS157,0))))))</f>
        <v>0</v>
      </c>
      <c r="W157" s="95">
        <f t="shared" si="5"/>
        <v>0</v>
      </c>
      <c r="X157" s="88">
        <f>ROUND(X156+Y157-MIN(N(Crédits!$E$7),X156+Y157),2)</f>
        <v>0</v>
      </c>
      <c r="Y157" s="89">
        <f>X156*N(Crédits!$D$7)/12</f>
        <v>0</v>
      </c>
      <c r="Z157" s="96">
        <f t="shared" si="19"/>
        <v>0</v>
      </c>
      <c r="AA157" s="96">
        <f>Z157*N(Crédits!$D$8)/12</f>
        <v>0</v>
      </c>
      <c r="AB157" s="96">
        <f>MIN(N(Crédits!$E$8),Z157+AA157)</f>
        <v>0</v>
      </c>
      <c r="AC157" s="96">
        <f t="shared" si="6"/>
        <v>0</v>
      </c>
      <c r="AD157" s="97">
        <f>IF(Crédits!$K$8="",0,MAX(0,MIN(AC157,Plan!$L$159-(IF(Crédits!$K$5="",0,IF(Crédits!$K$5&lt;Crédits!$K$8,E157,0))+IF(Crédits!$K$6="",0,IF(Crédits!$K$6&lt;Crédits!$K$8,M157,0))+IF(Crédits!$K$7="",0,IF(Crédits!$K$7&lt;Crédits!$K$8,U157,0))+IF(Crédits!$K$9="",0,IF(Crédits!$K$9&lt;Crédits!$K$8,AK157,0))+IF(Crédits!$K$10="",0,IF(Crédits!$K$10&lt;Crédits!$K$8,AS157,0))))))</f>
        <v>0</v>
      </c>
      <c r="AE157" s="98">
        <f t="shared" si="7"/>
        <v>0</v>
      </c>
      <c r="AF157" s="88">
        <f>ROUND(AF156+AG157-MIN(N(Crédits!$E$8),AF156+AG157),2)</f>
        <v>0</v>
      </c>
      <c r="AG157" s="89">
        <f>AF156*N(Crédits!$D$8)/12</f>
        <v>0</v>
      </c>
      <c r="AH157" s="99">
        <f t="shared" si="20"/>
        <v>0</v>
      </c>
      <c r="AI157" s="99">
        <f>AH157*N(Crédits!$D$9)/12</f>
        <v>0</v>
      </c>
      <c r="AJ157" s="99">
        <f>MIN(N(Crédits!$E$9),AH157+AI157)</f>
        <v>0</v>
      </c>
      <c r="AK157" s="99">
        <f t="shared" si="8"/>
        <v>0</v>
      </c>
      <c r="AL157" s="100">
        <f>IF(Crédits!$K$9="",0,MAX(0,MIN(AK157,Plan!$L$159-(IF(Crédits!$K$5="",0,IF(Crédits!$K$5&lt;Crédits!$K$9,E157,0))+IF(Crédits!$K$6="",0,IF(Crédits!$K$6&lt;Crédits!$K$9,M157,0))+IF(Crédits!$K$7="",0,IF(Crédits!$K$7&lt;Crédits!$K$9,U157,0))+IF(Crédits!$K$8="",0,IF(Crédits!$K$8&lt;Crédits!$K$9,AC157,0))+IF(Crédits!$K$10="",0,IF(Crédits!$K$10&lt;Crédits!$K$9,AS157,0))))))</f>
        <v>0</v>
      </c>
      <c r="AM157" s="101">
        <f t="shared" si="9"/>
        <v>0</v>
      </c>
      <c r="AN157" s="88">
        <f>ROUND(AN156+AO157-MIN(N(Crédits!$E$9),AN156+AO157),2)</f>
        <v>0</v>
      </c>
      <c r="AO157" s="89">
        <f>AN156*N(Crédits!$D$9)/12</f>
        <v>0</v>
      </c>
      <c r="AP157" s="102">
        <f t="shared" si="21"/>
        <v>0</v>
      </c>
      <c r="AQ157" s="102">
        <f>AP157*N(Crédits!$D$10)/12</f>
        <v>0</v>
      </c>
      <c r="AR157" s="102">
        <f>MIN(N(Crédits!$E$10),AP157+AQ157)</f>
        <v>0</v>
      </c>
      <c r="AS157" s="102">
        <f t="shared" si="10"/>
        <v>0</v>
      </c>
      <c r="AT157" s="103">
        <f>IF(Crédits!$K$10="",0,MAX(0,MIN(AS157,Plan!$L$159-(IF(Crédits!$K$5="",0,IF(Crédits!$K$5&lt;Crédits!$K$10,E157,0))+IF(Crédits!$K$6="",0,IF(Crédits!$K$6&lt;Crédits!$K$10,M157,0))+IF(Crédits!$K$7="",0,IF(Crédits!$K$7&lt;Crédits!$K$10,U157,0))+IF(Crédits!$K$8="",0,IF(Crédits!$K$8&lt;Crédits!$K$10,AC157,0))+IF(Crédits!$K$9="",0,IF(Crédits!$K$9&lt;Crédits!$K$10,AK157,0))))))</f>
        <v>0</v>
      </c>
      <c r="AU157" s="104">
        <f t="shared" si="11"/>
        <v>0</v>
      </c>
      <c r="AV157" s="88">
        <f>ROUND(AV156+AW157-MIN(N(Crédits!$E$10),AV156+AW157),2)</f>
        <v>0</v>
      </c>
      <c r="AW157" s="89">
        <f>AV156*N(Crédits!$D$10)/12</f>
        <v>0</v>
      </c>
      <c r="AX157" s="105">
        <f t="shared" si="12"/>
        <v>0</v>
      </c>
      <c r="AY157" s="105">
        <f t="shared" ref="AY157:AZ157" si="175">F157+N157+V157+AD157+AL157+AT157</f>
        <v>0</v>
      </c>
      <c r="AZ157" s="105">
        <f t="shared" si="175"/>
        <v>0</v>
      </c>
      <c r="BA157" s="105">
        <f t="shared" si="14"/>
        <v>0</v>
      </c>
      <c r="BB157" s="105">
        <f t="shared" si="15"/>
        <v>0</v>
      </c>
    </row>
    <row r="158" spans="1:54" ht="15" customHeight="1" x14ac:dyDescent="0.25">
      <c r="A158" s="2">
        <v>156</v>
      </c>
      <c r="B158" s="83">
        <f t="shared" si="16"/>
        <v>0</v>
      </c>
      <c r="C158" s="83">
        <f>B158*N(Crédits!$D$5)/12</f>
        <v>0</v>
      </c>
      <c r="D158" s="83">
        <f>MIN(N(Crédits!$E$5),B158+C158)</f>
        <v>0</v>
      </c>
      <c r="E158" s="83">
        <f t="shared" si="0"/>
        <v>0</v>
      </c>
      <c r="F158" s="86">
        <f>IF(Crédits!$K$5="",0,MAX(0,MIN(E158,Plan!$L$160-(IF(Crédits!$K$6="",0,IF(Crédits!$K$6&lt;Crédits!$K$5,M158,0))+IF(Crédits!$K$7="",0,IF(Crédits!$K$7&lt;Crédits!$K$5,U158,0))+IF(Crédits!$K$8="",0,IF(Crédits!$K$8&lt;Crédits!$K$5,AC158,0))+IF(Crédits!$K$9="",0,IF(Crédits!$K$9&lt;Crédits!$K$5,AK158,0))+IF(Crédits!$K$10="",0,IF(Crédits!$K$10&lt;Crédits!$K$5,AS158,0))))))</f>
        <v>0</v>
      </c>
      <c r="G158" s="87">
        <f t="shared" si="1"/>
        <v>0</v>
      </c>
      <c r="H158" s="88">
        <f>ROUND(H157+I158-MIN(N(Crédits!$E$5),H157+I158),2)</f>
        <v>0</v>
      </c>
      <c r="I158" s="89">
        <f>H157*N(Crédits!$D$5)/12</f>
        <v>0</v>
      </c>
      <c r="J158" s="90">
        <f t="shared" si="17"/>
        <v>0</v>
      </c>
      <c r="K158" s="90">
        <f>J158*N(Crédits!$D$6)/12</f>
        <v>0</v>
      </c>
      <c r="L158" s="90">
        <f>MIN(N(Crédits!$E$6),J158+K158)</f>
        <v>0</v>
      </c>
      <c r="M158" s="90">
        <f t="shared" si="2"/>
        <v>0</v>
      </c>
      <c r="N158" s="91">
        <f>IF(Crédits!$K$6="",0,MAX(0,MIN(M158,Plan!$L$160-(IF(Crédits!$K$5="",0,IF(Crédits!$K$5&lt;Crédits!$K$6,E158,0))+IF(Crédits!$K$7="",0,IF(Crédits!$K$7&lt;Crédits!$K$6,U158,0))+IF(Crédits!$K$8="",0,IF(Crédits!$K$8&lt;Crédits!$K$6,AC158,0))+IF(Crédits!$K$9="",0,IF(Crédits!$K$9&lt;Crédits!$K$6,AK158,0))+IF(Crédits!$K$10="",0,IF(Crédits!$K$10&lt;Crédits!$K$6,AS158,0))))))</f>
        <v>0</v>
      </c>
      <c r="O158" s="92">
        <f t="shared" si="3"/>
        <v>0</v>
      </c>
      <c r="P158" s="88">
        <f>ROUND(P157+Q158-MIN(N(Crédits!$E$6),P157+Q158),2)</f>
        <v>0</v>
      </c>
      <c r="Q158" s="89">
        <f>P157*N(Crédits!$D$6)/12</f>
        <v>0</v>
      </c>
      <c r="R158" s="93">
        <f t="shared" si="18"/>
        <v>0</v>
      </c>
      <c r="S158" s="93">
        <f>R158*N(Crédits!$D$7)/12</f>
        <v>0</v>
      </c>
      <c r="T158" s="93">
        <f>MIN(N(Crédits!$E$7),R158+S158)</f>
        <v>0</v>
      </c>
      <c r="U158" s="93">
        <f t="shared" si="4"/>
        <v>0</v>
      </c>
      <c r="V158" s="94">
        <f>IF(Crédits!$K$7="",0,MAX(0,MIN(U158,Plan!$L$160-(IF(Crédits!$K$5="",0,IF(Crédits!$K$5&lt;Crédits!$K$7,E158,0))+IF(Crédits!$K$6="",0,IF(Crédits!$K$6&lt;Crédits!$K$7,M158,0))+IF(Crédits!$K$8="",0,IF(Crédits!$K$8&lt;Crédits!$K$7,AC158,0))+IF(Crédits!$K$9="",0,IF(Crédits!$K$9&lt;Crédits!$K$7,AK158,0))+IF(Crédits!$K$10="",0,IF(Crédits!$K$10&lt;Crédits!$K$7,AS158,0))))))</f>
        <v>0</v>
      </c>
      <c r="W158" s="95">
        <f t="shared" si="5"/>
        <v>0</v>
      </c>
      <c r="X158" s="88">
        <f>ROUND(X157+Y158-MIN(N(Crédits!$E$7),X157+Y158),2)</f>
        <v>0</v>
      </c>
      <c r="Y158" s="89">
        <f>X157*N(Crédits!$D$7)/12</f>
        <v>0</v>
      </c>
      <c r="Z158" s="96">
        <f t="shared" si="19"/>
        <v>0</v>
      </c>
      <c r="AA158" s="96">
        <f>Z158*N(Crédits!$D$8)/12</f>
        <v>0</v>
      </c>
      <c r="AB158" s="96">
        <f>MIN(N(Crédits!$E$8),Z158+AA158)</f>
        <v>0</v>
      </c>
      <c r="AC158" s="96">
        <f t="shared" si="6"/>
        <v>0</v>
      </c>
      <c r="AD158" s="97">
        <f>IF(Crédits!$K$8="",0,MAX(0,MIN(AC158,Plan!$L$160-(IF(Crédits!$K$5="",0,IF(Crédits!$K$5&lt;Crédits!$K$8,E158,0))+IF(Crédits!$K$6="",0,IF(Crédits!$K$6&lt;Crédits!$K$8,M158,0))+IF(Crédits!$K$7="",0,IF(Crédits!$K$7&lt;Crédits!$K$8,U158,0))+IF(Crédits!$K$9="",0,IF(Crédits!$K$9&lt;Crédits!$K$8,AK158,0))+IF(Crédits!$K$10="",0,IF(Crédits!$K$10&lt;Crédits!$K$8,AS158,0))))))</f>
        <v>0</v>
      </c>
      <c r="AE158" s="98">
        <f t="shared" si="7"/>
        <v>0</v>
      </c>
      <c r="AF158" s="88">
        <f>ROUND(AF157+AG158-MIN(N(Crédits!$E$8),AF157+AG158),2)</f>
        <v>0</v>
      </c>
      <c r="AG158" s="89">
        <f>AF157*N(Crédits!$D$8)/12</f>
        <v>0</v>
      </c>
      <c r="AH158" s="99">
        <f t="shared" si="20"/>
        <v>0</v>
      </c>
      <c r="AI158" s="99">
        <f>AH158*N(Crédits!$D$9)/12</f>
        <v>0</v>
      </c>
      <c r="AJ158" s="99">
        <f>MIN(N(Crédits!$E$9),AH158+AI158)</f>
        <v>0</v>
      </c>
      <c r="AK158" s="99">
        <f t="shared" si="8"/>
        <v>0</v>
      </c>
      <c r="AL158" s="100">
        <f>IF(Crédits!$K$9="",0,MAX(0,MIN(AK158,Plan!$L$160-(IF(Crédits!$K$5="",0,IF(Crédits!$K$5&lt;Crédits!$K$9,E158,0))+IF(Crédits!$K$6="",0,IF(Crédits!$K$6&lt;Crédits!$K$9,M158,0))+IF(Crédits!$K$7="",0,IF(Crédits!$K$7&lt;Crédits!$K$9,U158,0))+IF(Crédits!$K$8="",0,IF(Crédits!$K$8&lt;Crédits!$K$9,AC158,0))+IF(Crédits!$K$10="",0,IF(Crédits!$K$10&lt;Crédits!$K$9,AS158,0))))))</f>
        <v>0</v>
      </c>
      <c r="AM158" s="101">
        <f t="shared" si="9"/>
        <v>0</v>
      </c>
      <c r="AN158" s="88">
        <f>ROUND(AN157+AO158-MIN(N(Crédits!$E$9),AN157+AO158),2)</f>
        <v>0</v>
      </c>
      <c r="AO158" s="89">
        <f>AN157*N(Crédits!$D$9)/12</f>
        <v>0</v>
      </c>
      <c r="AP158" s="102">
        <f t="shared" si="21"/>
        <v>0</v>
      </c>
      <c r="AQ158" s="102">
        <f>AP158*N(Crédits!$D$10)/12</f>
        <v>0</v>
      </c>
      <c r="AR158" s="102">
        <f>MIN(N(Crédits!$E$10),AP158+AQ158)</f>
        <v>0</v>
      </c>
      <c r="AS158" s="102">
        <f t="shared" si="10"/>
        <v>0</v>
      </c>
      <c r="AT158" s="103">
        <f>IF(Crédits!$K$10="",0,MAX(0,MIN(AS158,Plan!$L$160-(IF(Crédits!$K$5="",0,IF(Crédits!$K$5&lt;Crédits!$K$10,E158,0))+IF(Crédits!$K$6="",0,IF(Crédits!$K$6&lt;Crédits!$K$10,M158,0))+IF(Crédits!$K$7="",0,IF(Crédits!$K$7&lt;Crédits!$K$10,U158,0))+IF(Crédits!$K$8="",0,IF(Crédits!$K$8&lt;Crédits!$K$10,AC158,0))+IF(Crédits!$K$9="",0,IF(Crédits!$K$9&lt;Crédits!$K$10,AK158,0))))))</f>
        <v>0</v>
      </c>
      <c r="AU158" s="104">
        <f t="shared" si="11"/>
        <v>0</v>
      </c>
      <c r="AV158" s="88">
        <f>ROUND(AV157+AW158-MIN(N(Crédits!$E$10),AV157+AW158),2)</f>
        <v>0</v>
      </c>
      <c r="AW158" s="89">
        <f>AV157*N(Crédits!$D$10)/12</f>
        <v>0</v>
      </c>
      <c r="AX158" s="105">
        <f t="shared" si="12"/>
        <v>0</v>
      </c>
      <c r="AY158" s="105">
        <f t="shared" ref="AY158:AZ158" si="176">F158+N158+V158+AD158+AL158+AT158</f>
        <v>0</v>
      </c>
      <c r="AZ158" s="105">
        <f t="shared" si="176"/>
        <v>0</v>
      </c>
      <c r="BA158" s="105">
        <f t="shared" si="14"/>
        <v>0</v>
      </c>
      <c r="BB158" s="105">
        <f t="shared" si="15"/>
        <v>0</v>
      </c>
    </row>
    <row r="159" spans="1:54" ht="15" customHeight="1" x14ac:dyDescent="0.25">
      <c r="A159" s="2">
        <v>157</v>
      </c>
      <c r="B159" s="83">
        <f t="shared" si="16"/>
        <v>0</v>
      </c>
      <c r="C159" s="83">
        <f>B159*N(Crédits!$D$5)/12</f>
        <v>0</v>
      </c>
      <c r="D159" s="83">
        <f>MIN(N(Crédits!$E$5),B159+C159)</f>
        <v>0</v>
      </c>
      <c r="E159" s="83">
        <f t="shared" si="0"/>
        <v>0</v>
      </c>
      <c r="F159" s="86">
        <f>IF(Crédits!$K$5="",0,MAX(0,MIN(E159,Plan!$L$161-(IF(Crédits!$K$6="",0,IF(Crédits!$K$6&lt;Crédits!$K$5,M159,0))+IF(Crédits!$K$7="",0,IF(Crédits!$K$7&lt;Crédits!$K$5,U159,0))+IF(Crédits!$K$8="",0,IF(Crédits!$K$8&lt;Crédits!$K$5,AC159,0))+IF(Crédits!$K$9="",0,IF(Crédits!$K$9&lt;Crédits!$K$5,AK159,0))+IF(Crédits!$K$10="",0,IF(Crédits!$K$10&lt;Crédits!$K$5,AS159,0))))))</f>
        <v>0</v>
      </c>
      <c r="G159" s="87">
        <f t="shared" si="1"/>
        <v>0</v>
      </c>
      <c r="H159" s="88">
        <f>ROUND(H158+I159-MIN(N(Crédits!$E$5),H158+I159),2)</f>
        <v>0</v>
      </c>
      <c r="I159" s="89">
        <f>H158*N(Crédits!$D$5)/12</f>
        <v>0</v>
      </c>
      <c r="J159" s="90">
        <f t="shared" si="17"/>
        <v>0</v>
      </c>
      <c r="K159" s="90">
        <f>J159*N(Crédits!$D$6)/12</f>
        <v>0</v>
      </c>
      <c r="L159" s="90">
        <f>MIN(N(Crédits!$E$6),J159+K159)</f>
        <v>0</v>
      </c>
      <c r="M159" s="90">
        <f t="shared" si="2"/>
        <v>0</v>
      </c>
      <c r="N159" s="91">
        <f>IF(Crédits!$K$6="",0,MAX(0,MIN(M159,Plan!$L$161-(IF(Crédits!$K$5="",0,IF(Crédits!$K$5&lt;Crédits!$K$6,E159,0))+IF(Crédits!$K$7="",0,IF(Crédits!$K$7&lt;Crédits!$K$6,U159,0))+IF(Crédits!$K$8="",0,IF(Crédits!$K$8&lt;Crédits!$K$6,AC159,0))+IF(Crédits!$K$9="",0,IF(Crédits!$K$9&lt;Crédits!$K$6,AK159,0))+IF(Crédits!$K$10="",0,IF(Crédits!$K$10&lt;Crédits!$K$6,AS159,0))))))</f>
        <v>0</v>
      </c>
      <c r="O159" s="92">
        <f t="shared" si="3"/>
        <v>0</v>
      </c>
      <c r="P159" s="88">
        <f>ROUND(P158+Q159-MIN(N(Crédits!$E$6),P158+Q159),2)</f>
        <v>0</v>
      </c>
      <c r="Q159" s="89">
        <f>P158*N(Crédits!$D$6)/12</f>
        <v>0</v>
      </c>
      <c r="R159" s="93">
        <f t="shared" si="18"/>
        <v>0</v>
      </c>
      <c r="S159" s="93">
        <f>R159*N(Crédits!$D$7)/12</f>
        <v>0</v>
      </c>
      <c r="T159" s="93">
        <f>MIN(N(Crédits!$E$7),R159+S159)</f>
        <v>0</v>
      </c>
      <c r="U159" s="93">
        <f t="shared" si="4"/>
        <v>0</v>
      </c>
      <c r="V159" s="94">
        <f>IF(Crédits!$K$7="",0,MAX(0,MIN(U159,Plan!$L$161-(IF(Crédits!$K$5="",0,IF(Crédits!$K$5&lt;Crédits!$K$7,E159,0))+IF(Crédits!$K$6="",0,IF(Crédits!$K$6&lt;Crédits!$K$7,M159,0))+IF(Crédits!$K$8="",0,IF(Crédits!$K$8&lt;Crédits!$K$7,AC159,0))+IF(Crédits!$K$9="",0,IF(Crédits!$K$9&lt;Crédits!$K$7,AK159,0))+IF(Crédits!$K$10="",0,IF(Crédits!$K$10&lt;Crédits!$K$7,AS159,0))))))</f>
        <v>0</v>
      </c>
      <c r="W159" s="95">
        <f t="shared" si="5"/>
        <v>0</v>
      </c>
      <c r="X159" s="88">
        <f>ROUND(X158+Y159-MIN(N(Crédits!$E$7),X158+Y159),2)</f>
        <v>0</v>
      </c>
      <c r="Y159" s="89">
        <f>X158*N(Crédits!$D$7)/12</f>
        <v>0</v>
      </c>
      <c r="Z159" s="96">
        <f t="shared" si="19"/>
        <v>0</v>
      </c>
      <c r="AA159" s="96">
        <f>Z159*N(Crédits!$D$8)/12</f>
        <v>0</v>
      </c>
      <c r="AB159" s="96">
        <f>MIN(N(Crédits!$E$8),Z159+AA159)</f>
        <v>0</v>
      </c>
      <c r="AC159" s="96">
        <f t="shared" si="6"/>
        <v>0</v>
      </c>
      <c r="AD159" s="97">
        <f>IF(Crédits!$K$8="",0,MAX(0,MIN(AC159,Plan!$L$161-(IF(Crédits!$K$5="",0,IF(Crédits!$K$5&lt;Crédits!$K$8,E159,0))+IF(Crédits!$K$6="",0,IF(Crédits!$K$6&lt;Crédits!$K$8,M159,0))+IF(Crédits!$K$7="",0,IF(Crédits!$K$7&lt;Crédits!$K$8,U159,0))+IF(Crédits!$K$9="",0,IF(Crédits!$K$9&lt;Crédits!$K$8,AK159,0))+IF(Crédits!$K$10="",0,IF(Crédits!$K$10&lt;Crédits!$K$8,AS159,0))))))</f>
        <v>0</v>
      </c>
      <c r="AE159" s="98">
        <f t="shared" si="7"/>
        <v>0</v>
      </c>
      <c r="AF159" s="88">
        <f>ROUND(AF158+AG159-MIN(N(Crédits!$E$8),AF158+AG159),2)</f>
        <v>0</v>
      </c>
      <c r="AG159" s="89">
        <f>AF158*N(Crédits!$D$8)/12</f>
        <v>0</v>
      </c>
      <c r="AH159" s="99">
        <f t="shared" si="20"/>
        <v>0</v>
      </c>
      <c r="AI159" s="99">
        <f>AH159*N(Crédits!$D$9)/12</f>
        <v>0</v>
      </c>
      <c r="AJ159" s="99">
        <f>MIN(N(Crédits!$E$9),AH159+AI159)</f>
        <v>0</v>
      </c>
      <c r="AK159" s="99">
        <f t="shared" si="8"/>
        <v>0</v>
      </c>
      <c r="AL159" s="100">
        <f>IF(Crédits!$K$9="",0,MAX(0,MIN(AK159,Plan!$L$161-(IF(Crédits!$K$5="",0,IF(Crédits!$K$5&lt;Crédits!$K$9,E159,0))+IF(Crédits!$K$6="",0,IF(Crédits!$K$6&lt;Crédits!$K$9,M159,0))+IF(Crédits!$K$7="",0,IF(Crédits!$K$7&lt;Crédits!$K$9,U159,0))+IF(Crédits!$K$8="",0,IF(Crédits!$K$8&lt;Crédits!$K$9,AC159,0))+IF(Crédits!$K$10="",0,IF(Crédits!$K$10&lt;Crédits!$K$9,AS159,0))))))</f>
        <v>0</v>
      </c>
      <c r="AM159" s="101">
        <f t="shared" si="9"/>
        <v>0</v>
      </c>
      <c r="AN159" s="88">
        <f>ROUND(AN158+AO159-MIN(N(Crédits!$E$9),AN158+AO159),2)</f>
        <v>0</v>
      </c>
      <c r="AO159" s="89">
        <f>AN158*N(Crédits!$D$9)/12</f>
        <v>0</v>
      </c>
      <c r="AP159" s="102">
        <f t="shared" si="21"/>
        <v>0</v>
      </c>
      <c r="AQ159" s="102">
        <f>AP159*N(Crédits!$D$10)/12</f>
        <v>0</v>
      </c>
      <c r="AR159" s="102">
        <f>MIN(N(Crédits!$E$10),AP159+AQ159)</f>
        <v>0</v>
      </c>
      <c r="AS159" s="102">
        <f t="shared" si="10"/>
        <v>0</v>
      </c>
      <c r="AT159" s="103">
        <f>IF(Crédits!$K$10="",0,MAX(0,MIN(AS159,Plan!$L$161-(IF(Crédits!$K$5="",0,IF(Crédits!$K$5&lt;Crédits!$K$10,E159,0))+IF(Crédits!$K$6="",0,IF(Crédits!$K$6&lt;Crédits!$K$10,M159,0))+IF(Crédits!$K$7="",0,IF(Crédits!$K$7&lt;Crédits!$K$10,U159,0))+IF(Crédits!$K$8="",0,IF(Crédits!$K$8&lt;Crédits!$K$10,AC159,0))+IF(Crédits!$K$9="",0,IF(Crédits!$K$9&lt;Crédits!$K$10,AK159,0))))))</f>
        <v>0</v>
      </c>
      <c r="AU159" s="104">
        <f t="shared" si="11"/>
        <v>0</v>
      </c>
      <c r="AV159" s="88">
        <f>ROUND(AV158+AW159-MIN(N(Crédits!$E$10),AV158+AW159),2)</f>
        <v>0</v>
      </c>
      <c r="AW159" s="89">
        <f>AV158*N(Crédits!$D$10)/12</f>
        <v>0</v>
      </c>
      <c r="AX159" s="105">
        <f t="shared" si="12"/>
        <v>0</v>
      </c>
      <c r="AY159" s="105">
        <f t="shared" ref="AY159:AZ159" si="177">F159+N159+V159+AD159+AL159+AT159</f>
        <v>0</v>
      </c>
      <c r="AZ159" s="105">
        <f t="shared" si="177"/>
        <v>0</v>
      </c>
      <c r="BA159" s="105">
        <f t="shared" si="14"/>
        <v>0</v>
      </c>
      <c r="BB159" s="105">
        <f t="shared" si="15"/>
        <v>0</v>
      </c>
    </row>
    <row r="160" spans="1:54" ht="15" customHeight="1" x14ac:dyDescent="0.25">
      <c r="A160" s="2">
        <v>158</v>
      </c>
      <c r="B160" s="83">
        <f t="shared" si="16"/>
        <v>0</v>
      </c>
      <c r="C160" s="83">
        <f>B160*N(Crédits!$D$5)/12</f>
        <v>0</v>
      </c>
      <c r="D160" s="83">
        <f>MIN(N(Crédits!$E$5),B160+C160)</f>
        <v>0</v>
      </c>
      <c r="E160" s="83">
        <f t="shared" si="0"/>
        <v>0</v>
      </c>
      <c r="F160" s="86">
        <f>IF(Crédits!$K$5="",0,MAX(0,MIN(E160,Plan!$L$162-(IF(Crédits!$K$6="",0,IF(Crédits!$K$6&lt;Crédits!$K$5,M160,0))+IF(Crédits!$K$7="",0,IF(Crédits!$K$7&lt;Crédits!$K$5,U160,0))+IF(Crédits!$K$8="",0,IF(Crédits!$K$8&lt;Crédits!$K$5,AC160,0))+IF(Crédits!$K$9="",0,IF(Crédits!$K$9&lt;Crédits!$K$5,AK160,0))+IF(Crédits!$K$10="",0,IF(Crédits!$K$10&lt;Crédits!$K$5,AS160,0))))))</f>
        <v>0</v>
      </c>
      <c r="G160" s="87">
        <f t="shared" si="1"/>
        <v>0</v>
      </c>
      <c r="H160" s="88">
        <f>ROUND(H159+I160-MIN(N(Crédits!$E$5),H159+I160),2)</f>
        <v>0</v>
      </c>
      <c r="I160" s="89">
        <f>H159*N(Crédits!$D$5)/12</f>
        <v>0</v>
      </c>
      <c r="J160" s="90">
        <f t="shared" si="17"/>
        <v>0</v>
      </c>
      <c r="K160" s="90">
        <f>J160*N(Crédits!$D$6)/12</f>
        <v>0</v>
      </c>
      <c r="L160" s="90">
        <f>MIN(N(Crédits!$E$6),J160+K160)</f>
        <v>0</v>
      </c>
      <c r="M160" s="90">
        <f t="shared" si="2"/>
        <v>0</v>
      </c>
      <c r="N160" s="91">
        <f>IF(Crédits!$K$6="",0,MAX(0,MIN(M160,Plan!$L$162-(IF(Crédits!$K$5="",0,IF(Crédits!$K$5&lt;Crédits!$K$6,E160,0))+IF(Crédits!$K$7="",0,IF(Crédits!$K$7&lt;Crédits!$K$6,U160,0))+IF(Crédits!$K$8="",0,IF(Crédits!$K$8&lt;Crédits!$K$6,AC160,0))+IF(Crédits!$K$9="",0,IF(Crédits!$K$9&lt;Crédits!$K$6,AK160,0))+IF(Crédits!$K$10="",0,IF(Crédits!$K$10&lt;Crédits!$K$6,AS160,0))))))</f>
        <v>0</v>
      </c>
      <c r="O160" s="92">
        <f t="shared" si="3"/>
        <v>0</v>
      </c>
      <c r="P160" s="88">
        <f>ROUND(P159+Q160-MIN(N(Crédits!$E$6),P159+Q160),2)</f>
        <v>0</v>
      </c>
      <c r="Q160" s="89">
        <f>P159*N(Crédits!$D$6)/12</f>
        <v>0</v>
      </c>
      <c r="R160" s="93">
        <f t="shared" si="18"/>
        <v>0</v>
      </c>
      <c r="S160" s="93">
        <f>R160*N(Crédits!$D$7)/12</f>
        <v>0</v>
      </c>
      <c r="T160" s="93">
        <f>MIN(N(Crédits!$E$7),R160+S160)</f>
        <v>0</v>
      </c>
      <c r="U160" s="93">
        <f t="shared" si="4"/>
        <v>0</v>
      </c>
      <c r="V160" s="94">
        <f>IF(Crédits!$K$7="",0,MAX(0,MIN(U160,Plan!$L$162-(IF(Crédits!$K$5="",0,IF(Crédits!$K$5&lt;Crédits!$K$7,E160,0))+IF(Crédits!$K$6="",0,IF(Crédits!$K$6&lt;Crédits!$K$7,M160,0))+IF(Crédits!$K$8="",0,IF(Crédits!$K$8&lt;Crédits!$K$7,AC160,0))+IF(Crédits!$K$9="",0,IF(Crédits!$K$9&lt;Crédits!$K$7,AK160,0))+IF(Crédits!$K$10="",0,IF(Crédits!$K$10&lt;Crédits!$K$7,AS160,0))))))</f>
        <v>0</v>
      </c>
      <c r="W160" s="95">
        <f t="shared" si="5"/>
        <v>0</v>
      </c>
      <c r="X160" s="88">
        <f>ROUND(X159+Y160-MIN(N(Crédits!$E$7),X159+Y160),2)</f>
        <v>0</v>
      </c>
      <c r="Y160" s="89">
        <f>X159*N(Crédits!$D$7)/12</f>
        <v>0</v>
      </c>
      <c r="Z160" s="96">
        <f t="shared" si="19"/>
        <v>0</v>
      </c>
      <c r="AA160" s="96">
        <f>Z160*N(Crédits!$D$8)/12</f>
        <v>0</v>
      </c>
      <c r="AB160" s="96">
        <f>MIN(N(Crédits!$E$8),Z160+AA160)</f>
        <v>0</v>
      </c>
      <c r="AC160" s="96">
        <f t="shared" si="6"/>
        <v>0</v>
      </c>
      <c r="AD160" s="97">
        <f>IF(Crédits!$K$8="",0,MAX(0,MIN(AC160,Plan!$L$162-(IF(Crédits!$K$5="",0,IF(Crédits!$K$5&lt;Crédits!$K$8,E160,0))+IF(Crédits!$K$6="",0,IF(Crédits!$K$6&lt;Crédits!$K$8,M160,0))+IF(Crédits!$K$7="",0,IF(Crédits!$K$7&lt;Crédits!$K$8,U160,0))+IF(Crédits!$K$9="",0,IF(Crédits!$K$9&lt;Crédits!$K$8,AK160,0))+IF(Crédits!$K$10="",0,IF(Crédits!$K$10&lt;Crédits!$K$8,AS160,0))))))</f>
        <v>0</v>
      </c>
      <c r="AE160" s="98">
        <f t="shared" si="7"/>
        <v>0</v>
      </c>
      <c r="AF160" s="88">
        <f>ROUND(AF159+AG160-MIN(N(Crédits!$E$8),AF159+AG160),2)</f>
        <v>0</v>
      </c>
      <c r="AG160" s="89">
        <f>AF159*N(Crédits!$D$8)/12</f>
        <v>0</v>
      </c>
      <c r="AH160" s="99">
        <f t="shared" si="20"/>
        <v>0</v>
      </c>
      <c r="AI160" s="99">
        <f>AH160*N(Crédits!$D$9)/12</f>
        <v>0</v>
      </c>
      <c r="AJ160" s="99">
        <f>MIN(N(Crédits!$E$9),AH160+AI160)</f>
        <v>0</v>
      </c>
      <c r="AK160" s="99">
        <f t="shared" si="8"/>
        <v>0</v>
      </c>
      <c r="AL160" s="100">
        <f>IF(Crédits!$K$9="",0,MAX(0,MIN(AK160,Plan!$L$162-(IF(Crédits!$K$5="",0,IF(Crédits!$K$5&lt;Crédits!$K$9,E160,0))+IF(Crédits!$K$6="",0,IF(Crédits!$K$6&lt;Crédits!$K$9,M160,0))+IF(Crédits!$K$7="",0,IF(Crédits!$K$7&lt;Crédits!$K$9,U160,0))+IF(Crédits!$K$8="",0,IF(Crédits!$K$8&lt;Crédits!$K$9,AC160,0))+IF(Crédits!$K$10="",0,IF(Crédits!$K$10&lt;Crédits!$K$9,AS160,0))))))</f>
        <v>0</v>
      </c>
      <c r="AM160" s="101">
        <f t="shared" si="9"/>
        <v>0</v>
      </c>
      <c r="AN160" s="88">
        <f>ROUND(AN159+AO160-MIN(N(Crédits!$E$9),AN159+AO160),2)</f>
        <v>0</v>
      </c>
      <c r="AO160" s="89">
        <f>AN159*N(Crédits!$D$9)/12</f>
        <v>0</v>
      </c>
      <c r="AP160" s="102">
        <f t="shared" si="21"/>
        <v>0</v>
      </c>
      <c r="AQ160" s="102">
        <f>AP160*N(Crédits!$D$10)/12</f>
        <v>0</v>
      </c>
      <c r="AR160" s="102">
        <f>MIN(N(Crédits!$E$10),AP160+AQ160)</f>
        <v>0</v>
      </c>
      <c r="AS160" s="102">
        <f t="shared" si="10"/>
        <v>0</v>
      </c>
      <c r="AT160" s="103">
        <f>IF(Crédits!$K$10="",0,MAX(0,MIN(AS160,Plan!$L$162-(IF(Crédits!$K$5="",0,IF(Crédits!$K$5&lt;Crédits!$K$10,E160,0))+IF(Crédits!$K$6="",0,IF(Crédits!$K$6&lt;Crédits!$K$10,M160,0))+IF(Crédits!$K$7="",0,IF(Crédits!$K$7&lt;Crédits!$K$10,U160,0))+IF(Crédits!$K$8="",0,IF(Crédits!$K$8&lt;Crédits!$K$10,AC160,0))+IF(Crédits!$K$9="",0,IF(Crédits!$K$9&lt;Crédits!$K$10,AK160,0))))))</f>
        <v>0</v>
      </c>
      <c r="AU160" s="104">
        <f t="shared" si="11"/>
        <v>0</v>
      </c>
      <c r="AV160" s="88">
        <f>ROUND(AV159+AW160-MIN(N(Crédits!$E$10),AV159+AW160),2)</f>
        <v>0</v>
      </c>
      <c r="AW160" s="89">
        <f>AV159*N(Crédits!$D$10)/12</f>
        <v>0</v>
      </c>
      <c r="AX160" s="105">
        <f t="shared" si="12"/>
        <v>0</v>
      </c>
      <c r="AY160" s="105">
        <f t="shared" ref="AY160:AZ160" si="178">F160+N160+V160+AD160+AL160+AT160</f>
        <v>0</v>
      </c>
      <c r="AZ160" s="105">
        <f t="shared" si="178"/>
        <v>0</v>
      </c>
      <c r="BA160" s="105">
        <f t="shared" si="14"/>
        <v>0</v>
      </c>
      <c r="BB160" s="105">
        <f t="shared" si="15"/>
        <v>0</v>
      </c>
    </row>
    <row r="161" spans="1:54" ht="15" customHeight="1" x14ac:dyDescent="0.25">
      <c r="A161" s="2">
        <v>159</v>
      </c>
      <c r="B161" s="83">
        <f t="shared" si="16"/>
        <v>0</v>
      </c>
      <c r="C161" s="83">
        <f>B161*N(Crédits!$D$5)/12</f>
        <v>0</v>
      </c>
      <c r="D161" s="83">
        <f>MIN(N(Crédits!$E$5),B161+C161)</f>
        <v>0</v>
      </c>
      <c r="E161" s="83">
        <f t="shared" si="0"/>
        <v>0</v>
      </c>
      <c r="F161" s="86">
        <f>IF(Crédits!$K$5="",0,MAX(0,MIN(E161,Plan!$L$163-(IF(Crédits!$K$6="",0,IF(Crédits!$K$6&lt;Crédits!$K$5,M161,0))+IF(Crédits!$K$7="",0,IF(Crédits!$K$7&lt;Crédits!$K$5,U161,0))+IF(Crédits!$K$8="",0,IF(Crédits!$K$8&lt;Crédits!$K$5,AC161,0))+IF(Crédits!$K$9="",0,IF(Crédits!$K$9&lt;Crédits!$K$5,AK161,0))+IF(Crédits!$K$10="",0,IF(Crédits!$K$10&lt;Crédits!$K$5,AS161,0))))))</f>
        <v>0</v>
      </c>
      <c r="G161" s="87">
        <f t="shared" si="1"/>
        <v>0</v>
      </c>
      <c r="H161" s="88">
        <f>ROUND(H160+I161-MIN(N(Crédits!$E$5),H160+I161),2)</f>
        <v>0</v>
      </c>
      <c r="I161" s="89">
        <f>H160*N(Crédits!$D$5)/12</f>
        <v>0</v>
      </c>
      <c r="J161" s="90">
        <f t="shared" si="17"/>
        <v>0</v>
      </c>
      <c r="K161" s="90">
        <f>J161*N(Crédits!$D$6)/12</f>
        <v>0</v>
      </c>
      <c r="L161" s="90">
        <f>MIN(N(Crédits!$E$6),J161+K161)</f>
        <v>0</v>
      </c>
      <c r="M161" s="90">
        <f t="shared" si="2"/>
        <v>0</v>
      </c>
      <c r="N161" s="91">
        <f>IF(Crédits!$K$6="",0,MAX(0,MIN(M161,Plan!$L$163-(IF(Crédits!$K$5="",0,IF(Crédits!$K$5&lt;Crédits!$K$6,E161,0))+IF(Crédits!$K$7="",0,IF(Crédits!$K$7&lt;Crédits!$K$6,U161,0))+IF(Crédits!$K$8="",0,IF(Crédits!$K$8&lt;Crédits!$K$6,AC161,0))+IF(Crédits!$K$9="",0,IF(Crédits!$K$9&lt;Crédits!$K$6,AK161,0))+IF(Crédits!$K$10="",0,IF(Crédits!$K$10&lt;Crédits!$K$6,AS161,0))))))</f>
        <v>0</v>
      </c>
      <c r="O161" s="92">
        <f t="shared" si="3"/>
        <v>0</v>
      </c>
      <c r="P161" s="88">
        <f>ROUND(P160+Q161-MIN(N(Crédits!$E$6),P160+Q161),2)</f>
        <v>0</v>
      </c>
      <c r="Q161" s="89">
        <f>P160*N(Crédits!$D$6)/12</f>
        <v>0</v>
      </c>
      <c r="R161" s="93">
        <f t="shared" si="18"/>
        <v>0</v>
      </c>
      <c r="S161" s="93">
        <f>R161*N(Crédits!$D$7)/12</f>
        <v>0</v>
      </c>
      <c r="T161" s="93">
        <f>MIN(N(Crédits!$E$7),R161+S161)</f>
        <v>0</v>
      </c>
      <c r="U161" s="93">
        <f t="shared" si="4"/>
        <v>0</v>
      </c>
      <c r="V161" s="94">
        <f>IF(Crédits!$K$7="",0,MAX(0,MIN(U161,Plan!$L$163-(IF(Crédits!$K$5="",0,IF(Crédits!$K$5&lt;Crédits!$K$7,E161,0))+IF(Crédits!$K$6="",0,IF(Crédits!$K$6&lt;Crédits!$K$7,M161,0))+IF(Crédits!$K$8="",0,IF(Crédits!$K$8&lt;Crédits!$K$7,AC161,0))+IF(Crédits!$K$9="",0,IF(Crédits!$K$9&lt;Crédits!$K$7,AK161,0))+IF(Crédits!$K$10="",0,IF(Crédits!$K$10&lt;Crédits!$K$7,AS161,0))))))</f>
        <v>0</v>
      </c>
      <c r="W161" s="95">
        <f t="shared" si="5"/>
        <v>0</v>
      </c>
      <c r="X161" s="88">
        <f>ROUND(X160+Y161-MIN(N(Crédits!$E$7),X160+Y161),2)</f>
        <v>0</v>
      </c>
      <c r="Y161" s="89">
        <f>X160*N(Crédits!$D$7)/12</f>
        <v>0</v>
      </c>
      <c r="Z161" s="96">
        <f t="shared" si="19"/>
        <v>0</v>
      </c>
      <c r="AA161" s="96">
        <f>Z161*N(Crédits!$D$8)/12</f>
        <v>0</v>
      </c>
      <c r="AB161" s="96">
        <f>MIN(N(Crédits!$E$8),Z161+AA161)</f>
        <v>0</v>
      </c>
      <c r="AC161" s="96">
        <f t="shared" si="6"/>
        <v>0</v>
      </c>
      <c r="AD161" s="97">
        <f>IF(Crédits!$K$8="",0,MAX(0,MIN(AC161,Plan!$L$163-(IF(Crédits!$K$5="",0,IF(Crédits!$K$5&lt;Crédits!$K$8,E161,0))+IF(Crédits!$K$6="",0,IF(Crédits!$K$6&lt;Crédits!$K$8,M161,0))+IF(Crédits!$K$7="",0,IF(Crédits!$K$7&lt;Crédits!$K$8,U161,0))+IF(Crédits!$K$9="",0,IF(Crédits!$K$9&lt;Crédits!$K$8,AK161,0))+IF(Crédits!$K$10="",0,IF(Crédits!$K$10&lt;Crédits!$K$8,AS161,0))))))</f>
        <v>0</v>
      </c>
      <c r="AE161" s="98">
        <f t="shared" si="7"/>
        <v>0</v>
      </c>
      <c r="AF161" s="88">
        <f>ROUND(AF160+AG161-MIN(N(Crédits!$E$8),AF160+AG161),2)</f>
        <v>0</v>
      </c>
      <c r="AG161" s="89">
        <f>AF160*N(Crédits!$D$8)/12</f>
        <v>0</v>
      </c>
      <c r="AH161" s="99">
        <f t="shared" si="20"/>
        <v>0</v>
      </c>
      <c r="AI161" s="99">
        <f>AH161*N(Crédits!$D$9)/12</f>
        <v>0</v>
      </c>
      <c r="AJ161" s="99">
        <f>MIN(N(Crédits!$E$9),AH161+AI161)</f>
        <v>0</v>
      </c>
      <c r="AK161" s="99">
        <f t="shared" si="8"/>
        <v>0</v>
      </c>
      <c r="AL161" s="100">
        <f>IF(Crédits!$K$9="",0,MAX(0,MIN(AK161,Plan!$L$163-(IF(Crédits!$K$5="",0,IF(Crédits!$K$5&lt;Crédits!$K$9,E161,0))+IF(Crédits!$K$6="",0,IF(Crédits!$K$6&lt;Crédits!$K$9,M161,0))+IF(Crédits!$K$7="",0,IF(Crédits!$K$7&lt;Crédits!$K$9,U161,0))+IF(Crédits!$K$8="",0,IF(Crédits!$K$8&lt;Crédits!$K$9,AC161,0))+IF(Crédits!$K$10="",0,IF(Crédits!$K$10&lt;Crédits!$K$9,AS161,0))))))</f>
        <v>0</v>
      </c>
      <c r="AM161" s="101">
        <f t="shared" si="9"/>
        <v>0</v>
      </c>
      <c r="AN161" s="88">
        <f>ROUND(AN160+AO161-MIN(N(Crédits!$E$9),AN160+AO161),2)</f>
        <v>0</v>
      </c>
      <c r="AO161" s="89">
        <f>AN160*N(Crédits!$D$9)/12</f>
        <v>0</v>
      </c>
      <c r="AP161" s="102">
        <f t="shared" si="21"/>
        <v>0</v>
      </c>
      <c r="AQ161" s="102">
        <f>AP161*N(Crédits!$D$10)/12</f>
        <v>0</v>
      </c>
      <c r="AR161" s="102">
        <f>MIN(N(Crédits!$E$10),AP161+AQ161)</f>
        <v>0</v>
      </c>
      <c r="AS161" s="102">
        <f t="shared" si="10"/>
        <v>0</v>
      </c>
      <c r="AT161" s="103">
        <f>IF(Crédits!$K$10="",0,MAX(0,MIN(AS161,Plan!$L$163-(IF(Crédits!$K$5="",0,IF(Crédits!$K$5&lt;Crédits!$K$10,E161,0))+IF(Crédits!$K$6="",0,IF(Crédits!$K$6&lt;Crédits!$K$10,M161,0))+IF(Crédits!$K$7="",0,IF(Crédits!$K$7&lt;Crédits!$K$10,U161,0))+IF(Crédits!$K$8="",0,IF(Crédits!$K$8&lt;Crédits!$K$10,AC161,0))+IF(Crédits!$K$9="",0,IF(Crédits!$K$9&lt;Crédits!$K$10,AK161,0))))))</f>
        <v>0</v>
      </c>
      <c r="AU161" s="104">
        <f t="shared" si="11"/>
        <v>0</v>
      </c>
      <c r="AV161" s="88">
        <f>ROUND(AV160+AW161-MIN(N(Crédits!$E$10),AV160+AW161),2)</f>
        <v>0</v>
      </c>
      <c r="AW161" s="89">
        <f>AV160*N(Crédits!$D$10)/12</f>
        <v>0</v>
      </c>
      <c r="AX161" s="105">
        <f t="shared" si="12"/>
        <v>0</v>
      </c>
      <c r="AY161" s="105">
        <f t="shared" ref="AY161:AZ161" si="179">F161+N161+V161+AD161+AL161+AT161</f>
        <v>0</v>
      </c>
      <c r="AZ161" s="105">
        <f t="shared" si="179"/>
        <v>0</v>
      </c>
      <c r="BA161" s="105">
        <f t="shared" si="14"/>
        <v>0</v>
      </c>
      <c r="BB161" s="105">
        <f t="shared" si="15"/>
        <v>0</v>
      </c>
    </row>
    <row r="162" spans="1:54" ht="15" customHeight="1" x14ac:dyDescent="0.25">
      <c r="A162" s="2">
        <v>160</v>
      </c>
      <c r="B162" s="83">
        <f t="shared" si="16"/>
        <v>0</v>
      </c>
      <c r="C162" s="83">
        <f>B162*N(Crédits!$D$5)/12</f>
        <v>0</v>
      </c>
      <c r="D162" s="83">
        <f>MIN(N(Crédits!$E$5),B162+C162)</f>
        <v>0</v>
      </c>
      <c r="E162" s="83">
        <f t="shared" si="0"/>
        <v>0</v>
      </c>
      <c r="F162" s="86">
        <f>IF(Crédits!$K$5="",0,MAX(0,MIN(E162,Plan!$L$164-(IF(Crédits!$K$6="",0,IF(Crédits!$K$6&lt;Crédits!$K$5,M162,0))+IF(Crédits!$K$7="",0,IF(Crédits!$K$7&lt;Crédits!$K$5,U162,0))+IF(Crédits!$K$8="",0,IF(Crédits!$K$8&lt;Crédits!$K$5,AC162,0))+IF(Crédits!$K$9="",0,IF(Crédits!$K$9&lt;Crédits!$K$5,AK162,0))+IF(Crédits!$K$10="",0,IF(Crédits!$K$10&lt;Crédits!$K$5,AS162,0))))))</f>
        <v>0</v>
      </c>
      <c r="G162" s="87">
        <f t="shared" si="1"/>
        <v>0</v>
      </c>
      <c r="H162" s="88">
        <f>ROUND(H161+I162-MIN(N(Crédits!$E$5),H161+I162),2)</f>
        <v>0</v>
      </c>
      <c r="I162" s="89">
        <f>H161*N(Crédits!$D$5)/12</f>
        <v>0</v>
      </c>
      <c r="J162" s="90">
        <f t="shared" si="17"/>
        <v>0</v>
      </c>
      <c r="K162" s="90">
        <f>J162*N(Crédits!$D$6)/12</f>
        <v>0</v>
      </c>
      <c r="L162" s="90">
        <f>MIN(N(Crédits!$E$6),J162+K162)</f>
        <v>0</v>
      </c>
      <c r="M162" s="90">
        <f t="shared" si="2"/>
        <v>0</v>
      </c>
      <c r="N162" s="91">
        <f>IF(Crédits!$K$6="",0,MAX(0,MIN(M162,Plan!$L$164-(IF(Crédits!$K$5="",0,IF(Crédits!$K$5&lt;Crédits!$K$6,E162,0))+IF(Crédits!$K$7="",0,IF(Crédits!$K$7&lt;Crédits!$K$6,U162,0))+IF(Crédits!$K$8="",0,IF(Crédits!$K$8&lt;Crédits!$K$6,AC162,0))+IF(Crédits!$K$9="",0,IF(Crédits!$K$9&lt;Crédits!$K$6,AK162,0))+IF(Crédits!$K$10="",0,IF(Crédits!$K$10&lt;Crédits!$K$6,AS162,0))))))</f>
        <v>0</v>
      </c>
      <c r="O162" s="92">
        <f t="shared" si="3"/>
        <v>0</v>
      </c>
      <c r="P162" s="88">
        <f>ROUND(P161+Q162-MIN(N(Crédits!$E$6),P161+Q162),2)</f>
        <v>0</v>
      </c>
      <c r="Q162" s="89">
        <f>P161*N(Crédits!$D$6)/12</f>
        <v>0</v>
      </c>
      <c r="R162" s="93">
        <f t="shared" si="18"/>
        <v>0</v>
      </c>
      <c r="S162" s="93">
        <f>R162*N(Crédits!$D$7)/12</f>
        <v>0</v>
      </c>
      <c r="T162" s="93">
        <f>MIN(N(Crédits!$E$7),R162+S162)</f>
        <v>0</v>
      </c>
      <c r="U162" s="93">
        <f t="shared" si="4"/>
        <v>0</v>
      </c>
      <c r="V162" s="94">
        <f>IF(Crédits!$K$7="",0,MAX(0,MIN(U162,Plan!$L$164-(IF(Crédits!$K$5="",0,IF(Crédits!$K$5&lt;Crédits!$K$7,E162,0))+IF(Crédits!$K$6="",0,IF(Crédits!$K$6&lt;Crédits!$K$7,M162,0))+IF(Crédits!$K$8="",0,IF(Crédits!$K$8&lt;Crédits!$K$7,AC162,0))+IF(Crédits!$K$9="",0,IF(Crédits!$K$9&lt;Crédits!$K$7,AK162,0))+IF(Crédits!$K$10="",0,IF(Crédits!$K$10&lt;Crédits!$K$7,AS162,0))))))</f>
        <v>0</v>
      </c>
      <c r="W162" s="95">
        <f t="shared" si="5"/>
        <v>0</v>
      </c>
      <c r="X162" s="88">
        <f>ROUND(X161+Y162-MIN(N(Crédits!$E$7),X161+Y162),2)</f>
        <v>0</v>
      </c>
      <c r="Y162" s="89">
        <f>X161*N(Crédits!$D$7)/12</f>
        <v>0</v>
      </c>
      <c r="Z162" s="96">
        <f t="shared" si="19"/>
        <v>0</v>
      </c>
      <c r="AA162" s="96">
        <f>Z162*N(Crédits!$D$8)/12</f>
        <v>0</v>
      </c>
      <c r="AB162" s="96">
        <f>MIN(N(Crédits!$E$8),Z162+AA162)</f>
        <v>0</v>
      </c>
      <c r="AC162" s="96">
        <f t="shared" si="6"/>
        <v>0</v>
      </c>
      <c r="AD162" s="97">
        <f>IF(Crédits!$K$8="",0,MAX(0,MIN(AC162,Plan!$L$164-(IF(Crédits!$K$5="",0,IF(Crédits!$K$5&lt;Crédits!$K$8,E162,0))+IF(Crédits!$K$6="",0,IF(Crédits!$K$6&lt;Crédits!$K$8,M162,0))+IF(Crédits!$K$7="",0,IF(Crédits!$K$7&lt;Crédits!$K$8,U162,0))+IF(Crédits!$K$9="",0,IF(Crédits!$K$9&lt;Crédits!$K$8,AK162,0))+IF(Crédits!$K$10="",0,IF(Crédits!$K$10&lt;Crédits!$K$8,AS162,0))))))</f>
        <v>0</v>
      </c>
      <c r="AE162" s="98">
        <f t="shared" si="7"/>
        <v>0</v>
      </c>
      <c r="AF162" s="88">
        <f>ROUND(AF161+AG162-MIN(N(Crédits!$E$8),AF161+AG162),2)</f>
        <v>0</v>
      </c>
      <c r="AG162" s="89">
        <f>AF161*N(Crédits!$D$8)/12</f>
        <v>0</v>
      </c>
      <c r="AH162" s="99">
        <f t="shared" si="20"/>
        <v>0</v>
      </c>
      <c r="AI162" s="99">
        <f>AH162*N(Crédits!$D$9)/12</f>
        <v>0</v>
      </c>
      <c r="AJ162" s="99">
        <f>MIN(N(Crédits!$E$9),AH162+AI162)</f>
        <v>0</v>
      </c>
      <c r="AK162" s="99">
        <f t="shared" si="8"/>
        <v>0</v>
      </c>
      <c r="AL162" s="100">
        <f>IF(Crédits!$K$9="",0,MAX(0,MIN(AK162,Plan!$L$164-(IF(Crédits!$K$5="",0,IF(Crédits!$K$5&lt;Crédits!$K$9,E162,0))+IF(Crédits!$K$6="",0,IF(Crédits!$K$6&lt;Crédits!$K$9,M162,0))+IF(Crédits!$K$7="",0,IF(Crédits!$K$7&lt;Crédits!$K$9,U162,0))+IF(Crédits!$K$8="",0,IF(Crédits!$K$8&lt;Crédits!$K$9,AC162,0))+IF(Crédits!$K$10="",0,IF(Crédits!$K$10&lt;Crédits!$K$9,AS162,0))))))</f>
        <v>0</v>
      </c>
      <c r="AM162" s="101">
        <f t="shared" si="9"/>
        <v>0</v>
      </c>
      <c r="AN162" s="88">
        <f>ROUND(AN161+AO162-MIN(N(Crédits!$E$9),AN161+AO162),2)</f>
        <v>0</v>
      </c>
      <c r="AO162" s="89">
        <f>AN161*N(Crédits!$D$9)/12</f>
        <v>0</v>
      </c>
      <c r="AP162" s="102">
        <f t="shared" si="21"/>
        <v>0</v>
      </c>
      <c r="AQ162" s="102">
        <f>AP162*N(Crédits!$D$10)/12</f>
        <v>0</v>
      </c>
      <c r="AR162" s="102">
        <f>MIN(N(Crédits!$E$10),AP162+AQ162)</f>
        <v>0</v>
      </c>
      <c r="AS162" s="102">
        <f t="shared" si="10"/>
        <v>0</v>
      </c>
      <c r="AT162" s="103">
        <f>IF(Crédits!$K$10="",0,MAX(0,MIN(AS162,Plan!$L$164-(IF(Crédits!$K$5="",0,IF(Crédits!$K$5&lt;Crédits!$K$10,E162,0))+IF(Crédits!$K$6="",0,IF(Crédits!$K$6&lt;Crédits!$K$10,M162,0))+IF(Crédits!$K$7="",0,IF(Crédits!$K$7&lt;Crédits!$K$10,U162,0))+IF(Crédits!$K$8="",0,IF(Crédits!$K$8&lt;Crédits!$K$10,AC162,0))+IF(Crédits!$K$9="",0,IF(Crédits!$K$9&lt;Crédits!$K$10,AK162,0))))))</f>
        <v>0</v>
      </c>
      <c r="AU162" s="104">
        <f t="shared" si="11"/>
        <v>0</v>
      </c>
      <c r="AV162" s="88">
        <f>ROUND(AV161+AW162-MIN(N(Crédits!$E$10),AV161+AW162),2)</f>
        <v>0</v>
      </c>
      <c r="AW162" s="89">
        <f>AV161*N(Crédits!$D$10)/12</f>
        <v>0</v>
      </c>
      <c r="AX162" s="105">
        <f t="shared" si="12"/>
        <v>0</v>
      </c>
      <c r="AY162" s="105">
        <f t="shared" ref="AY162:AZ162" si="180">F162+N162+V162+AD162+AL162+AT162</f>
        <v>0</v>
      </c>
      <c r="AZ162" s="105">
        <f t="shared" si="180"/>
        <v>0</v>
      </c>
      <c r="BA162" s="105">
        <f t="shared" si="14"/>
        <v>0</v>
      </c>
      <c r="BB162" s="105">
        <f t="shared" si="15"/>
        <v>0</v>
      </c>
    </row>
    <row r="163" spans="1:54" ht="15" customHeight="1" x14ac:dyDescent="0.25">
      <c r="A163" s="2">
        <v>161</v>
      </c>
      <c r="B163" s="83">
        <f t="shared" si="16"/>
        <v>0</v>
      </c>
      <c r="C163" s="83">
        <f>B163*N(Crédits!$D$5)/12</f>
        <v>0</v>
      </c>
      <c r="D163" s="83">
        <f>MIN(N(Crédits!$E$5),B163+C163)</f>
        <v>0</v>
      </c>
      <c r="E163" s="83">
        <f t="shared" si="0"/>
        <v>0</v>
      </c>
      <c r="F163" s="86">
        <f>IF(Crédits!$K$5="",0,MAX(0,MIN(E163,Plan!$L$165-(IF(Crédits!$K$6="",0,IF(Crédits!$K$6&lt;Crédits!$K$5,M163,0))+IF(Crédits!$K$7="",0,IF(Crédits!$K$7&lt;Crédits!$K$5,U163,0))+IF(Crédits!$K$8="",0,IF(Crédits!$K$8&lt;Crédits!$K$5,AC163,0))+IF(Crédits!$K$9="",0,IF(Crédits!$K$9&lt;Crédits!$K$5,AK163,0))+IF(Crédits!$K$10="",0,IF(Crédits!$K$10&lt;Crédits!$K$5,AS163,0))))))</f>
        <v>0</v>
      </c>
      <c r="G163" s="87">
        <f t="shared" si="1"/>
        <v>0</v>
      </c>
      <c r="H163" s="88">
        <f>ROUND(H162+I163-MIN(N(Crédits!$E$5),H162+I163),2)</f>
        <v>0</v>
      </c>
      <c r="I163" s="89">
        <f>H162*N(Crédits!$D$5)/12</f>
        <v>0</v>
      </c>
      <c r="J163" s="90">
        <f t="shared" si="17"/>
        <v>0</v>
      </c>
      <c r="K163" s="90">
        <f>J163*N(Crédits!$D$6)/12</f>
        <v>0</v>
      </c>
      <c r="L163" s="90">
        <f>MIN(N(Crédits!$E$6),J163+K163)</f>
        <v>0</v>
      </c>
      <c r="M163" s="90">
        <f t="shared" si="2"/>
        <v>0</v>
      </c>
      <c r="N163" s="91">
        <f>IF(Crédits!$K$6="",0,MAX(0,MIN(M163,Plan!$L$165-(IF(Crédits!$K$5="",0,IF(Crédits!$K$5&lt;Crédits!$K$6,E163,0))+IF(Crédits!$K$7="",0,IF(Crédits!$K$7&lt;Crédits!$K$6,U163,0))+IF(Crédits!$K$8="",0,IF(Crédits!$K$8&lt;Crédits!$K$6,AC163,0))+IF(Crédits!$K$9="",0,IF(Crédits!$K$9&lt;Crédits!$K$6,AK163,0))+IF(Crédits!$K$10="",0,IF(Crédits!$K$10&lt;Crédits!$K$6,AS163,0))))))</f>
        <v>0</v>
      </c>
      <c r="O163" s="92">
        <f t="shared" si="3"/>
        <v>0</v>
      </c>
      <c r="P163" s="88">
        <f>ROUND(P162+Q163-MIN(N(Crédits!$E$6),P162+Q163),2)</f>
        <v>0</v>
      </c>
      <c r="Q163" s="89">
        <f>P162*N(Crédits!$D$6)/12</f>
        <v>0</v>
      </c>
      <c r="R163" s="93">
        <f t="shared" si="18"/>
        <v>0</v>
      </c>
      <c r="S163" s="93">
        <f>R163*N(Crédits!$D$7)/12</f>
        <v>0</v>
      </c>
      <c r="T163" s="93">
        <f>MIN(N(Crédits!$E$7),R163+S163)</f>
        <v>0</v>
      </c>
      <c r="U163" s="93">
        <f t="shared" si="4"/>
        <v>0</v>
      </c>
      <c r="V163" s="94">
        <f>IF(Crédits!$K$7="",0,MAX(0,MIN(U163,Plan!$L$165-(IF(Crédits!$K$5="",0,IF(Crédits!$K$5&lt;Crédits!$K$7,E163,0))+IF(Crédits!$K$6="",0,IF(Crédits!$K$6&lt;Crédits!$K$7,M163,0))+IF(Crédits!$K$8="",0,IF(Crédits!$K$8&lt;Crédits!$K$7,AC163,0))+IF(Crédits!$K$9="",0,IF(Crédits!$K$9&lt;Crédits!$K$7,AK163,0))+IF(Crédits!$K$10="",0,IF(Crédits!$K$10&lt;Crédits!$K$7,AS163,0))))))</f>
        <v>0</v>
      </c>
      <c r="W163" s="95">
        <f t="shared" si="5"/>
        <v>0</v>
      </c>
      <c r="X163" s="88">
        <f>ROUND(X162+Y163-MIN(N(Crédits!$E$7),X162+Y163),2)</f>
        <v>0</v>
      </c>
      <c r="Y163" s="89">
        <f>X162*N(Crédits!$D$7)/12</f>
        <v>0</v>
      </c>
      <c r="Z163" s="96">
        <f t="shared" si="19"/>
        <v>0</v>
      </c>
      <c r="AA163" s="96">
        <f>Z163*N(Crédits!$D$8)/12</f>
        <v>0</v>
      </c>
      <c r="AB163" s="96">
        <f>MIN(N(Crédits!$E$8),Z163+AA163)</f>
        <v>0</v>
      </c>
      <c r="AC163" s="96">
        <f t="shared" si="6"/>
        <v>0</v>
      </c>
      <c r="AD163" s="97">
        <f>IF(Crédits!$K$8="",0,MAX(0,MIN(AC163,Plan!$L$165-(IF(Crédits!$K$5="",0,IF(Crédits!$K$5&lt;Crédits!$K$8,E163,0))+IF(Crédits!$K$6="",0,IF(Crédits!$K$6&lt;Crédits!$K$8,M163,0))+IF(Crédits!$K$7="",0,IF(Crédits!$K$7&lt;Crédits!$K$8,U163,0))+IF(Crédits!$K$9="",0,IF(Crédits!$K$9&lt;Crédits!$K$8,AK163,0))+IF(Crédits!$K$10="",0,IF(Crédits!$K$10&lt;Crédits!$K$8,AS163,0))))))</f>
        <v>0</v>
      </c>
      <c r="AE163" s="98">
        <f t="shared" si="7"/>
        <v>0</v>
      </c>
      <c r="AF163" s="88">
        <f>ROUND(AF162+AG163-MIN(N(Crédits!$E$8),AF162+AG163),2)</f>
        <v>0</v>
      </c>
      <c r="AG163" s="89">
        <f>AF162*N(Crédits!$D$8)/12</f>
        <v>0</v>
      </c>
      <c r="AH163" s="99">
        <f t="shared" si="20"/>
        <v>0</v>
      </c>
      <c r="AI163" s="99">
        <f>AH163*N(Crédits!$D$9)/12</f>
        <v>0</v>
      </c>
      <c r="AJ163" s="99">
        <f>MIN(N(Crédits!$E$9),AH163+AI163)</f>
        <v>0</v>
      </c>
      <c r="AK163" s="99">
        <f t="shared" si="8"/>
        <v>0</v>
      </c>
      <c r="AL163" s="100">
        <f>IF(Crédits!$K$9="",0,MAX(0,MIN(AK163,Plan!$L$165-(IF(Crédits!$K$5="",0,IF(Crédits!$K$5&lt;Crédits!$K$9,E163,0))+IF(Crédits!$K$6="",0,IF(Crédits!$K$6&lt;Crédits!$K$9,M163,0))+IF(Crédits!$K$7="",0,IF(Crédits!$K$7&lt;Crédits!$K$9,U163,0))+IF(Crédits!$K$8="",0,IF(Crédits!$K$8&lt;Crédits!$K$9,AC163,0))+IF(Crédits!$K$10="",0,IF(Crédits!$K$10&lt;Crédits!$K$9,AS163,0))))))</f>
        <v>0</v>
      </c>
      <c r="AM163" s="101">
        <f t="shared" si="9"/>
        <v>0</v>
      </c>
      <c r="AN163" s="88">
        <f>ROUND(AN162+AO163-MIN(N(Crédits!$E$9),AN162+AO163),2)</f>
        <v>0</v>
      </c>
      <c r="AO163" s="89">
        <f>AN162*N(Crédits!$D$9)/12</f>
        <v>0</v>
      </c>
      <c r="AP163" s="102">
        <f t="shared" si="21"/>
        <v>0</v>
      </c>
      <c r="AQ163" s="102">
        <f>AP163*N(Crédits!$D$10)/12</f>
        <v>0</v>
      </c>
      <c r="AR163" s="102">
        <f>MIN(N(Crédits!$E$10),AP163+AQ163)</f>
        <v>0</v>
      </c>
      <c r="AS163" s="102">
        <f t="shared" si="10"/>
        <v>0</v>
      </c>
      <c r="AT163" s="103">
        <f>IF(Crédits!$K$10="",0,MAX(0,MIN(AS163,Plan!$L$165-(IF(Crédits!$K$5="",0,IF(Crédits!$K$5&lt;Crédits!$K$10,E163,0))+IF(Crédits!$K$6="",0,IF(Crédits!$K$6&lt;Crédits!$K$10,M163,0))+IF(Crédits!$K$7="",0,IF(Crédits!$K$7&lt;Crédits!$K$10,U163,0))+IF(Crédits!$K$8="",0,IF(Crédits!$K$8&lt;Crédits!$K$10,AC163,0))+IF(Crédits!$K$9="",0,IF(Crédits!$K$9&lt;Crédits!$K$10,AK163,0))))))</f>
        <v>0</v>
      </c>
      <c r="AU163" s="104">
        <f t="shared" si="11"/>
        <v>0</v>
      </c>
      <c r="AV163" s="88">
        <f>ROUND(AV162+AW163-MIN(N(Crédits!$E$10),AV162+AW163),2)</f>
        <v>0</v>
      </c>
      <c r="AW163" s="89">
        <f>AV162*N(Crédits!$D$10)/12</f>
        <v>0</v>
      </c>
      <c r="AX163" s="105">
        <f t="shared" si="12"/>
        <v>0</v>
      </c>
      <c r="AY163" s="105">
        <f t="shared" ref="AY163:AZ163" si="181">F163+N163+V163+AD163+AL163+AT163</f>
        <v>0</v>
      </c>
      <c r="AZ163" s="105">
        <f t="shared" si="181"/>
        <v>0</v>
      </c>
      <c r="BA163" s="105">
        <f t="shared" si="14"/>
        <v>0</v>
      </c>
      <c r="BB163" s="105">
        <f t="shared" si="15"/>
        <v>0</v>
      </c>
    </row>
    <row r="164" spans="1:54" ht="15" customHeight="1" x14ac:dyDescent="0.25">
      <c r="A164" s="2">
        <v>162</v>
      </c>
      <c r="B164" s="83">
        <f t="shared" si="16"/>
        <v>0</v>
      </c>
      <c r="C164" s="83">
        <f>B164*N(Crédits!$D$5)/12</f>
        <v>0</v>
      </c>
      <c r="D164" s="83">
        <f>MIN(N(Crédits!$E$5),B164+C164)</f>
        <v>0</v>
      </c>
      <c r="E164" s="83">
        <f t="shared" si="0"/>
        <v>0</v>
      </c>
      <c r="F164" s="86">
        <f>IF(Crédits!$K$5="",0,MAX(0,MIN(E164,Plan!$L$166-(IF(Crédits!$K$6="",0,IF(Crédits!$K$6&lt;Crédits!$K$5,M164,0))+IF(Crédits!$K$7="",0,IF(Crédits!$K$7&lt;Crédits!$K$5,U164,0))+IF(Crédits!$K$8="",0,IF(Crédits!$K$8&lt;Crédits!$K$5,AC164,0))+IF(Crédits!$K$9="",0,IF(Crédits!$K$9&lt;Crédits!$K$5,AK164,0))+IF(Crédits!$K$10="",0,IF(Crédits!$K$10&lt;Crédits!$K$5,AS164,0))))))</f>
        <v>0</v>
      </c>
      <c r="G164" s="87">
        <f t="shared" si="1"/>
        <v>0</v>
      </c>
      <c r="H164" s="88">
        <f>ROUND(H163+I164-MIN(N(Crédits!$E$5),H163+I164),2)</f>
        <v>0</v>
      </c>
      <c r="I164" s="89">
        <f>H163*N(Crédits!$D$5)/12</f>
        <v>0</v>
      </c>
      <c r="J164" s="90">
        <f t="shared" si="17"/>
        <v>0</v>
      </c>
      <c r="K164" s="90">
        <f>J164*N(Crédits!$D$6)/12</f>
        <v>0</v>
      </c>
      <c r="L164" s="90">
        <f>MIN(N(Crédits!$E$6),J164+K164)</f>
        <v>0</v>
      </c>
      <c r="M164" s="90">
        <f t="shared" si="2"/>
        <v>0</v>
      </c>
      <c r="N164" s="91">
        <f>IF(Crédits!$K$6="",0,MAX(0,MIN(M164,Plan!$L$166-(IF(Crédits!$K$5="",0,IF(Crédits!$K$5&lt;Crédits!$K$6,E164,0))+IF(Crédits!$K$7="",0,IF(Crédits!$K$7&lt;Crédits!$K$6,U164,0))+IF(Crédits!$K$8="",0,IF(Crédits!$K$8&lt;Crédits!$K$6,AC164,0))+IF(Crédits!$K$9="",0,IF(Crédits!$K$9&lt;Crédits!$K$6,AK164,0))+IF(Crédits!$K$10="",0,IF(Crédits!$K$10&lt;Crédits!$K$6,AS164,0))))))</f>
        <v>0</v>
      </c>
      <c r="O164" s="92">
        <f t="shared" si="3"/>
        <v>0</v>
      </c>
      <c r="P164" s="88">
        <f>ROUND(P163+Q164-MIN(N(Crédits!$E$6),P163+Q164),2)</f>
        <v>0</v>
      </c>
      <c r="Q164" s="89">
        <f>P163*N(Crédits!$D$6)/12</f>
        <v>0</v>
      </c>
      <c r="R164" s="93">
        <f t="shared" si="18"/>
        <v>0</v>
      </c>
      <c r="S164" s="93">
        <f>R164*N(Crédits!$D$7)/12</f>
        <v>0</v>
      </c>
      <c r="T164" s="93">
        <f>MIN(N(Crédits!$E$7),R164+S164)</f>
        <v>0</v>
      </c>
      <c r="U164" s="93">
        <f t="shared" si="4"/>
        <v>0</v>
      </c>
      <c r="V164" s="94">
        <f>IF(Crédits!$K$7="",0,MAX(0,MIN(U164,Plan!$L$166-(IF(Crédits!$K$5="",0,IF(Crédits!$K$5&lt;Crédits!$K$7,E164,0))+IF(Crédits!$K$6="",0,IF(Crédits!$K$6&lt;Crédits!$K$7,M164,0))+IF(Crédits!$K$8="",0,IF(Crédits!$K$8&lt;Crédits!$K$7,AC164,0))+IF(Crédits!$K$9="",0,IF(Crédits!$K$9&lt;Crédits!$K$7,AK164,0))+IF(Crédits!$K$10="",0,IF(Crédits!$K$10&lt;Crédits!$K$7,AS164,0))))))</f>
        <v>0</v>
      </c>
      <c r="W164" s="95">
        <f t="shared" si="5"/>
        <v>0</v>
      </c>
      <c r="X164" s="88">
        <f>ROUND(X163+Y164-MIN(N(Crédits!$E$7),X163+Y164),2)</f>
        <v>0</v>
      </c>
      <c r="Y164" s="89">
        <f>X163*N(Crédits!$D$7)/12</f>
        <v>0</v>
      </c>
      <c r="Z164" s="96">
        <f t="shared" si="19"/>
        <v>0</v>
      </c>
      <c r="AA164" s="96">
        <f>Z164*N(Crédits!$D$8)/12</f>
        <v>0</v>
      </c>
      <c r="AB164" s="96">
        <f>MIN(N(Crédits!$E$8),Z164+AA164)</f>
        <v>0</v>
      </c>
      <c r="AC164" s="96">
        <f t="shared" si="6"/>
        <v>0</v>
      </c>
      <c r="AD164" s="97">
        <f>IF(Crédits!$K$8="",0,MAX(0,MIN(AC164,Plan!$L$166-(IF(Crédits!$K$5="",0,IF(Crédits!$K$5&lt;Crédits!$K$8,E164,0))+IF(Crédits!$K$6="",0,IF(Crédits!$K$6&lt;Crédits!$K$8,M164,0))+IF(Crédits!$K$7="",0,IF(Crédits!$K$7&lt;Crédits!$K$8,U164,0))+IF(Crédits!$K$9="",0,IF(Crédits!$K$9&lt;Crédits!$K$8,AK164,0))+IF(Crédits!$K$10="",0,IF(Crédits!$K$10&lt;Crédits!$K$8,AS164,0))))))</f>
        <v>0</v>
      </c>
      <c r="AE164" s="98">
        <f t="shared" si="7"/>
        <v>0</v>
      </c>
      <c r="AF164" s="88">
        <f>ROUND(AF163+AG164-MIN(N(Crédits!$E$8),AF163+AG164),2)</f>
        <v>0</v>
      </c>
      <c r="AG164" s="89">
        <f>AF163*N(Crédits!$D$8)/12</f>
        <v>0</v>
      </c>
      <c r="AH164" s="99">
        <f t="shared" si="20"/>
        <v>0</v>
      </c>
      <c r="AI164" s="99">
        <f>AH164*N(Crédits!$D$9)/12</f>
        <v>0</v>
      </c>
      <c r="AJ164" s="99">
        <f>MIN(N(Crédits!$E$9),AH164+AI164)</f>
        <v>0</v>
      </c>
      <c r="AK164" s="99">
        <f t="shared" si="8"/>
        <v>0</v>
      </c>
      <c r="AL164" s="100">
        <f>IF(Crédits!$K$9="",0,MAX(0,MIN(AK164,Plan!$L$166-(IF(Crédits!$K$5="",0,IF(Crédits!$K$5&lt;Crédits!$K$9,E164,0))+IF(Crédits!$K$6="",0,IF(Crédits!$K$6&lt;Crédits!$K$9,M164,0))+IF(Crédits!$K$7="",0,IF(Crédits!$K$7&lt;Crédits!$K$9,U164,0))+IF(Crédits!$K$8="",0,IF(Crédits!$K$8&lt;Crédits!$K$9,AC164,0))+IF(Crédits!$K$10="",0,IF(Crédits!$K$10&lt;Crédits!$K$9,AS164,0))))))</f>
        <v>0</v>
      </c>
      <c r="AM164" s="101">
        <f t="shared" si="9"/>
        <v>0</v>
      </c>
      <c r="AN164" s="88">
        <f>ROUND(AN163+AO164-MIN(N(Crédits!$E$9),AN163+AO164),2)</f>
        <v>0</v>
      </c>
      <c r="AO164" s="89">
        <f>AN163*N(Crédits!$D$9)/12</f>
        <v>0</v>
      </c>
      <c r="AP164" s="102">
        <f t="shared" si="21"/>
        <v>0</v>
      </c>
      <c r="AQ164" s="102">
        <f>AP164*N(Crédits!$D$10)/12</f>
        <v>0</v>
      </c>
      <c r="AR164" s="102">
        <f>MIN(N(Crédits!$E$10),AP164+AQ164)</f>
        <v>0</v>
      </c>
      <c r="AS164" s="102">
        <f t="shared" si="10"/>
        <v>0</v>
      </c>
      <c r="AT164" s="103">
        <f>IF(Crédits!$K$10="",0,MAX(0,MIN(AS164,Plan!$L$166-(IF(Crédits!$K$5="",0,IF(Crédits!$K$5&lt;Crédits!$K$10,E164,0))+IF(Crédits!$K$6="",0,IF(Crédits!$K$6&lt;Crédits!$K$10,M164,0))+IF(Crédits!$K$7="",0,IF(Crédits!$K$7&lt;Crédits!$K$10,U164,0))+IF(Crédits!$K$8="",0,IF(Crédits!$K$8&lt;Crédits!$K$10,AC164,0))+IF(Crédits!$K$9="",0,IF(Crédits!$K$9&lt;Crédits!$K$10,AK164,0))))))</f>
        <v>0</v>
      </c>
      <c r="AU164" s="104">
        <f t="shared" si="11"/>
        <v>0</v>
      </c>
      <c r="AV164" s="88">
        <f>ROUND(AV163+AW164-MIN(N(Crédits!$E$10),AV163+AW164),2)</f>
        <v>0</v>
      </c>
      <c r="AW164" s="89">
        <f>AV163*N(Crédits!$D$10)/12</f>
        <v>0</v>
      </c>
      <c r="AX164" s="105">
        <f t="shared" si="12"/>
        <v>0</v>
      </c>
      <c r="AY164" s="105">
        <f t="shared" ref="AY164:AZ164" si="182">F164+N164+V164+AD164+AL164+AT164</f>
        <v>0</v>
      </c>
      <c r="AZ164" s="105">
        <f t="shared" si="182"/>
        <v>0</v>
      </c>
      <c r="BA164" s="105">
        <f t="shared" si="14"/>
        <v>0</v>
      </c>
      <c r="BB164" s="105">
        <f t="shared" si="15"/>
        <v>0</v>
      </c>
    </row>
    <row r="165" spans="1:54" ht="15" customHeight="1" x14ac:dyDescent="0.25">
      <c r="A165" s="2">
        <v>163</v>
      </c>
      <c r="B165" s="83">
        <f t="shared" si="16"/>
        <v>0</v>
      </c>
      <c r="C165" s="83">
        <f>B165*N(Crédits!$D$5)/12</f>
        <v>0</v>
      </c>
      <c r="D165" s="83">
        <f>MIN(N(Crédits!$E$5),B165+C165)</f>
        <v>0</v>
      </c>
      <c r="E165" s="83">
        <f t="shared" si="0"/>
        <v>0</v>
      </c>
      <c r="F165" s="86">
        <f>IF(Crédits!$K$5="",0,MAX(0,MIN(E165,Plan!$L$167-(IF(Crédits!$K$6="",0,IF(Crédits!$K$6&lt;Crédits!$K$5,M165,0))+IF(Crédits!$K$7="",0,IF(Crédits!$K$7&lt;Crédits!$K$5,U165,0))+IF(Crédits!$K$8="",0,IF(Crédits!$K$8&lt;Crédits!$K$5,AC165,0))+IF(Crédits!$K$9="",0,IF(Crédits!$K$9&lt;Crédits!$K$5,AK165,0))+IF(Crédits!$K$10="",0,IF(Crédits!$K$10&lt;Crédits!$K$5,AS165,0))))))</f>
        <v>0</v>
      </c>
      <c r="G165" s="87">
        <f t="shared" si="1"/>
        <v>0</v>
      </c>
      <c r="H165" s="88">
        <f>ROUND(H164+I165-MIN(N(Crédits!$E$5),H164+I165),2)</f>
        <v>0</v>
      </c>
      <c r="I165" s="89">
        <f>H164*N(Crédits!$D$5)/12</f>
        <v>0</v>
      </c>
      <c r="J165" s="90">
        <f t="shared" si="17"/>
        <v>0</v>
      </c>
      <c r="K165" s="90">
        <f>J165*N(Crédits!$D$6)/12</f>
        <v>0</v>
      </c>
      <c r="L165" s="90">
        <f>MIN(N(Crédits!$E$6),J165+K165)</f>
        <v>0</v>
      </c>
      <c r="M165" s="90">
        <f t="shared" si="2"/>
        <v>0</v>
      </c>
      <c r="N165" s="91">
        <f>IF(Crédits!$K$6="",0,MAX(0,MIN(M165,Plan!$L$167-(IF(Crédits!$K$5="",0,IF(Crédits!$K$5&lt;Crédits!$K$6,E165,0))+IF(Crédits!$K$7="",0,IF(Crédits!$K$7&lt;Crédits!$K$6,U165,0))+IF(Crédits!$K$8="",0,IF(Crédits!$K$8&lt;Crédits!$K$6,AC165,0))+IF(Crédits!$K$9="",0,IF(Crédits!$K$9&lt;Crédits!$K$6,AK165,0))+IF(Crédits!$K$10="",0,IF(Crédits!$K$10&lt;Crédits!$K$6,AS165,0))))))</f>
        <v>0</v>
      </c>
      <c r="O165" s="92">
        <f t="shared" si="3"/>
        <v>0</v>
      </c>
      <c r="P165" s="88">
        <f>ROUND(P164+Q165-MIN(N(Crédits!$E$6),P164+Q165),2)</f>
        <v>0</v>
      </c>
      <c r="Q165" s="89">
        <f>P164*N(Crédits!$D$6)/12</f>
        <v>0</v>
      </c>
      <c r="R165" s="93">
        <f t="shared" si="18"/>
        <v>0</v>
      </c>
      <c r="S165" s="93">
        <f>R165*N(Crédits!$D$7)/12</f>
        <v>0</v>
      </c>
      <c r="T165" s="93">
        <f>MIN(N(Crédits!$E$7),R165+S165)</f>
        <v>0</v>
      </c>
      <c r="U165" s="93">
        <f t="shared" si="4"/>
        <v>0</v>
      </c>
      <c r="V165" s="94">
        <f>IF(Crédits!$K$7="",0,MAX(0,MIN(U165,Plan!$L$167-(IF(Crédits!$K$5="",0,IF(Crédits!$K$5&lt;Crédits!$K$7,E165,0))+IF(Crédits!$K$6="",0,IF(Crédits!$K$6&lt;Crédits!$K$7,M165,0))+IF(Crédits!$K$8="",0,IF(Crédits!$K$8&lt;Crédits!$K$7,AC165,0))+IF(Crédits!$K$9="",0,IF(Crédits!$K$9&lt;Crédits!$K$7,AK165,0))+IF(Crédits!$K$10="",0,IF(Crédits!$K$10&lt;Crédits!$K$7,AS165,0))))))</f>
        <v>0</v>
      </c>
      <c r="W165" s="95">
        <f t="shared" si="5"/>
        <v>0</v>
      </c>
      <c r="X165" s="88">
        <f>ROUND(X164+Y165-MIN(N(Crédits!$E$7),X164+Y165),2)</f>
        <v>0</v>
      </c>
      <c r="Y165" s="89">
        <f>X164*N(Crédits!$D$7)/12</f>
        <v>0</v>
      </c>
      <c r="Z165" s="96">
        <f t="shared" si="19"/>
        <v>0</v>
      </c>
      <c r="AA165" s="96">
        <f>Z165*N(Crédits!$D$8)/12</f>
        <v>0</v>
      </c>
      <c r="AB165" s="96">
        <f>MIN(N(Crédits!$E$8),Z165+AA165)</f>
        <v>0</v>
      </c>
      <c r="AC165" s="96">
        <f t="shared" si="6"/>
        <v>0</v>
      </c>
      <c r="AD165" s="97">
        <f>IF(Crédits!$K$8="",0,MAX(0,MIN(AC165,Plan!$L$167-(IF(Crédits!$K$5="",0,IF(Crédits!$K$5&lt;Crédits!$K$8,E165,0))+IF(Crédits!$K$6="",0,IF(Crédits!$K$6&lt;Crédits!$K$8,M165,0))+IF(Crédits!$K$7="",0,IF(Crédits!$K$7&lt;Crédits!$K$8,U165,0))+IF(Crédits!$K$9="",0,IF(Crédits!$K$9&lt;Crédits!$K$8,AK165,0))+IF(Crédits!$K$10="",0,IF(Crédits!$K$10&lt;Crédits!$K$8,AS165,0))))))</f>
        <v>0</v>
      </c>
      <c r="AE165" s="98">
        <f t="shared" si="7"/>
        <v>0</v>
      </c>
      <c r="AF165" s="88">
        <f>ROUND(AF164+AG165-MIN(N(Crédits!$E$8),AF164+AG165),2)</f>
        <v>0</v>
      </c>
      <c r="AG165" s="89">
        <f>AF164*N(Crédits!$D$8)/12</f>
        <v>0</v>
      </c>
      <c r="AH165" s="99">
        <f t="shared" si="20"/>
        <v>0</v>
      </c>
      <c r="AI165" s="99">
        <f>AH165*N(Crédits!$D$9)/12</f>
        <v>0</v>
      </c>
      <c r="AJ165" s="99">
        <f>MIN(N(Crédits!$E$9),AH165+AI165)</f>
        <v>0</v>
      </c>
      <c r="AK165" s="99">
        <f t="shared" si="8"/>
        <v>0</v>
      </c>
      <c r="AL165" s="100">
        <f>IF(Crédits!$K$9="",0,MAX(0,MIN(AK165,Plan!$L$167-(IF(Crédits!$K$5="",0,IF(Crédits!$K$5&lt;Crédits!$K$9,E165,0))+IF(Crédits!$K$6="",0,IF(Crédits!$K$6&lt;Crédits!$K$9,M165,0))+IF(Crédits!$K$7="",0,IF(Crédits!$K$7&lt;Crédits!$K$9,U165,0))+IF(Crédits!$K$8="",0,IF(Crédits!$K$8&lt;Crédits!$K$9,AC165,0))+IF(Crédits!$K$10="",0,IF(Crédits!$K$10&lt;Crédits!$K$9,AS165,0))))))</f>
        <v>0</v>
      </c>
      <c r="AM165" s="101">
        <f t="shared" si="9"/>
        <v>0</v>
      </c>
      <c r="AN165" s="88">
        <f>ROUND(AN164+AO165-MIN(N(Crédits!$E$9),AN164+AO165),2)</f>
        <v>0</v>
      </c>
      <c r="AO165" s="89">
        <f>AN164*N(Crédits!$D$9)/12</f>
        <v>0</v>
      </c>
      <c r="AP165" s="102">
        <f t="shared" si="21"/>
        <v>0</v>
      </c>
      <c r="AQ165" s="102">
        <f>AP165*N(Crédits!$D$10)/12</f>
        <v>0</v>
      </c>
      <c r="AR165" s="102">
        <f>MIN(N(Crédits!$E$10),AP165+AQ165)</f>
        <v>0</v>
      </c>
      <c r="AS165" s="102">
        <f t="shared" si="10"/>
        <v>0</v>
      </c>
      <c r="AT165" s="103">
        <f>IF(Crédits!$K$10="",0,MAX(0,MIN(AS165,Plan!$L$167-(IF(Crédits!$K$5="",0,IF(Crédits!$K$5&lt;Crédits!$K$10,E165,0))+IF(Crédits!$K$6="",0,IF(Crédits!$K$6&lt;Crédits!$K$10,M165,0))+IF(Crédits!$K$7="",0,IF(Crédits!$K$7&lt;Crédits!$K$10,U165,0))+IF(Crédits!$K$8="",0,IF(Crédits!$K$8&lt;Crédits!$K$10,AC165,0))+IF(Crédits!$K$9="",0,IF(Crédits!$K$9&lt;Crédits!$K$10,AK165,0))))))</f>
        <v>0</v>
      </c>
      <c r="AU165" s="104">
        <f t="shared" si="11"/>
        <v>0</v>
      </c>
      <c r="AV165" s="88">
        <f>ROUND(AV164+AW165-MIN(N(Crédits!$E$10),AV164+AW165),2)</f>
        <v>0</v>
      </c>
      <c r="AW165" s="89">
        <f>AV164*N(Crédits!$D$10)/12</f>
        <v>0</v>
      </c>
      <c r="AX165" s="105">
        <f t="shared" si="12"/>
        <v>0</v>
      </c>
      <c r="AY165" s="105">
        <f t="shared" ref="AY165:AZ165" si="183">F165+N165+V165+AD165+AL165+AT165</f>
        <v>0</v>
      </c>
      <c r="AZ165" s="105">
        <f t="shared" si="183"/>
        <v>0</v>
      </c>
      <c r="BA165" s="105">
        <f t="shared" si="14"/>
        <v>0</v>
      </c>
      <c r="BB165" s="105">
        <f t="shared" si="15"/>
        <v>0</v>
      </c>
    </row>
    <row r="166" spans="1:54" ht="15" customHeight="1" x14ac:dyDescent="0.25">
      <c r="A166" s="2">
        <v>164</v>
      </c>
      <c r="B166" s="83">
        <f t="shared" si="16"/>
        <v>0</v>
      </c>
      <c r="C166" s="83">
        <f>B166*N(Crédits!$D$5)/12</f>
        <v>0</v>
      </c>
      <c r="D166" s="83">
        <f>MIN(N(Crédits!$E$5),B166+C166)</f>
        <v>0</v>
      </c>
      <c r="E166" s="83">
        <f t="shared" si="0"/>
        <v>0</v>
      </c>
      <c r="F166" s="86">
        <f>IF(Crédits!$K$5="",0,MAX(0,MIN(E166,Plan!$L$168-(IF(Crédits!$K$6="",0,IF(Crédits!$K$6&lt;Crédits!$K$5,M166,0))+IF(Crédits!$K$7="",0,IF(Crédits!$K$7&lt;Crédits!$K$5,U166,0))+IF(Crédits!$K$8="",0,IF(Crédits!$K$8&lt;Crédits!$K$5,AC166,0))+IF(Crédits!$K$9="",0,IF(Crédits!$K$9&lt;Crédits!$K$5,AK166,0))+IF(Crédits!$K$10="",0,IF(Crédits!$K$10&lt;Crédits!$K$5,AS166,0))))))</f>
        <v>0</v>
      </c>
      <c r="G166" s="87">
        <f t="shared" si="1"/>
        <v>0</v>
      </c>
      <c r="H166" s="88">
        <f>ROUND(H165+I166-MIN(N(Crédits!$E$5),H165+I166),2)</f>
        <v>0</v>
      </c>
      <c r="I166" s="89">
        <f>H165*N(Crédits!$D$5)/12</f>
        <v>0</v>
      </c>
      <c r="J166" s="90">
        <f t="shared" si="17"/>
        <v>0</v>
      </c>
      <c r="K166" s="90">
        <f>J166*N(Crédits!$D$6)/12</f>
        <v>0</v>
      </c>
      <c r="L166" s="90">
        <f>MIN(N(Crédits!$E$6),J166+K166)</f>
        <v>0</v>
      </c>
      <c r="M166" s="90">
        <f t="shared" si="2"/>
        <v>0</v>
      </c>
      <c r="N166" s="91">
        <f>IF(Crédits!$K$6="",0,MAX(0,MIN(M166,Plan!$L$168-(IF(Crédits!$K$5="",0,IF(Crédits!$K$5&lt;Crédits!$K$6,E166,0))+IF(Crédits!$K$7="",0,IF(Crédits!$K$7&lt;Crédits!$K$6,U166,0))+IF(Crédits!$K$8="",0,IF(Crédits!$K$8&lt;Crédits!$K$6,AC166,0))+IF(Crédits!$K$9="",0,IF(Crédits!$K$9&lt;Crédits!$K$6,AK166,0))+IF(Crédits!$K$10="",0,IF(Crédits!$K$10&lt;Crédits!$K$6,AS166,0))))))</f>
        <v>0</v>
      </c>
      <c r="O166" s="92">
        <f t="shared" si="3"/>
        <v>0</v>
      </c>
      <c r="P166" s="88">
        <f>ROUND(P165+Q166-MIN(N(Crédits!$E$6),P165+Q166),2)</f>
        <v>0</v>
      </c>
      <c r="Q166" s="89">
        <f>P165*N(Crédits!$D$6)/12</f>
        <v>0</v>
      </c>
      <c r="R166" s="93">
        <f t="shared" si="18"/>
        <v>0</v>
      </c>
      <c r="S166" s="93">
        <f>R166*N(Crédits!$D$7)/12</f>
        <v>0</v>
      </c>
      <c r="T166" s="93">
        <f>MIN(N(Crédits!$E$7),R166+S166)</f>
        <v>0</v>
      </c>
      <c r="U166" s="93">
        <f t="shared" si="4"/>
        <v>0</v>
      </c>
      <c r="V166" s="94">
        <f>IF(Crédits!$K$7="",0,MAX(0,MIN(U166,Plan!$L$168-(IF(Crédits!$K$5="",0,IF(Crédits!$K$5&lt;Crédits!$K$7,E166,0))+IF(Crédits!$K$6="",0,IF(Crédits!$K$6&lt;Crédits!$K$7,M166,0))+IF(Crédits!$K$8="",0,IF(Crédits!$K$8&lt;Crédits!$K$7,AC166,0))+IF(Crédits!$K$9="",0,IF(Crédits!$K$9&lt;Crédits!$K$7,AK166,0))+IF(Crédits!$K$10="",0,IF(Crédits!$K$10&lt;Crédits!$K$7,AS166,0))))))</f>
        <v>0</v>
      </c>
      <c r="W166" s="95">
        <f t="shared" si="5"/>
        <v>0</v>
      </c>
      <c r="X166" s="88">
        <f>ROUND(X165+Y166-MIN(N(Crédits!$E$7),X165+Y166),2)</f>
        <v>0</v>
      </c>
      <c r="Y166" s="89">
        <f>X165*N(Crédits!$D$7)/12</f>
        <v>0</v>
      </c>
      <c r="Z166" s="96">
        <f t="shared" si="19"/>
        <v>0</v>
      </c>
      <c r="AA166" s="96">
        <f>Z166*N(Crédits!$D$8)/12</f>
        <v>0</v>
      </c>
      <c r="AB166" s="96">
        <f>MIN(N(Crédits!$E$8),Z166+AA166)</f>
        <v>0</v>
      </c>
      <c r="AC166" s="96">
        <f t="shared" si="6"/>
        <v>0</v>
      </c>
      <c r="AD166" s="97">
        <f>IF(Crédits!$K$8="",0,MAX(0,MIN(AC166,Plan!$L$168-(IF(Crédits!$K$5="",0,IF(Crédits!$K$5&lt;Crédits!$K$8,E166,0))+IF(Crédits!$K$6="",0,IF(Crédits!$K$6&lt;Crédits!$K$8,M166,0))+IF(Crédits!$K$7="",0,IF(Crédits!$K$7&lt;Crédits!$K$8,U166,0))+IF(Crédits!$K$9="",0,IF(Crédits!$K$9&lt;Crédits!$K$8,AK166,0))+IF(Crédits!$K$10="",0,IF(Crédits!$K$10&lt;Crédits!$K$8,AS166,0))))))</f>
        <v>0</v>
      </c>
      <c r="AE166" s="98">
        <f t="shared" si="7"/>
        <v>0</v>
      </c>
      <c r="AF166" s="88">
        <f>ROUND(AF165+AG166-MIN(N(Crédits!$E$8),AF165+AG166),2)</f>
        <v>0</v>
      </c>
      <c r="AG166" s="89">
        <f>AF165*N(Crédits!$D$8)/12</f>
        <v>0</v>
      </c>
      <c r="AH166" s="99">
        <f t="shared" si="20"/>
        <v>0</v>
      </c>
      <c r="AI166" s="99">
        <f>AH166*N(Crédits!$D$9)/12</f>
        <v>0</v>
      </c>
      <c r="AJ166" s="99">
        <f>MIN(N(Crédits!$E$9),AH166+AI166)</f>
        <v>0</v>
      </c>
      <c r="AK166" s="99">
        <f t="shared" si="8"/>
        <v>0</v>
      </c>
      <c r="AL166" s="100">
        <f>IF(Crédits!$K$9="",0,MAX(0,MIN(AK166,Plan!$L$168-(IF(Crédits!$K$5="",0,IF(Crédits!$K$5&lt;Crédits!$K$9,E166,0))+IF(Crédits!$K$6="",0,IF(Crédits!$K$6&lt;Crédits!$K$9,M166,0))+IF(Crédits!$K$7="",0,IF(Crédits!$K$7&lt;Crédits!$K$9,U166,0))+IF(Crédits!$K$8="",0,IF(Crédits!$K$8&lt;Crédits!$K$9,AC166,0))+IF(Crédits!$K$10="",0,IF(Crédits!$K$10&lt;Crédits!$K$9,AS166,0))))))</f>
        <v>0</v>
      </c>
      <c r="AM166" s="101">
        <f t="shared" si="9"/>
        <v>0</v>
      </c>
      <c r="AN166" s="88">
        <f>ROUND(AN165+AO166-MIN(N(Crédits!$E$9),AN165+AO166),2)</f>
        <v>0</v>
      </c>
      <c r="AO166" s="89">
        <f>AN165*N(Crédits!$D$9)/12</f>
        <v>0</v>
      </c>
      <c r="AP166" s="102">
        <f t="shared" si="21"/>
        <v>0</v>
      </c>
      <c r="AQ166" s="102">
        <f>AP166*N(Crédits!$D$10)/12</f>
        <v>0</v>
      </c>
      <c r="AR166" s="102">
        <f>MIN(N(Crédits!$E$10),AP166+AQ166)</f>
        <v>0</v>
      </c>
      <c r="AS166" s="102">
        <f t="shared" si="10"/>
        <v>0</v>
      </c>
      <c r="AT166" s="103">
        <f>IF(Crédits!$K$10="",0,MAX(0,MIN(AS166,Plan!$L$168-(IF(Crédits!$K$5="",0,IF(Crédits!$K$5&lt;Crédits!$K$10,E166,0))+IF(Crédits!$K$6="",0,IF(Crédits!$K$6&lt;Crédits!$K$10,M166,0))+IF(Crédits!$K$7="",0,IF(Crédits!$K$7&lt;Crédits!$K$10,U166,0))+IF(Crédits!$K$8="",0,IF(Crédits!$K$8&lt;Crédits!$K$10,AC166,0))+IF(Crédits!$K$9="",0,IF(Crédits!$K$9&lt;Crédits!$K$10,AK166,0))))))</f>
        <v>0</v>
      </c>
      <c r="AU166" s="104">
        <f t="shared" si="11"/>
        <v>0</v>
      </c>
      <c r="AV166" s="88">
        <f>ROUND(AV165+AW166-MIN(N(Crédits!$E$10),AV165+AW166),2)</f>
        <v>0</v>
      </c>
      <c r="AW166" s="89">
        <f>AV165*N(Crédits!$D$10)/12</f>
        <v>0</v>
      </c>
      <c r="AX166" s="105">
        <f t="shared" si="12"/>
        <v>0</v>
      </c>
      <c r="AY166" s="105">
        <f t="shared" ref="AY166:AZ166" si="184">F166+N166+V166+AD166+AL166+AT166</f>
        <v>0</v>
      </c>
      <c r="AZ166" s="105">
        <f t="shared" si="184"/>
        <v>0</v>
      </c>
      <c r="BA166" s="105">
        <f t="shared" si="14"/>
        <v>0</v>
      </c>
      <c r="BB166" s="105">
        <f t="shared" si="15"/>
        <v>0</v>
      </c>
    </row>
    <row r="167" spans="1:54" ht="15" customHeight="1" x14ac:dyDescent="0.25">
      <c r="A167" s="2">
        <v>165</v>
      </c>
      <c r="B167" s="83">
        <f t="shared" si="16"/>
        <v>0</v>
      </c>
      <c r="C167" s="83">
        <f>B167*N(Crédits!$D$5)/12</f>
        <v>0</v>
      </c>
      <c r="D167" s="83">
        <f>MIN(N(Crédits!$E$5),B167+C167)</f>
        <v>0</v>
      </c>
      <c r="E167" s="83">
        <f t="shared" si="0"/>
        <v>0</v>
      </c>
      <c r="F167" s="86">
        <f>IF(Crédits!$K$5="",0,MAX(0,MIN(E167,Plan!$L$169-(IF(Crédits!$K$6="",0,IF(Crédits!$K$6&lt;Crédits!$K$5,M167,0))+IF(Crédits!$K$7="",0,IF(Crédits!$K$7&lt;Crédits!$K$5,U167,0))+IF(Crédits!$K$8="",0,IF(Crédits!$K$8&lt;Crédits!$K$5,AC167,0))+IF(Crédits!$K$9="",0,IF(Crédits!$K$9&lt;Crédits!$K$5,AK167,0))+IF(Crédits!$K$10="",0,IF(Crédits!$K$10&lt;Crédits!$K$5,AS167,0))))))</f>
        <v>0</v>
      </c>
      <c r="G167" s="87">
        <f t="shared" si="1"/>
        <v>0</v>
      </c>
      <c r="H167" s="88">
        <f>ROUND(H166+I167-MIN(N(Crédits!$E$5),H166+I167),2)</f>
        <v>0</v>
      </c>
      <c r="I167" s="89">
        <f>H166*N(Crédits!$D$5)/12</f>
        <v>0</v>
      </c>
      <c r="J167" s="90">
        <f t="shared" si="17"/>
        <v>0</v>
      </c>
      <c r="K167" s="90">
        <f>J167*N(Crédits!$D$6)/12</f>
        <v>0</v>
      </c>
      <c r="L167" s="90">
        <f>MIN(N(Crédits!$E$6),J167+K167)</f>
        <v>0</v>
      </c>
      <c r="M167" s="90">
        <f t="shared" si="2"/>
        <v>0</v>
      </c>
      <c r="N167" s="91">
        <f>IF(Crédits!$K$6="",0,MAX(0,MIN(M167,Plan!$L$169-(IF(Crédits!$K$5="",0,IF(Crédits!$K$5&lt;Crédits!$K$6,E167,0))+IF(Crédits!$K$7="",0,IF(Crédits!$K$7&lt;Crédits!$K$6,U167,0))+IF(Crédits!$K$8="",0,IF(Crédits!$K$8&lt;Crédits!$K$6,AC167,0))+IF(Crédits!$K$9="",0,IF(Crédits!$K$9&lt;Crédits!$K$6,AK167,0))+IF(Crédits!$K$10="",0,IF(Crédits!$K$10&lt;Crédits!$K$6,AS167,0))))))</f>
        <v>0</v>
      </c>
      <c r="O167" s="92">
        <f t="shared" si="3"/>
        <v>0</v>
      </c>
      <c r="P167" s="88">
        <f>ROUND(P166+Q167-MIN(N(Crédits!$E$6),P166+Q167),2)</f>
        <v>0</v>
      </c>
      <c r="Q167" s="89">
        <f>P166*N(Crédits!$D$6)/12</f>
        <v>0</v>
      </c>
      <c r="R167" s="93">
        <f t="shared" si="18"/>
        <v>0</v>
      </c>
      <c r="S167" s="93">
        <f>R167*N(Crédits!$D$7)/12</f>
        <v>0</v>
      </c>
      <c r="T167" s="93">
        <f>MIN(N(Crédits!$E$7),R167+S167)</f>
        <v>0</v>
      </c>
      <c r="U167" s="93">
        <f t="shared" si="4"/>
        <v>0</v>
      </c>
      <c r="V167" s="94">
        <f>IF(Crédits!$K$7="",0,MAX(0,MIN(U167,Plan!$L$169-(IF(Crédits!$K$5="",0,IF(Crédits!$K$5&lt;Crédits!$K$7,E167,0))+IF(Crédits!$K$6="",0,IF(Crédits!$K$6&lt;Crédits!$K$7,M167,0))+IF(Crédits!$K$8="",0,IF(Crédits!$K$8&lt;Crédits!$K$7,AC167,0))+IF(Crédits!$K$9="",0,IF(Crédits!$K$9&lt;Crédits!$K$7,AK167,0))+IF(Crédits!$K$10="",0,IF(Crédits!$K$10&lt;Crédits!$K$7,AS167,0))))))</f>
        <v>0</v>
      </c>
      <c r="W167" s="95">
        <f t="shared" si="5"/>
        <v>0</v>
      </c>
      <c r="X167" s="88">
        <f>ROUND(X166+Y167-MIN(N(Crédits!$E$7),X166+Y167),2)</f>
        <v>0</v>
      </c>
      <c r="Y167" s="89">
        <f>X166*N(Crédits!$D$7)/12</f>
        <v>0</v>
      </c>
      <c r="Z167" s="96">
        <f t="shared" si="19"/>
        <v>0</v>
      </c>
      <c r="AA167" s="96">
        <f>Z167*N(Crédits!$D$8)/12</f>
        <v>0</v>
      </c>
      <c r="AB167" s="96">
        <f>MIN(N(Crédits!$E$8),Z167+AA167)</f>
        <v>0</v>
      </c>
      <c r="AC167" s="96">
        <f t="shared" si="6"/>
        <v>0</v>
      </c>
      <c r="AD167" s="97">
        <f>IF(Crédits!$K$8="",0,MAX(0,MIN(AC167,Plan!$L$169-(IF(Crédits!$K$5="",0,IF(Crédits!$K$5&lt;Crédits!$K$8,E167,0))+IF(Crédits!$K$6="",0,IF(Crédits!$K$6&lt;Crédits!$K$8,M167,0))+IF(Crédits!$K$7="",0,IF(Crédits!$K$7&lt;Crédits!$K$8,U167,0))+IF(Crédits!$K$9="",0,IF(Crédits!$K$9&lt;Crédits!$K$8,AK167,0))+IF(Crédits!$K$10="",0,IF(Crédits!$K$10&lt;Crédits!$K$8,AS167,0))))))</f>
        <v>0</v>
      </c>
      <c r="AE167" s="98">
        <f t="shared" si="7"/>
        <v>0</v>
      </c>
      <c r="AF167" s="88">
        <f>ROUND(AF166+AG167-MIN(N(Crédits!$E$8),AF166+AG167),2)</f>
        <v>0</v>
      </c>
      <c r="AG167" s="89">
        <f>AF166*N(Crédits!$D$8)/12</f>
        <v>0</v>
      </c>
      <c r="AH167" s="99">
        <f t="shared" si="20"/>
        <v>0</v>
      </c>
      <c r="AI167" s="99">
        <f>AH167*N(Crédits!$D$9)/12</f>
        <v>0</v>
      </c>
      <c r="AJ167" s="99">
        <f>MIN(N(Crédits!$E$9),AH167+AI167)</f>
        <v>0</v>
      </c>
      <c r="AK167" s="99">
        <f t="shared" si="8"/>
        <v>0</v>
      </c>
      <c r="AL167" s="100">
        <f>IF(Crédits!$K$9="",0,MAX(0,MIN(AK167,Plan!$L$169-(IF(Crédits!$K$5="",0,IF(Crédits!$K$5&lt;Crédits!$K$9,E167,0))+IF(Crédits!$K$6="",0,IF(Crédits!$K$6&lt;Crédits!$K$9,M167,0))+IF(Crédits!$K$7="",0,IF(Crédits!$K$7&lt;Crédits!$K$9,U167,0))+IF(Crédits!$K$8="",0,IF(Crédits!$K$8&lt;Crédits!$K$9,AC167,0))+IF(Crédits!$K$10="",0,IF(Crédits!$K$10&lt;Crédits!$K$9,AS167,0))))))</f>
        <v>0</v>
      </c>
      <c r="AM167" s="101">
        <f t="shared" si="9"/>
        <v>0</v>
      </c>
      <c r="AN167" s="88">
        <f>ROUND(AN166+AO167-MIN(N(Crédits!$E$9),AN166+AO167),2)</f>
        <v>0</v>
      </c>
      <c r="AO167" s="89">
        <f>AN166*N(Crédits!$D$9)/12</f>
        <v>0</v>
      </c>
      <c r="AP167" s="102">
        <f t="shared" si="21"/>
        <v>0</v>
      </c>
      <c r="AQ167" s="102">
        <f>AP167*N(Crédits!$D$10)/12</f>
        <v>0</v>
      </c>
      <c r="AR167" s="102">
        <f>MIN(N(Crédits!$E$10),AP167+AQ167)</f>
        <v>0</v>
      </c>
      <c r="AS167" s="102">
        <f t="shared" si="10"/>
        <v>0</v>
      </c>
      <c r="AT167" s="103">
        <f>IF(Crédits!$K$10="",0,MAX(0,MIN(AS167,Plan!$L$169-(IF(Crédits!$K$5="",0,IF(Crédits!$K$5&lt;Crédits!$K$10,E167,0))+IF(Crédits!$K$6="",0,IF(Crédits!$K$6&lt;Crédits!$K$10,M167,0))+IF(Crédits!$K$7="",0,IF(Crédits!$K$7&lt;Crédits!$K$10,U167,0))+IF(Crédits!$K$8="",0,IF(Crédits!$K$8&lt;Crédits!$K$10,AC167,0))+IF(Crédits!$K$9="",0,IF(Crédits!$K$9&lt;Crédits!$K$10,AK167,0))))))</f>
        <v>0</v>
      </c>
      <c r="AU167" s="104">
        <f t="shared" si="11"/>
        <v>0</v>
      </c>
      <c r="AV167" s="88">
        <f>ROUND(AV166+AW167-MIN(N(Crédits!$E$10),AV166+AW167),2)</f>
        <v>0</v>
      </c>
      <c r="AW167" s="89">
        <f>AV166*N(Crédits!$D$10)/12</f>
        <v>0</v>
      </c>
      <c r="AX167" s="105">
        <f t="shared" si="12"/>
        <v>0</v>
      </c>
      <c r="AY167" s="105">
        <f t="shared" ref="AY167:AZ167" si="185">F167+N167+V167+AD167+AL167+AT167</f>
        <v>0</v>
      </c>
      <c r="AZ167" s="105">
        <f t="shared" si="185"/>
        <v>0</v>
      </c>
      <c r="BA167" s="105">
        <f t="shared" si="14"/>
        <v>0</v>
      </c>
      <c r="BB167" s="105">
        <f t="shared" si="15"/>
        <v>0</v>
      </c>
    </row>
    <row r="168" spans="1:54" ht="15" customHeight="1" x14ac:dyDescent="0.25">
      <c r="A168" s="2">
        <v>166</v>
      </c>
      <c r="B168" s="83">
        <f t="shared" si="16"/>
        <v>0</v>
      </c>
      <c r="C168" s="83">
        <f>B168*N(Crédits!$D$5)/12</f>
        <v>0</v>
      </c>
      <c r="D168" s="83">
        <f>MIN(N(Crédits!$E$5),B168+C168)</f>
        <v>0</v>
      </c>
      <c r="E168" s="83">
        <f t="shared" si="0"/>
        <v>0</v>
      </c>
      <c r="F168" s="86">
        <f>IF(Crédits!$K$5="",0,MAX(0,MIN(E168,Plan!$L$170-(IF(Crédits!$K$6="",0,IF(Crédits!$K$6&lt;Crédits!$K$5,M168,0))+IF(Crédits!$K$7="",0,IF(Crédits!$K$7&lt;Crédits!$K$5,U168,0))+IF(Crédits!$K$8="",0,IF(Crédits!$K$8&lt;Crédits!$K$5,AC168,0))+IF(Crédits!$K$9="",0,IF(Crédits!$K$9&lt;Crédits!$K$5,AK168,0))+IF(Crédits!$K$10="",0,IF(Crédits!$K$10&lt;Crédits!$K$5,AS168,0))))))</f>
        <v>0</v>
      </c>
      <c r="G168" s="87">
        <f t="shared" si="1"/>
        <v>0</v>
      </c>
      <c r="H168" s="88">
        <f>ROUND(H167+I168-MIN(N(Crédits!$E$5),H167+I168),2)</f>
        <v>0</v>
      </c>
      <c r="I168" s="89">
        <f>H167*N(Crédits!$D$5)/12</f>
        <v>0</v>
      </c>
      <c r="J168" s="90">
        <f t="shared" si="17"/>
        <v>0</v>
      </c>
      <c r="K168" s="90">
        <f>J168*N(Crédits!$D$6)/12</f>
        <v>0</v>
      </c>
      <c r="L168" s="90">
        <f>MIN(N(Crédits!$E$6),J168+K168)</f>
        <v>0</v>
      </c>
      <c r="M168" s="90">
        <f t="shared" si="2"/>
        <v>0</v>
      </c>
      <c r="N168" s="91">
        <f>IF(Crédits!$K$6="",0,MAX(0,MIN(M168,Plan!$L$170-(IF(Crédits!$K$5="",0,IF(Crédits!$K$5&lt;Crédits!$K$6,E168,0))+IF(Crédits!$K$7="",0,IF(Crédits!$K$7&lt;Crédits!$K$6,U168,0))+IF(Crédits!$K$8="",0,IF(Crédits!$K$8&lt;Crédits!$K$6,AC168,0))+IF(Crédits!$K$9="",0,IF(Crédits!$K$9&lt;Crédits!$K$6,AK168,0))+IF(Crédits!$K$10="",0,IF(Crédits!$K$10&lt;Crédits!$K$6,AS168,0))))))</f>
        <v>0</v>
      </c>
      <c r="O168" s="92">
        <f t="shared" si="3"/>
        <v>0</v>
      </c>
      <c r="P168" s="88">
        <f>ROUND(P167+Q168-MIN(N(Crédits!$E$6),P167+Q168),2)</f>
        <v>0</v>
      </c>
      <c r="Q168" s="89">
        <f>P167*N(Crédits!$D$6)/12</f>
        <v>0</v>
      </c>
      <c r="R168" s="93">
        <f t="shared" si="18"/>
        <v>0</v>
      </c>
      <c r="S168" s="93">
        <f>R168*N(Crédits!$D$7)/12</f>
        <v>0</v>
      </c>
      <c r="T168" s="93">
        <f>MIN(N(Crédits!$E$7),R168+S168)</f>
        <v>0</v>
      </c>
      <c r="U168" s="93">
        <f t="shared" si="4"/>
        <v>0</v>
      </c>
      <c r="V168" s="94">
        <f>IF(Crédits!$K$7="",0,MAX(0,MIN(U168,Plan!$L$170-(IF(Crédits!$K$5="",0,IF(Crédits!$K$5&lt;Crédits!$K$7,E168,0))+IF(Crédits!$K$6="",0,IF(Crédits!$K$6&lt;Crédits!$K$7,M168,0))+IF(Crédits!$K$8="",0,IF(Crédits!$K$8&lt;Crédits!$K$7,AC168,0))+IF(Crédits!$K$9="",0,IF(Crédits!$K$9&lt;Crédits!$K$7,AK168,0))+IF(Crédits!$K$10="",0,IF(Crédits!$K$10&lt;Crédits!$K$7,AS168,0))))))</f>
        <v>0</v>
      </c>
      <c r="W168" s="95">
        <f t="shared" si="5"/>
        <v>0</v>
      </c>
      <c r="X168" s="88">
        <f>ROUND(X167+Y168-MIN(N(Crédits!$E$7),X167+Y168),2)</f>
        <v>0</v>
      </c>
      <c r="Y168" s="89">
        <f>X167*N(Crédits!$D$7)/12</f>
        <v>0</v>
      </c>
      <c r="Z168" s="96">
        <f t="shared" si="19"/>
        <v>0</v>
      </c>
      <c r="AA168" s="96">
        <f>Z168*N(Crédits!$D$8)/12</f>
        <v>0</v>
      </c>
      <c r="AB168" s="96">
        <f>MIN(N(Crédits!$E$8),Z168+AA168)</f>
        <v>0</v>
      </c>
      <c r="AC168" s="96">
        <f t="shared" si="6"/>
        <v>0</v>
      </c>
      <c r="AD168" s="97">
        <f>IF(Crédits!$K$8="",0,MAX(0,MIN(AC168,Plan!$L$170-(IF(Crédits!$K$5="",0,IF(Crédits!$K$5&lt;Crédits!$K$8,E168,0))+IF(Crédits!$K$6="",0,IF(Crédits!$K$6&lt;Crédits!$K$8,M168,0))+IF(Crédits!$K$7="",0,IF(Crédits!$K$7&lt;Crédits!$K$8,U168,0))+IF(Crédits!$K$9="",0,IF(Crédits!$K$9&lt;Crédits!$K$8,AK168,0))+IF(Crédits!$K$10="",0,IF(Crédits!$K$10&lt;Crédits!$K$8,AS168,0))))))</f>
        <v>0</v>
      </c>
      <c r="AE168" s="98">
        <f t="shared" si="7"/>
        <v>0</v>
      </c>
      <c r="AF168" s="88">
        <f>ROUND(AF167+AG168-MIN(N(Crédits!$E$8),AF167+AG168),2)</f>
        <v>0</v>
      </c>
      <c r="AG168" s="89">
        <f>AF167*N(Crédits!$D$8)/12</f>
        <v>0</v>
      </c>
      <c r="AH168" s="99">
        <f t="shared" si="20"/>
        <v>0</v>
      </c>
      <c r="AI168" s="99">
        <f>AH168*N(Crédits!$D$9)/12</f>
        <v>0</v>
      </c>
      <c r="AJ168" s="99">
        <f>MIN(N(Crédits!$E$9),AH168+AI168)</f>
        <v>0</v>
      </c>
      <c r="AK168" s="99">
        <f t="shared" si="8"/>
        <v>0</v>
      </c>
      <c r="AL168" s="100">
        <f>IF(Crédits!$K$9="",0,MAX(0,MIN(AK168,Plan!$L$170-(IF(Crédits!$K$5="",0,IF(Crédits!$K$5&lt;Crédits!$K$9,E168,0))+IF(Crédits!$K$6="",0,IF(Crédits!$K$6&lt;Crédits!$K$9,M168,0))+IF(Crédits!$K$7="",0,IF(Crédits!$K$7&lt;Crédits!$K$9,U168,0))+IF(Crédits!$K$8="",0,IF(Crédits!$K$8&lt;Crédits!$K$9,AC168,0))+IF(Crédits!$K$10="",0,IF(Crédits!$K$10&lt;Crédits!$K$9,AS168,0))))))</f>
        <v>0</v>
      </c>
      <c r="AM168" s="101">
        <f t="shared" si="9"/>
        <v>0</v>
      </c>
      <c r="AN168" s="88">
        <f>ROUND(AN167+AO168-MIN(N(Crédits!$E$9),AN167+AO168),2)</f>
        <v>0</v>
      </c>
      <c r="AO168" s="89">
        <f>AN167*N(Crédits!$D$9)/12</f>
        <v>0</v>
      </c>
      <c r="AP168" s="102">
        <f t="shared" si="21"/>
        <v>0</v>
      </c>
      <c r="AQ168" s="102">
        <f>AP168*N(Crédits!$D$10)/12</f>
        <v>0</v>
      </c>
      <c r="AR168" s="102">
        <f>MIN(N(Crédits!$E$10),AP168+AQ168)</f>
        <v>0</v>
      </c>
      <c r="AS168" s="102">
        <f t="shared" si="10"/>
        <v>0</v>
      </c>
      <c r="AT168" s="103">
        <f>IF(Crédits!$K$10="",0,MAX(0,MIN(AS168,Plan!$L$170-(IF(Crédits!$K$5="",0,IF(Crédits!$K$5&lt;Crédits!$K$10,E168,0))+IF(Crédits!$K$6="",0,IF(Crédits!$K$6&lt;Crédits!$K$10,M168,0))+IF(Crédits!$K$7="",0,IF(Crédits!$K$7&lt;Crédits!$K$10,U168,0))+IF(Crédits!$K$8="",0,IF(Crédits!$K$8&lt;Crédits!$K$10,AC168,0))+IF(Crédits!$K$9="",0,IF(Crédits!$K$9&lt;Crédits!$K$10,AK168,0))))))</f>
        <v>0</v>
      </c>
      <c r="AU168" s="104">
        <f t="shared" si="11"/>
        <v>0</v>
      </c>
      <c r="AV168" s="88">
        <f>ROUND(AV167+AW168-MIN(N(Crédits!$E$10),AV167+AW168),2)</f>
        <v>0</v>
      </c>
      <c r="AW168" s="89">
        <f>AV167*N(Crédits!$D$10)/12</f>
        <v>0</v>
      </c>
      <c r="AX168" s="105">
        <f t="shared" si="12"/>
        <v>0</v>
      </c>
      <c r="AY168" s="105">
        <f t="shared" ref="AY168:AZ168" si="186">F168+N168+V168+AD168+AL168+AT168</f>
        <v>0</v>
      </c>
      <c r="AZ168" s="105">
        <f t="shared" si="186"/>
        <v>0</v>
      </c>
      <c r="BA168" s="105">
        <f t="shared" si="14"/>
        <v>0</v>
      </c>
      <c r="BB168" s="105">
        <f t="shared" si="15"/>
        <v>0</v>
      </c>
    </row>
    <row r="169" spans="1:54" ht="15" customHeight="1" x14ac:dyDescent="0.25">
      <c r="A169" s="2">
        <v>167</v>
      </c>
      <c r="B169" s="83">
        <f t="shared" si="16"/>
        <v>0</v>
      </c>
      <c r="C169" s="83">
        <f>B169*N(Crédits!$D$5)/12</f>
        <v>0</v>
      </c>
      <c r="D169" s="83">
        <f>MIN(N(Crédits!$E$5),B169+C169)</f>
        <v>0</v>
      </c>
      <c r="E169" s="83">
        <f t="shared" si="0"/>
        <v>0</v>
      </c>
      <c r="F169" s="86">
        <f>IF(Crédits!$K$5="",0,MAX(0,MIN(E169,Plan!$L$171-(IF(Crédits!$K$6="",0,IF(Crédits!$K$6&lt;Crédits!$K$5,M169,0))+IF(Crédits!$K$7="",0,IF(Crédits!$K$7&lt;Crédits!$K$5,U169,0))+IF(Crédits!$K$8="",0,IF(Crédits!$K$8&lt;Crédits!$K$5,AC169,0))+IF(Crédits!$K$9="",0,IF(Crédits!$K$9&lt;Crédits!$K$5,AK169,0))+IF(Crédits!$K$10="",0,IF(Crédits!$K$10&lt;Crédits!$K$5,AS169,0))))))</f>
        <v>0</v>
      </c>
      <c r="G169" s="87">
        <f t="shared" si="1"/>
        <v>0</v>
      </c>
      <c r="H169" s="88">
        <f>ROUND(H168+I169-MIN(N(Crédits!$E$5),H168+I169),2)</f>
        <v>0</v>
      </c>
      <c r="I169" s="89">
        <f>H168*N(Crédits!$D$5)/12</f>
        <v>0</v>
      </c>
      <c r="J169" s="90">
        <f t="shared" si="17"/>
        <v>0</v>
      </c>
      <c r="K169" s="90">
        <f>J169*N(Crédits!$D$6)/12</f>
        <v>0</v>
      </c>
      <c r="L169" s="90">
        <f>MIN(N(Crédits!$E$6),J169+K169)</f>
        <v>0</v>
      </c>
      <c r="M169" s="90">
        <f t="shared" si="2"/>
        <v>0</v>
      </c>
      <c r="N169" s="91">
        <f>IF(Crédits!$K$6="",0,MAX(0,MIN(M169,Plan!$L$171-(IF(Crédits!$K$5="",0,IF(Crédits!$K$5&lt;Crédits!$K$6,E169,0))+IF(Crédits!$K$7="",0,IF(Crédits!$K$7&lt;Crédits!$K$6,U169,0))+IF(Crédits!$K$8="",0,IF(Crédits!$K$8&lt;Crédits!$K$6,AC169,0))+IF(Crédits!$K$9="",0,IF(Crédits!$K$9&lt;Crédits!$K$6,AK169,0))+IF(Crédits!$K$10="",0,IF(Crédits!$K$10&lt;Crédits!$K$6,AS169,0))))))</f>
        <v>0</v>
      </c>
      <c r="O169" s="92">
        <f t="shared" si="3"/>
        <v>0</v>
      </c>
      <c r="P169" s="88">
        <f>ROUND(P168+Q169-MIN(N(Crédits!$E$6),P168+Q169),2)</f>
        <v>0</v>
      </c>
      <c r="Q169" s="89">
        <f>P168*N(Crédits!$D$6)/12</f>
        <v>0</v>
      </c>
      <c r="R169" s="93">
        <f t="shared" si="18"/>
        <v>0</v>
      </c>
      <c r="S169" s="93">
        <f>R169*N(Crédits!$D$7)/12</f>
        <v>0</v>
      </c>
      <c r="T169" s="93">
        <f>MIN(N(Crédits!$E$7),R169+S169)</f>
        <v>0</v>
      </c>
      <c r="U169" s="93">
        <f t="shared" si="4"/>
        <v>0</v>
      </c>
      <c r="V169" s="94">
        <f>IF(Crédits!$K$7="",0,MAX(0,MIN(U169,Plan!$L$171-(IF(Crédits!$K$5="",0,IF(Crédits!$K$5&lt;Crédits!$K$7,E169,0))+IF(Crédits!$K$6="",0,IF(Crédits!$K$6&lt;Crédits!$K$7,M169,0))+IF(Crédits!$K$8="",0,IF(Crédits!$K$8&lt;Crédits!$K$7,AC169,0))+IF(Crédits!$K$9="",0,IF(Crédits!$K$9&lt;Crédits!$K$7,AK169,0))+IF(Crédits!$K$10="",0,IF(Crédits!$K$10&lt;Crédits!$K$7,AS169,0))))))</f>
        <v>0</v>
      </c>
      <c r="W169" s="95">
        <f t="shared" si="5"/>
        <v>0</v>
      </c>
      <c r="X169" s="88">
        <f>ROUND(X168+Y169-MIN(N(Crédits!$E$7),X168+Y169),2)</f>
        <v>0</v>
      </c>
      <c r="Y169" s="89">
        <f>X168*N(Crédits!$D$7)/12</f>
        <v>0</v>
      </c>
      <c r="Z169" s="96">
        <f t="shared" si="19"/>
        <v>0</v>
      </c>
      <c r="AA169" s="96">
        <f>Z169*N(Crédits!$D$8)/12</f>
        <v>0</v>
      </c>
      <c r="AB169" s="96">
        <f>MIN(N(Crédits!$E$8),Z169+AA169)</f>
        <v>0</v>
      </c>
      <c r="AC169" s="96">
        <f t="shared" si="6"/>
        <v>0</v>
      </c>
      <c r="AD169" s="97">
        <f>IF(Crédits!$K$8="",0,MAX(0,MIN(AC169,Plan!$L$171-(IF(Crédits!$K$5="",0,IF(Crédits!$K$5&lt;Crédits!$K$8,E169,0))+IF(Crédits!$K$6="",0,IF(Crédits!$K$6&lt;Crédits!$K$8,M169,0))+IF(Crédits!$K$7="",0,IF(Crédits!$K$7&lt;Crédits!$K$8,U169,0))+IF(Crédits!$K$9="",0,IF(Crédits!$K$9&lt;Crédits!$K$8,AK169,0))+IF(Crédits!$K$10="",0,IF(Crédits!$K$10&lt;Crédits!$K$8,AS169,0))))))</f>
        <v>0</v>
      </c>
      <c r="AE169" s="98">
        <f t="shared" si="7"/>
        <v>0</v>
      </c>
      <c r="AF169" s="88">
        <f>ROUND(AF168+AG169-MIN(N(Crédits!$E$8),AF168+AG169),2)</f>
        <v>0</v>
      </c>
      <c r="AG169" s="89">
        <f>AF168*N(Crédits!$D$8)/12</f>
        <v>0</v>
      </c>
      <c r="AH169" s="99">
        <f t="shared" si="20"/>
        <v>0</v>
      </c>
      <c r="AI169" s="99">
        <f>AH169*N(Crédits!$D$9)/12</f>
        <v>0</v>
      </c>
      <c r="AJ169" s="99">
        <f>MIN(N(Crédits!$E$9),AH169+AI169)</f>
        <v>0</v>
      </c>
      <c r="AK169" s="99">
        <f t="shared" si="8"/>
        <v>0</v>
      </c>
      <c r="AL169" s="100">
        <f>IF(Crédits!$K$9="",0,MAX(0,MIN(AK169,Plan!$L$171-(IF(Crédits!$K$5="",0,IF(Crédits!$K$5&lt;Crédits!$K$9,E169,0))+IF(Crédits!$K$6="",0,IF(Crédits!$K$6&lt;Crédits!$K$9,M169,0))+IF(Crédits!$K$7="",0,IF(Crédits!$K$7&lt;Crédits!$K$9,U169,0))+IF(Crédits!$K$8="",0,IF(Crédits!$K$8&lt;Crédits!$K$9,AC169,0))+IF(Crédits!$K$10="",0,IF(Crédits!$K$10&lt;Crédits!$K$9,AS169,0))))))</f>
        <v>0</v>
      </c>
      <c r="AM169" s="101">
        <f t="shared" si="9"/>
        <v>0</v>
      </c>
      <c r="AN169" s="88">
        <f>ROUND(AN168+AO169-MIN(N(Crédits!$E$9),AN168+AO169),2)</f>
        <v>0</v>
      </c>
      <c r="AO169" s="89">
        <f>AN168*N(Crédits!$D$9)/12</f>
        <v>0</v>
      </c>
      <c r="AP169" s="102">
        <f t="shared" si="21"/>
        <v>0</v>
      </c>
      <c r="AQ169" s="102">
        <f>AP169*N(Crédits!$D$10)/12</f>
        <v>0</v>
      </c>
      <c r="AR169" s="102">
        <f>MIN(N(Crédits!$E$10),AP169+AQ169)</f>
        <v>0</v>
      </c>
      <c r="AS169" s="102">
        <f t="shared" si="10"/>
        <v>0</v>
      </c>
      <c r="AT169" s="103">
        <f>IF(Crédits!$K$10="",0,MAX(0,MIN(AS169,Plan!$L$171-(IF(Crédits!$K$5="",0,IF(Crédits!$K$5&lt;Crédits!$K$10,E169,0))+IF(Crédits!$K$6="",0,IF(Crédits!$K$6&lt;Crédits!$K$10,M169,0))+IF(Crédits!$K$7="",0,IF(Crédits!$K$7&lt;Crédits!$K$10,U169,0))+IF(Crédits!$K$8="",0,IF(Crédits!$K$8&lt;Crédits!$K$10,AC169,0))+IF(Crédits!$K$9="",0,IF(Crédits!$K$9&lt;Crédits!$K$10,AK169,0))))))</f>
        <v>0</v>
      </c>
      <c r="AU169" s="104">
        <f t="shared" si="11"/>
        <v>0</v>
      </c>
      <c r="AV169" s="88">
        <f>ROUND(AV168+AW169-MIN(N(Crédits!$E$10),AV168+AW169),2)</f>
        <v>0</v>
      </c>
      <c r="AW169" s="89">
        <f>AV168*N(Crédits!$D$10)/12</f>
        <v>0</v>
      </c>
      <c r="AX169" s="105">
        <f t="shared" si="12"/>
        <v>0</v>
      </c>
      <c r="AY169" s="105">
        <f t="shared" ref="AY169:AZ169" si="187">F169+N169+V169+AD169+AL169+AT169</f>
        <v>0</v>
      </c>
      <c r="AZ169" s="105">
        <f t="shared" si="187"/>
        <v>0</v>
      </c>
      <c r="BA169" s="105">
        <f t="shared" si="14"/>
        <v>0</v>
      </c>
      <c r="BB169" s="105">
        <f t="shared" si="15"/>
        <v>0</v>
      </c>
    </row>
    <row r="170" spans="1:54" ht="15" customHeight="1" x14ac:dyDescent="0.25">
      <c r="A170" s="2">
        <v>168</v>
      </c>
      <c r="B170" s="83">
        <f t="shared" si="16"/>
        <v>0</v>
      </c>
      <c r="C170" s="83">
        <f>B170*N(Crédits!$D$5)/12</f>
        <v>0</v>
      </c>
      <c r="D170" s="83">
        <f>MIN(N(Crédits!$E$5),B170+C170)</f>
        <v>0</v>
      </c>
      <c r="E170" s="83">
        <f t="shared" si="0"/>
        <v>0</v>
      </c>
      <c r="F170" s="86">
        <f>IF(Crédits!$K$5="",0,MAX(0,MIN(E170,Plan!$L$172-(IF(Crédits!$K$6="",0,IF(Crédits!$K$6&lt;Crédits!$K$5,M170,0))+IF(Crédits!$K$7="",0,IF(Crédits!$K$7&lt;Crédits!$K$5,U170,0))+IF(Crédits!$K$8="",0,IF(Crédits!$K$8&lt;Crédits!$K$5,AC170,0))+IF(Crédits!$K$9="",0,IF(Crédits!$K$9&lt;Crédits!$K$5,AK170,0))+IF(Crédits!$K$10="",0,IF(Crédits!$K$10&lt;Crédits!$K$5,AS170,0))))))</f>
        <v>0</v>
      </c>
      <c r="G170" s="87">
        <f t="shared" si="1"/>
        <v>0</v>
      </c>
      <c r="H170" s="88">
        <f>ROUND(H169+I170-MIN(N(Crédits!$E$5),H169+I170),2)</f>
        <v>0</v>
      </c>
      <c r="I170" s="89">
        <f>H169*N(Crédits!$D$5)/12</f>
        <v>0</v>
      </c>
      <c r="J170" s="90">
        <f t="shared" si="17"/>
        <v>0</v>
      </c>
      <c r="K170" s="90">
        <f>J170*N(Crédits!$D$6)/12</f>
        <v>0</v>
      </c>
      <c r="L170" s="90">
        <f>MIN(N(Crédits!$E$6),J170+K170)</f>
        <v>0</v>
      </c>
      <c r="M170" s="90">
        <f t="shared" si="2"/>
        <v>0</v>
      </c>
      <c r="N170" s="91">
        <f>IF(Crédits!$K$6="",0,MAX(0,MIN(M170,Plan!$L$172-(IF(Crédits!$K$5="",0,IF(Crédits!$K$5&lt;Crédits!$K$6,E170,0))+IF(Crédits!$K$7="",0,IF(Crédits!$K$7&lt;Crédits!$K$6,U170,0))+IF(Crédits!$K$8="",0,IF(Crédits!$K$8&lt;Crédits!$K$6,AC170,0))+IF(Crédits!$K$9="",0,IF(Crédits!$K$9&lt;Crédits!$K$6,AK170,0))+IF(Crédits!$K$10="",0,IF(Crédits!$K$10&lt;Crédits!$K$6,AS170,0))))))</f>
        <v>0</v>
      </c>
      <c r="O170" s="92">
        <f t="shared" si="3"/>
        <v>0</v>
      </c>
      <c r="P170" s="88">
        <f>ROUND(P169+Q170-MIN(N(Crédits!$E$6),P169+Q170),2)</f>
        <v>0</v>
      </c>
      <c r="Q170" s="89">
        <f>P169*N(Crédits!$D$6)/12</f>
        <v>0</v>
      </c>
      <c r="R170" s="93">
        <f t="shared" si="18"/>
        <v>0</v>
      </c>
      <c r="S170" s="93">
        <f>R170*N(Crédits!$D$7)/12</f>
        <v>0</v>
      </c>
      <c r="T170" s="93">
        <f>MIN(N(Crédits!$E$7),R170+S170)</f>
        <v>0</v>
      </c>
      <c r="U170" s="93">
        <f t="shared" si="4"/>
        <v>0</v>
      </c>
      <c r="V170" s="94">
        <f>IF(Crédits!$K$7="",0,MAX(0,MIN(U170,Plan!$L$172-(IF(Crédits!$K$5="",0,IF(Crédits!$K$5&lt;Crédits!$K$7,E170,0))+IF(Crédits!$K$6="",0,IF(Crédits!$K$6&lt;Crédits!$K$7,M170,0))+IF(Crédits!$K$8="",0,IF(Crédits!$K$8&lt;Crédits!$K$7,AC170,0))+IF(Crédits!$K$9="",0,IF(Crédits!$K$9&lt;Crédits!$K$7,AK170,0))+IF(Crédits!$K$10="",0,IF(Crédits!$K$10&lt;Crédits!$K$7,AS170,0))))))</f>
        <v>0</v>
      </c>
      <c r="W170" s="95">
        <f t="shared" si="5"/>
        <v>0</v>
      </c>
      <c r="X170" s="88">
        <f>ROUND(X169+Y170-MIN(N(Crédits!$E$7),X169+Y170),2)</f>
        <v>0</v>
      </c>
      <c r="Y170" s="89">
        <f>X169*N(Crédits!$D$7)/12</f>
        <v>0</v>
      </c>
      <c r="Z170" s="96">
        <f t="shared" si="19"/>
        <v>0</v>
      </c>
      <c r="AA170" s="96">
        <f>Z170*N(Crédits!$D$8)/12</f>
        <v>0</v>
      </c>
      <c r="AB170" s="96">
        <f>MIN(N(Crédits!$E$8),Z170+AA170)</f>
        <v>0</v>
      </c>
      <c r="AC170" s="96">
        <f t="shared" si="6"/>
        <v>0</v>
      </c>
      <c r="AD170" s="97">
        <f>IF(Crédits!$K$8="",0,MAX(0,MIN(AC170,Plan!$L$172-(IF(Crédits!$K$5="",0,IF(Crédits!$K$5&lt;Crédits!$K$8,E170,0))+IF(Crédits!$K$6="",0,IF(Crédits!$K$6&lt;Crédits!$K$8,M170,0))+IF(Crédits!$K$7="",0,IF(Crédits!$K$7&lt;Crédits!$K$8,U170,0))+IF(Crédits!$K$9="",0,IF(Crédits!$K$9&lt;Crédits!$K$8,AK170,0))+IF(Crédits!$K$10="",0,IF(Crédits!$K$10&lt;Crédits!$K$8,AS170,0))))))</f>
        <v>0</v>
      </c>
      <c r="AE170" s="98">
        <f t="shared" si="7"/>
        <v>0</v>
      </c>
      <c r="AF170" s="88">
        <f>ROUND(AF169+AG170-MIN(N(Crédits!$E$8),AF169+AG170),2)</f>
        <v>0</v>
      </c>
      <c r="AG170" s="89">
        <f>AF169*N(Crédits!$D$8)/12</f>
        <v>0</v>
      </c>
      <c r="AH170" s="99">
        <f t="shared" si="20"/>
        <v>0</v>
      </c>
      <c r="AI170" s="99">
        <f>AH170*N(Crédits!$D$9)/12</f>
        <v>0</v>
      </c>
      <c r="AJ170" s="99">
        <f>MIN(N(Crédits!$E$9),AH170+AI170)</f>
        <v>0</v>
      </c>
      <c r="AK170" s="99">
        <f t="shared" si="8"/>
        <v>0</v>
      </c>
      <c r="AL170" s="100">
        <f>IF(Crédits!$K$9="",0,MAX(0,MIN(AK170,Plan!$L$172-(IF(Crédits!$K$5="",0,IF(Crédits!$K$5&lt;Crédits!$K$9,E170,0))+IF(Crédits!$K$6="",0,IF(Crédits!$K$6&lt;Crédits!$K$9,M170,0))+IF(Crédits!$K$7="",0,IF(Crédits!$K$7&lt;Crédits!$K$9,U170,0))+IF(Crédits!$K$8="",0,IF(Crédits!$K$8&lt;Crédits!$K$9,AC170,0))+IF(Crédits!$K$10="",0,IF(Crédits!$K$10&lt;Crédits!$K$9,AS170,0))))))</f>
        <v>0</v>
      </c>
      <c r="AM170" s="101">
        <f t="shared" si="9"/>
        <v>0</v>
      </c>
      <c r="AN170" s="88">
        <f>ROUND(AN169+AO170-MIN(N(Crédits!$E$9),AN169+AO170),2)</f>
        <v>0</v>
      </c>
      <c r="AO170" s="89">
        <f>AN169*N(Crédits!$D$9)/12</f>
        <v>0</v>
      </c>
      <c r="AP170" s="102">
        <f t="shared" si="21"/>
        <v>0</v>
      </c>
      <c r="AQ170" s="102">
        <f>AP170*N(Crédits!$D$10)/12</f>
        <v>0</v>
      </c>
      <c r="AR170" s="102">
        <f>MIN(N(Crédits!$E$10),AP170+AQ170)</f>
        <v>0</v>
      </c>
      <c r="AS170" s="102">
        <f t="shared" si="10"/>
        <v>0</v>
      </c>
      <c r="AT170" s="103">
        <f>IF(Crédits!$K$10="",0,MAX(0,MIN(AS170,Plan!$L$172-(IF(Crédits!$K$5="",0,IF(Crédits!$K$5&lt;Crédits!$K$10,E170,0))+IF(Crédits!$K$6="",0,IF(Crédits!$K$6&lt;Crédits!$K$10,M170,0))+IF(Crédits!$K$7="",0,IF(Crédits!$K$7&lt;Crédits!$K$10,U170,0))+IF(Crédits!$K$8="",0,IF(Crédits!$K$8&lt;Crédits!$K$10,AC170,0))+IF(Crédits!$K$9="",0,IF(Crédits!$K$9&lt;Crédits!$K$10,AK170,0))))))</f>
        <v>0</v>
      </c>
      <c r="AU170" s="104">
        <f t="shared" si="11"/>
        <v>0</v>
      </c>
      <c r="AV170" s="88">
        <f>ROUND(AV169+AW170-MIN(N(Crédits!$E$10),AV169+AW170),2)</f>
        <v>0</v>
      </c>
      <c r="AW170" s="89">
        <f>AV169*N(Crédits!$D$10)/12</f>
        <v>0</v>
      </c>
      <c r="AX170" s="105">
        <f t="shared" si="12"/>
        <v>0</v>
      </c>
      <c r="AY170" s="105">
        <f t="shared" ref="AY170:AZ170" si="188">F170+N170+V170+AD170+AL170+AT170</f>
        <v>0</v>
      </c>
      <c r="AZ170" s="105">
        <f t="shared" si="188"/>
        <v>0</v>
      </c>
      <c r="BA170" s="105">
        <f t="shared" si="14"/>
        <v>0</v>
      </c>
      <c r="BB170" s="105">
        <f t="shared" si="15"/>
        <v>0</v>
      </c>
    </row>
    <row r="171" spans="1:54" ht="15" customHeight="1" x14ac:dyDescent="0.25">
      <c r="A171" s="2">
        <v>169</v>
      </c>
      <c r="B171" s="83">
        <f t="shared" si="16"/>
        <v>0</v>
      </c>
      <c r="C171" s="83">
        <f>B171*N(Crédits!$D$5)/12</f>
        <v>0</v>
      </c>
      <c r="D171" s="83">
        <f>MIN(N(Crédits!$E$5),B171+C171)</f>
        <v>0</v>
      </c>
      <c r="E171" s="83">
        <f t="shared" si="0"/>
        <v>0</v>
      </c>
      <c r="F171" s="86">
        <f>IF(Crédits!$K$5="",0,MAX(0,MIN(E171,Plan!$L$173-(IF(Crédits!$K$6="",0,IF(Crédits!$K$6&lt;Crédits!$K$5,M171,0))+IF(Crédits!$K$7="",0,IF(Crédits!$K$7&lt;Crédits!$K$5,U171,0))+IF(Crédits!$K$8="",0,IF(Crédits!$K$8&lt;Crédits!$K$5,AC171,0))+IF(Crédits!$K$9="",0,IF(Crédits!$K$9&lt;Crédits!$K$5,AK171,0))+IF(Crédits!$K$10="",0,IF(Crédits!$K$10&lt;Crédits!$K$5,AS171,0))))))</f>
        <v>0</v>
      </c>
      <c r="G171" s="87">
        <f t="shared" si="1"/>
        <v>0</v>
      </c>
      <c r="H171" s="88">
        <f>ROUND(H170+I171-MIN(N(Crédits!$E$5),H170+I171),2)</f>
        <v>0</v>
      </c>
      <c r="I171" s="89">
        <f>H170*N(Crédits!$D$5)/12</f>
        <v>0</v>
      </c>
      <c r="J171" s="90">
        <f t="shared" si="17"/>
        <v>0</v>
      </c>
      <c r="K171" s="90">
        <f>J171*N(Crédits!$D$6)/12</f>
        <v>0</v>
      </c>
      <c r="L171" s="90">
        <f>MIN(N(Crédits!$E$6),J171+K171)</f>
        <v>0</v>
      </c>
      <c r="M171" s="90">
        <f t="shared" si="2"/>
        <v>0</v>
      </c>
      <c r="N171" s="91">
        <f>IF(Crédits!$K$6="",0,MAX(0,MIN(M171,Plan!$L$173-(IF(Crédits!$K$5="",0,IF(Crédits!$K$5&lt;Crédits!$K$6,E171,0))+IF(Crédits!$K$7="",0,IF(Crédits!$K$7&lt;Crédits!$K$6,U171,0))+IF(Crédits!$K$8="",0,IF(Crédits!$K$8&lt;Crédits!$K$6,AC171,0))+IF(Crédits!$K$9="",0,IF(Crédits!$K$9&lt;Crédits!$K$6,AK171,0))+IF(Crédits!$K$10="",0,IF(Crédits!$K$10&lt;Crédits!$K$6,AS171,0))))))</f>
        <v>0</v>
      </c>
      <c r="O171" s="92">
        <f t="shared" si="3"/>
        <v>0</v>
      </c>
      <c r="P171" s="88">
        <f>ROUND(P170+Q171-MIN(N(Crédits!$E$6),P170+Q171),2)</f>
        <v>0</v>
      </c>
      <c r="Q171" s="89">
        <f>P170*N(Crédits!$D$6)/12</f>
        <v>0</v>
      </c>
      <c r="R171" s="93">
        <f t="shared" si="18"/>
        <v>0</v>
      </c>
      <c r="S171" s="93">
        <f>R171*N(Crédits!$D$7)/12</f>
        <v>0</v>
      </c>
      <c r="T171" s="93">
        <f>MIN(N(Crédits!$E$7),R171+S171)</f>
        <v>0</v>
      </c>
      <c r="U171" s="93">
        <f t="shared" si="4"/>
        <v>0</v>
      </c>
      <c r="V171" s="94">
        <f>IF(Crédits!$K$7="",0,MAX(0,MIN(U171,Plan!$L$173-(IF(Crédits!$K$5="",0,IF(Crédits!$K$5&lt;Crédits!$K$7,E171,0))+IF(Crédits!$K$6="",0,IF(Crédits!$K$6&lt;Crédits!$K$7,M171,0))+IF(Crédits!$K$8="",0,IF(Crédits!$K$8&lt;Crédits!$K$7,AC171,0))+IF(Crédits!$K$9="",0,IF(Crédits!$K$9&lt;Crédits!$K$7,AK171,0))+IF(Crédits!$K$10="",0,IF(Crédits!$K$10&lt;Crédits!$K$7,AS171,0))))))</f>
        <v>0</v>
      </c>
      <c r="W171" s="95">
        <f t="shared" si="5"/>
        <v>0</v>
      </c>
      <c r="X171" s="88">
        <f>ROUND(X170+Y171-MIN(N(Crédits!$E$7),X170+Y171),2)</f>
        <v>0</v>
      </c>
      <c r="Y171" s="89">
        <f>X170*N(Crédits!$D$7)/12</f>
        <v>0</v>
      </c>
      <c r="Z171" s="96">
        <f t="shared" si="19"/>
        <v>0</v>
      </c>
      <c r="AA171" s="96">
        <f>Z171*N(Crédits!$D$8)/12</f>
        <v>0</v>
      </c>
      <c r="AB171" s="96">
        <f>MIN(N(Crédits!$E$8),Z171+AA171)</f>
        <v>0</v>
      </c>
      <c r="AC171" s="96">
        <f t="shared" si="6"/>
        <v>0</v>
      </c>
      <c r="AD171" s="97">
        <f>IF(Crédits!$K$8="",0,MAX(0,MIN(AC171,Plan!$L$173-(IF(Crédits!$K$5="",0,IF(Crédits!$K$5&lt;Crédits!$K$8,E171,0))+IF(Crédits!$K$6="",0,IF(Crédits!$K$6&lt;Crédits!$K$8,M171,0))+IF(Crédits!$K$7="",0,IF(Crédits!$K$7&lt;Crédits!$K$8,U171,0))+IF(Crédits!$K$9="",0,IF(Crédits!$K$9&lt;Crédits!$K$8,AK171,0))+IF(Crédits!$K$10="",0,IF(Crédits!$K$10&lt;Crédits!$K$8,AS171,0))))))</f>
        <v>0</v>
      </c>
      <c r="AE171" s="98">
        <f t="shared" si="7"/>
        <v>0</v>
      </c>
      <c r="AF171" s="88">
        <f>ROUND(AF170+AG171-MIN(N(Crédits!$E$8),AF170+AG171),2)</f>
        <v>0</v>
      </c>
      <c r="AG171" s="89">
        <f>AF170*N(Crédits!$D$8)/12</f>
        <v>0</v>
      </c>
      <c r="AH171" s="99">
        <f t="shared" si="20"/>
        <v>0</v>
      </c>
      <c r="AI171" s="99">
        <f>AH171*N(Crédits!$D$9)/12</f>
        <v>0</v>
      </c>
      <c r="AJ171" s="99">
        <f>MIN(N(Crédits!$E$9),AH171+AI171)</f>
        <v>0</v>
      </c>
      <c r="AK171" s="99">
        <f t="shared" si="8"/>
        <v>0</v>
      </c>
      <c r="AL171" s="100">
        <f>IF(Crédits!$K$9="",0,MAX(0,MIN(AK171,Plan!$L$173-(IF(Crédits!$K$5="",0,IF(Crédits!$K$5&lt;Crédits!$K$9,E171,0))+IF(Crédits!$K$6="",0,IF(Crédits!$K$6&lt;Crédits!$K$9,M171,0))+IF(Crédits!$K$7="",0,IF(Crédits!$K$7&lt;Crédits!$K$9,U171,0))+IF(Crédits!$K$8="",0,IF(Crédits!$K$8&lt;Crédits!$K$9,AC171,0))+IF(Crédits!$K$10="",0,IF(Crédits!$K$10&lt;Crédits!$K$9,AS171,0))))))</f>
        <v>0</v>
      </c>
      <c r="AM171" s="101">
        <f t="shared" si="9"/>
        <v>0</v>
      </c>
      <c r="AN171" s="88">
        <f>ROUND(AN170+AO171-MIN(N(Crédits!$E$9),AN170+AO171),2)</f>
        <v>0</v>
      </c>
      <c r="AO171" s="89">
        <f>AN170*N(Crédits!$D$9)/12</f>
        <v>0</v>
      </c>
      <c r="AP171" s="102">
        <f t="shared" si="21"/>
        <v>0</v>
      </c>
      <c r="AQ171" s="102">
        <f>AP171*N(Crédits!$D$10)/12</f>
        <v>0</v>
      </c>
      <c r="AR171" s="102">
        <f>MIN(N(Crédits!$E$10),AP171+AQ171)</f>
        <v>0</v>
      </c>
      <c r="AS171" s="102">
        <f t="shared" si="10"/>
        <v>0</v>
      </c>
      <c r="AT171" s="103">
        <f>IF(Crédits!$K$10="",0,MAX(0,MIN(AS171,Plan!$L$173-(IF(Crédits!$K$5="",0,IF(Crédits!$K$5&lt;Crédits!$K$10,E171,0))+IF(Crédits!$K$6="",0,IF(Crédits!$K$6&lt;Crédits!$K$10,M171,0))+IF(Crédits!$K$7="",0,IF(Crédits!$K$7&lt;Crédits!$K$10,U171,0))+IF(Crédits!$K$8="",0,IF(Crédits!$K$8&lt;Crédits!$K$10,AC171,0))+IF(Crédits!$K$9="",0,IF(Crédits!$K$9&lt;Crédits!$K$10,AK171,0))))))</f>
        <v>0</v>
      </c>
      <c r="AU171" s="104">
        <f t="shared" si="11"/>
        <v>0</v>
      </c>
      <c r="AV171" s="88">
        <f>ROUND(AV170+AW171-MIN(N(Crédits!$E$10),AV170+AW171),2)</f>
        <v>0</v>
      </c>
      <c r="AW171" s="89">
        <f>AV170*N(Crédits!$D$10)/12</f>
        <v>0</v>
      </c>
      <c r="AX171" s="105">
        <f t="shared" si="12"/>
        <v>0</v>
      </c>
      <c r="AY171" s="105">
        <f t="shared" ref="AY171:AZ171" si="189">F171+N171+V171+AD171+AL171+AT171</f>
        <v>0</v>
      </c>
      <c r="AZ171" s="105">
        <f t="shared" si="189"/>
        <v>0</v>
      </c>
      <c r="BA171" s="105">
        <f t="shared" si="14"/>
        <v>0</v>
      </c>
      <c r="BB171" s="105">
        <f t="shared" si="15"/>
        <v>0</v>
      </c>
    </row>
    <row r="172" spans="1:54" ht="15" customHeight="1" x14ac:dyDescent="0.25">
      <c r="A172" s="2">
        <v>170</v>
      </c>
      <c r="B172" s="83">
        <f t="shared" si="16"/>
        <v>0</v>
      </c>
      <c r="C172" s="83">
        <f>B172*N(Crédits!$D$5)/12</f>
        <v>0</v>
      </c>
      <c r="D172" s="83">
        <f>MIN(N(Crédits!$E$5),B172+C172)</f>
        <v>0</v>
      </c>
      <c r="E172" s="83">
        <f t="shared" si="0"/>
        <v>0</v>
      </c>
      <c r="F172" s="86">
        <f>IF(Crédits!$K$5="",0,MAX(0,MIN(E172,Plan!$L$174-(IF(Crédits!$K$6="",0,IF(Crédits!$K$6&lt;Crédits!$K$5,M172,0))+IF(Crédits!$K$7="",0,IF(Crédits!$K$7&lt;Crédits!$K$5,U172,0))+IF(Crédits!$K$8="",0,IF(Crédits!$K$8&lt;Crédits!$K$5,AC172,0))+IF(Crédits!$K$9="",0,IF(Crédits!$K$9&lt;Crédits!$K$5,AK172,0))+IF(Crédits!$K$10="",0,IF(Crédits!$K$10&lt;Crédits!$K$5,AS172,0))))))</f>
        <v>0</v>
      </c>
      <c r="G172" s="87">
        <f t="shared" si="1"/>
        <v>0</v>
      </c>
      <c r="H172" s="88">
        <f>ROUND(H171+I172-MIN(N(Crédits!$E$5),H171+I172),2)</f>
        <v>0</v>
      </c>
      <c r="I172" s="89">
        <f>H171*N(Crédits!$D$5)/12</f>
        <v>0</v>
      </c>
      <c r="J172" s="90">
        <f t="shared" si="17"/>
        <v>0</v>
      </c>
      <c r="K172" s="90">
        <f>J172*N(Crédits!$D$6)/12</f>
        <v>0</v>
      </c>
      <c r="L172" s="90">
        <f>MIN(N(Crédits!$E$6),J172+K172)</f>
        <v>0</v>
      </c>
      <c r="M172" s="90">
        <f t="shared" si="2"/>
        <v>0</v>
      </c>
      <c r="N172" s="91">
        <f>IF(Crédits!$K$6="",0,MAX(0,MIN(M172,Plan!$L$174-(IF(Crédits!$K$5="",0,IF(Crédits!$K$5&lt;Crédits!$K$6,E172,0))+IF(Crédits!$K$7="",0,IF(Crédits!$K$7&lt;Crédits!$K$6,U172,0))+IF(Crédits!$K$8="",0,IF(Crédits!$K$8&lt;Crédits!$K$6,AC172,0))+IF(Crédits!$K$9="",0,IF(Crédits!$K$9&lt;Crédits!$K$6,AK172,0))+IF(Crédits!$K$10="",0,IF(Crédits!$K$10&lt;Crédits!$K$6,AS172,0))))))</f>
        <v>0</v>
      </c>
      <c r="O172" s="92">
        <f t="shared" si="3"/>
        <v>0</v>
      </c>
      <c r="P172" s="88">
        <f>ROUND(P171+Q172-MIN(N(Crédits!$E$6),P171+Q172),2)</f>
        <v>0</v>
      </c>
      <c r="Q172" s="89">
        <f>P171*N(Crédits!$D$6)/12</f>
        <v>0</v>
      </c>
      <c r="R172" s="93">
        <f t="shared" si="18"/>
        <v>0</v>
      </c>
      <c r="S172" s="93">
        <f>R172*N(Crédits!$D$7)/12</f>
        <v>0</v>
      </c>
      <c r="T172" s="93">
        <f>MIN(N(Crédits!$E$7),R172+S172)</f>
        <v>0</v>
      </c>
      <c r="U172" s="93">
        <f t="shared" si="4"/>
        <v>0</v>
      </c>
      <c r="V172" s="94">
        <f>IF(Crédits!$K$7="",0,MAX(0,MIN(U172,Plan!$L$174-(IF(Crédits!$K$5="",0,IF(Crédits!$K$5&lt;Crédits!$K$7,E172,0))+IF(Crédits!$K$6="",0,IF(Crédits!$K$6&lt;Crédits!$K$7,M172,0))+IF(Crédits!$K$8="",0,IF(Crédits!$K$8&lt;Crédits!$K$7,AC172,0))+IF(Crédits!$K$9="",0,IF(Crédits!$K$9&lt;Crédits!$K$7,AK172,0))+IF(Crédits!$K$10="",0,IF(Crédits!$K$10&lt;Crédits!$K$7,AS172,0))))))</f>
        <v>0</v>
      </c>
      <c r="W172" s="95">
        <f t="shared" si="5"/>
        <v>0</v>
      </c>
      <c r="X172" s="88">
        <f>ROUND(X171+Y172-MIN(N(Crédits!$E$7),X171+Y172),2)</f>
        <v>0</v>
      </c>
      <c r="Y172" s="89">
        <f>X171*N(Crédits!$D$7)/12</f>
        <v>0</v>
      </c>
      <c r="Z172" s="96">
        <f t="shared" si="19"/>
        <v>0</v>
      </c>
      <c r="AA172" s="96">
        <f>Z172*N(Crédits!$D$8)/12</f>
        <v>0</v>
      </c>
      <c r="AB172" s="96">
        <f>MIN(N(Crédits!$E$8),Z172+AA172)</f>
        <v>0</v>
      </c>
      <c r="AC172" s="96">
        <f t="shared" si="6"/>
        <v>0</v>
      </c>
      <c r="AD172" s="97">
        <f>IF(Crédits!$K$8="",0,MAX(0,MIN(AC172,Plan!$L$174-(IF(Crédits!$K$5="",0,IF(Crédits!$K$5&lt;Crédits!$K$8,E172,0))+IF(Crédits!$K$6="",0,IF(Crédits!$K$6&lt;Crédits!$K$8,M172,0))+IF(Crédits!$K$7="",0,IF(Crédits!$K$7&lt;Crédits!$K$8,U172,0))+IF(Crédits!$K$9="",0,IF(Crédits!$K$9&lt;Crédits!$K$8,AK172,0))+IF(Crédits!$K$10="",0,IF(Crédits!$K$10&lt;Crédits!$K$8,AS172,0))))))</f>
        <v>0</v>
      </c>
      <c r="AE172" s="98">
        <f t="shared" si="7"/>
        <v>0</v>
      </c>
      <c r="AF172" s="88">
        <f>ROUND(AF171+AG172-MIN(N(Crédits!$E$8),AF171+AG172),2)</f>
        <v>0</v>
      </c>
      <c r="AG172" s="89">
        <f>AF171*N(Crédits!$D$8)/12</f>
        <v>0</v>
      </c>
      <c r="AH172" s="99">
        <f t="shared" si="20"/>
        <v>0</v>
      </c>
      <c r="AI172" s="99">
        <f>AH172*N(Crédits!$D$9)/12</f>
        <v>0</v>
      </c>
      <c r="AJ172" s="99">
        <f>MIN(N(Crédits!$E$9),AH172+AI172)</f>
        <v>0</v>
      </c>
      <c r="AK172" s="99">
        <f t="shared" si="8"/>
        <v>0</v>
      </c>
      <c r="AL172" s="100">
        <f>IF(Crédits!$K$9="",0,MAX(0,MIN(AK172,Plan!$L$174-(IF(Crédits!$K$5="",0,IF(Crédits!$K$5&lt;Crédits!$K$9,E172,0))+IF(Crédits!$K$6="",0,IF(Crédits!$K$6&lt;Crédits!$K$9,M172,0))+IF(Crédits!$K$7="",0,IF(Crédits!$K$7&lt;Crédits!$K$9,U172,0))+IF(Crédits!$K$8="",0,IF(Crédits!$K$8&lt;Crédits!$K$9,AC172,0))+IF(Crédits!$K$10="",0,IF(Crédits!$K$10&lt;Crédits!$K$9,AS172,0))))))</f>
        <v>0</v>
      </c>
      <c r="AM172" s="101">
        <f t="shared" si="9"/>
        <v>0</v>
      </c>
      <c r="AN172" s="88">
        <f>ROUND(AN171+AO172-MIN(N(Crédits!$E$9),AN171+AO172),2)</f>
        <v>0</v>
      </c>
      <c r="AO172" s="89">
        <f>AN171*N(Crédits!$D$9)/12</f>
        <v>0</v>
      </c>
      <c r="AP172" s="102">
        <f t="shared" si="21"/>
        <v>0</v>
      </c>
      <c r="AQ172" s="102">
        <f>AP172*N(Crédits!$D$10)/12</f>
        <v>0</v>
      </c>
      <c r="AR172" s="102">
        <f>MIN(N(Crédits!$E$10),AP172+AQ172)</f>
        <v>0</v>
      </c>
      <c r="AS172" s="102">
        <f t="shared" si="10"/>
        <v>0</v>
      </c>
      <c r="AT172" s="103">
        <f>IF(Crédits!$K$10="",0,MAX(0,MIN(AS172,Plan!$L$174-(IF(Crédits!$K$5="",0,IF(Crédits!$K$5&lt;Crédits!$K$10,E172,0))+IF(Crédits!$K$6="",0,IF(Crédits!$K$6&lt;Crédits!$K$10,M172,0))+IF(Crédits!$K$7="",0,IF(Crédits!$K$7&lt;Crédits!$K$10,U172,0))+IF(Crédits!$K$8="",0,IF(Crédits!$K$8&lt;Crédits!$K$10,AC172,0))+IF(Crédits!$K$9="",0,IF(Crédits!$K$9&lt;Crédits!$K$10,AK172,0))))))</f>
        <v>0</v>
      </c>
      <c r="AU172" s="104">
        <f t="shared" si="11"/>
        <v>0</v>
      </c>
      <c r="AV172" s="88">
        <f>ROUND(AV171+AW172-MIN(N(Crédits!$E$10),AV171+AW172),2)</f>
        <v>0</v>
      </c>
      <c r="AW172" s="89">
        <f>AV171*N(Crédits!$D$10)/12</f>
        <v>0</v>
      </c>
      <c r="AX172" s="105">
        <f t="shared" si="12"/>
        <v>0</v>
      </c>
      <c r="AY172" s="105">
        <f t="shared" ref="AY172:AZ172" si="190">F172+N172+V172+AD172+AL172+AT172</f>
        <v>0</v>
      </c>
      <c r="AZ172" s="105">
        <f t="shared" si="190"/>
        <v>0</v>
      </c>
      <c r="BA172" s="105">
        <f t="shared" si="14"/>
        <v>0</v>
      </c>
      <c r="BB172" s="105">
        <f t="shared" si="15"/>
        <v>0</v>
      </c>
    </row>
    <row r="173" spans="1:54" ht="15" customHeight="1" x14ac:dyDescent="0.25">
      <c r="A173" s="2">
        <v>171</v>
      </c>
      <c r="B173" s="83">
        <f t="shared" si="16"/>
        <v>0</v>
      </c>
      <c r="C173" s="83">
        <f>B173*N(Crédits!$D$5)/12</f>
        <v>0</v>
      </c>
      <c r="D173" s="83">
        <f>MIN(N(Crédits!$E$5),B173+C173)</f>
        <v>0</v>
      </c>
      <c r="E173" s="83">
        <f t="shared" si="0"/>
        <v>0</v>
      </c>
      <c r="F173" s="86">
        <f>IF(Crédits!$K$5="",0,MAX(0,MIN(E173,Plan!$L$175-(IF(Crédits!$K$6="",0,IF(Crédits!$K$6&lt;Crédits!$K$5,M173,0))+IF(Crédits!$K$7="",0,IF(Crédits!$K$7&lt;Crédits!$K$5,U173,0))+IF(Crédits!$K$8="",0,IF(Crédits!$K$8&lt;Crédits!$K$5,AC173,0))+IF(Crédits!$K$9="",0,IF(Crédits!$K$9&lt;Crédits!$K$5,AK173,0))+IF(Crédits!$K$10="",0,IF(Crédits!$K$10&lt;Crédits!$K$5,AS173,0))))))</f>
        <v>0</v>
      </c>
      <c r="G173" s="87">
        <f t="shared" si="1"/>
        <v>0</v>
      </c>
      <c r="H173" s="88">
        <f>ROUND(H172+I173-MIN(N(Crédits!$E$5),H172+I173),2)</f>
        <v>0</v>
      </c>
      <c r="I173" s="89">
        <f>H172*N(Crédits!$D$5)/12</f>
        <v>0</v>
      </c>
      <c r="J173" s="90">
        <f t="shared" si="17"/>
        <v>0</v>
      </c>
      <c r="K173" s="90">
        <f>J173*N(Crédits!$D$6)/12</f>
        <v>0</v>
      </c>
      <c r="L173" s="90">
        <f>MIN(N(Crédits!$E$6),J173+K173)</f>
        <v>0</v>
      </c>
      <c r="M173" s="90">
        <f t="shared" si="2"/>
        <v>0</v>
      </c>
      <c r="N173" s="91">
        <f>IF(Crédits!$K$6="",0,MAX(0,MIN(M173,Plan!$L$175-(IF(Crédits!$K$5="",0,IF(Crédits!$K$5&lt;Crédits!$K$6,E173,0))+IF(Crédits!$K$7="",0,IF(Crédits!$K$7&lt;Crédits!$K$6,U173,0))+IF(Crédits!$K$8="",0,IF(Crédits!$K$8&lt;Crédits!$K$6,AC173,0))+IF(Crédits!$K$9="",0,IF(Crédits!$K$9&lt;Crédits!$K$6,AK173,0))+IF(Crédits!$K$10="",0,IF(Crédits!$K$10&lt;Crédits!$K$6,AS173,0))))))</f>
        <v>0</v>
      </c>
      <c r="O173" s="92">
        <f t="shared" si="3"/>
        <v>0</v>
      </c>
      <c r="P173" s="88">
        <f>ROUND(P172+Q173-MIN(N(Crédits!$E$6),P172+Q173),2)</f>
        <v>0</v>
      </c>
      <c r="Q173" s="89">
        <f>P172*N(Crédits!$D$6)/12</f>
        <v>0</v>
      </c>
      <c r="R173" s="93">
        <f t="shared" si="18"/>
        <v>0</v>
      </c>
      <c r="S173" s="93">
        <f>R173*N(Crédits!$D$7)/12</f>
        <v>0</v>
      </c>
      <c r="T173" s="93">
        <f>MIN(N(Crédits!$E$7),R173+S173)</f>
        <v>0</v>
      </c>
      <c r="U173" s="93">
        <f t="shared" si="4"/>
        <v>0</v>
      </c>
      <c r="V173" s="94">
        <f>IF(Crédits!$K$7="",0,MAX(0,MIN(U173,Plan!$L$175-(IF(Crédits!$K$5="",0,IF(Crédits!$K$5&lt;Crédits!$K$7,E173,0))+IF(Crédits!$K$6="",0,IF(Crédits!$K$6&lt;Crédits!$K$7,M173,0))+IF(Crédits!$K$8="",0,IF(Crédits!$K$8&lt;Crédits!$K$7,AC173,0))+IF(Crédits!$K$9="",0,IF(Crédits!$K$9&lt;Crédits!$K$7,AK173,0))+IF(Crédits!$K$10="",0,IF(Crédits!$K$10&lt;Crédits!$K$7,AS173,0))))))</f>
        <v>0</v>
      </c>
      <c r="W173" s="95">
        <f t="shared" si="5"/>
        <v>0</v>
      </c>
      <c r="X173" s="88">
        <f>ROUND(X172+Y173-MIN(N(Crédits!$E$7),X172+Y173),2)</f>
        <v>0</v>
      </c>
      <c r="Y173" s="89">
        <f>X172*N(Crédits!$D$7)/12</f>
        <v>0</v>
      </c>
      <c r="Z173" s="96">
        <f t="shared" si="19"/>
        <v>0</v>
      </c>
      <c r="AA173" s="96">
        <f>Z173*N(Crédits!$D$8)/12</f>
        <v>0</v>
      </c>
      <c r="AB173" s="96">
        <f>MIN(N(Crédits!$E$8),Z173+AA173)</f>
        <v>0</v>
      </c>
      <c r="AC173" s="96">
        <f t="shared" si="6"/>
        <v>0</v>
      </c>
      <c r="AD173" s="97">
        <f>IF(Crédits!$K$8="",0,MAX(0,MIN(AC173,Plan!$L$175-(IF(Crédits!$K$5="",0,IF(Crédits!$K$5&lt;Crédits!$K$8,E173,0))+IF(Crédits!$K$6="",0,IF(Crédits!$K$6&lt;Crédits!$K$8,M173,0))+IF(Crédits!$K$7="",0,IF(Crédits!$K$7&lt;Crédits!$K$8,U173,0))+IF(Crédits!$K$9="",0,IF(Crédits!$K$9&lt;Crédits!$K$8,AK173,0))+IF(Crédits!$K$10="",0,IF(Crédits!$K$10&lt;Crédits!$K$8,AS173,0))))))</f>
        <v>0</v>
      </c>
      <c r="AE173" s="98">
        <f t="shared" si="7"/>
        <v>0</v>
      </c>
      <c r="AF173" s="88">
        <f>ROUND(AF172+AG173-MIN(N(Crédits!$E$8),AF172+AG173),2)</f>
        <v>0</v>
      </c>
      <c r="AG173" s="89">
        <f>AF172*N(Crédits!$D$8)/12</f>
        <v>0</v>
      </c>
      <c r="AH173" s="99">
        <f t="shared" si="20"/>
        <v>0</v>
      </c>
      <c r="AI173" s="99">
        <f>AH173*N(Crédits!$D$9)/12</f>
        <v>0</v>
      </c>
      <c r="AJ173" s="99">
        <f>MIN(N(Crédits!$E$9),AH173+AI173)</f>
        <v>0</v>
      </c>
      <c r="AK173" s="99">
        <f t="shared" si="8"/>
        <v>0</v>
      </c>
      <c r="AL173" s="100">
        <f>IF(Crédits!$K$9="",0,MAX(0,MIN(AK173,Plan!$L$175-(IF(Crédits!$K$5="",0,IF(Crédits!$K$5&lt;Crédits!$K$9,E173,0))+IF(Crédits!$K$6="",0,IF(Crédits!$K$6&lt;Crédits!$K$9,M173,0))+IF(Crédits!$K$7="",0,IF(Crédits!$K$7&lt;Crédits!$K$9,U173,0))+IF(Crédits!$K$8="",0,IF(Crédits!$K$8&lt;Crédits!$K$9,AC173,0))+IF(Crédits!$K$10="",0,IF(Crédits!$K$10&lt;Crédits!$K$9,AS173,0))))))</f>
        <v>0</v>
      </c>
      <c r="AM173" s="101">
        <f t="shared" si="9"/>
        <v>0</v>
      </c>
      <c r="AN173" s="88">
        <f>ROUND(AN172+AO173-MIN(N(Crédits!$E$9),AN172+AO173),2)</f>
        <v>0</v>
      </c>
      <c r="AO173" s="89">
        <f>AN172*N(Crédits!$D$9)/12</f>
        <v>0</v>
      </c>
      <c r="AP173" s="102">
        <f t="shared" si="21"/>
        <v>0</v>
      </c>
      <c r="AQ173" s="102">
        <f>AP173*N(Crédits!$D$10)/12</f>
        <v>0</v>
      </c>
      <c r="AR173" s="102">
        <f>MIN(N(Crédits!$E$10),AP173+AQ173)</f>
        <v>0</v>
      </c>
      <c r="AS173" s="102">
        <f t="shared" si="10"/>
        <v>0</v>
      </c>
      <c r="AT173" s="103">
        <f>IF(Crédits!$K$10="",0,MAX(0,MIN(AS173,Plan!$L$175-(IF(Crédits!$K$5="",0,IF(Crédits!$K$5&lt;Crédits!$K$10,E173,0))+IF(Crédits!$K$6="",0,IF(Crédits!$K$6&lt;Crédits!$K$10,M173,0))+IF(Crédits!$K$7="",0,IF(Crédits!$K$7&lt;Crédits!$K$10,U173,0))+IF(Crédits!$K$8="",0,IF(Crédits!$K$8&lt;Crédits!$K$10,AC173,0))+IF(Crédits!$K$9="",0,IF(Crédits!$K$9&lt;Crédits!$K$10,AK173,0))))))</f>
        <v>0</v>
      </c>
      <c r="AU173" s="104">
        <f t="shared" si="11"/>
        <v>0</v>
      </c>
      <c r="AV173" s="88">
        <f>ROUND(AV172+AW173-MIN(N(Crédits!$E$10),AV172+AW173),2)</f>
        <v>0</v>
      </c>
      <c r="AW173" s="89">
        <f>AV172*N(Crédits!$D$10)/12</f>
        <v>0</v>
      </c>
      <c r="AX173" s="105">
        <f t="shared" si="12"/>
        <v>0</v>
      </c>
      <c r="AY173" s="105">
        <f t="shared" ref="AY173:AZ173" si="191">F173+N173+V173+AD173+AL173+AT173</f>
        <v>0</v>
      </c>
      <c r="AZ173" s="105">
        <f t="shared" si="191"/>
        <v>0</v>
      </c>
      <c r="BA173" s="105">
        <f t="shared" si="14"/>
        <v>0</v>
      </c>
      <c r="BB173" s="105">
        <f t="shared" si="15"/>
        <v>0</v>
      </c>
    </row>
    <row r="174" spans="1:54" ht="15" customHeight="1" x14ac:dyDescent="0.25">
      <c r="A174" s="2">
        <v>172</v>
      </c>
      <c r="B174" s="83">
        <f t="shared" si="16"/>
        <v>0</v>
      </c>
      <c r="C174" s="83">
        <f>B174*N(Crédits!$D$5)/12</f>
        <v>0</v>
      </c>
      <c r="D174" s="83">
        <f>MIN(N(Crédits!$E$5),B174+C174)</f>
        <v>0</v>
      </c>
      <c r="E174" s="83">
        <f t="shared" si="0"/>
        <v>0</v>
      </c>
      <c r="F174" s="86">
        <f>IF(Crédits!$K$5="",0,MAX(0,MIN(E174,Plan!$L$176-(IF(Crédits!$K$6="",0,IF(Crédits!$K$6&lt;Crédits!$K$5,M174,0))+IF(Crédits!$K$7="",0,IF(Crédits!$K$7&lt;Crédits!$K$5,U174,0))+IF(Crédits!$K$8="",0,IF(Crédits!$K$8&lt;Crédits!$K$5,AC174,0))+IF(Crédits!$K$9="",0,IF(Crédits!$K$9&lt;Crédits!$K$5,AK174,0))+IF(Crédits!$K$10="",0,IF(Crédits!$K$10&lt;Crédits!$K$5,AS174,0))))))</f>
        <v>0</v>
      </c>
      <c r="G174" s="87">
        <f t="shared" si="1"/>
        <v>0</v>
      </c>
      <c r="H174" s="88">
        <f>ROUND(H173+I174-MIN(N(Crédits!$E$5),H173+I174),2)</f>
        <v>0</v>
      </c>
      <c r="I174" s="89">
        <f>H173*N(Crédits!$D$5)/12</f>
        <v>0</v>
      </c>
      <c r="J174" s="90">
        <f t="shared" si="17"/>
        <v>0</v>
      </c>
      <c r="K174" s="90">
        <f>J174*N(Crédits!$D$6)/12</f>
        <v>0</v>
      </c>
      <c r="L174" s="90">
        <f>MIN(N(Crédits!$E$6),J174+K174)</f>
        <v>0</v>
      </c>
      <c r="M174" s="90">
        <f t="shared" si="2"/>
        <v>0</v>
      </c>
      <c r="N174" s="91">
        <f>IF(Crédits!$K$6="",0,MAX(0,MIN(M174,Plan!$L$176-(IF(Crédits!$K$5="",0,IF(Crédits!$K$5&lt;Crédits!$K$6,E174,0))+IF(Crédits!$K$7="",0,IF(Crédits!$K$7&lt;Crédits!$K$6,U174,0))+IF(Crédits!$K$8="",0,IF(Crédits!$K$8&lt;Crédits!$K$6,AC174,0))+IF(Crédits!$K$9="",0,IF(Crédits!$K$9&lt;Crédits!$K$6,AK174,0))+IF(Crédits!$K$10="",0,IF(Crédits!$K$10&lt;Crédits!$K$6,AS174,0))))))</f>
        <v>0</v>
      </c>
      <c r="O174" s="92">
        <f t="shared" si="3"/>
        <v>0</v>
      </c>
      <c r="P174" s="88">
        <f>ROUND(P173+Q174-MIN(N(Crédits!$E$6),P173+Q174),2)</f>
        <v>0</v>
      </c>
      <c r="Q174" s="89">
        <f>P173*N(Crédits!$D$6)/12</f>
        <v>0</v>
      </c>
      <c r="R174" s="93">
        <f t="shared" si="18"/>
        <v>0</v>
      </c>
      <c r="S174" s="93">
        <f>R174*N(Crédits!$D$7)/12</f>
        <v>0</v>
      </c>
      <c r="T174" s="93">
        <f>MIN(N(Crédits!$E$7),R174+S174)</f>
        <v>0</v>
      </c>
      <c r="U174" s="93">
        <f t="shared" si="4"/>
        <v>0</v>
      </c>
      <c r="V174" s="94">
        <f>IF(Crédits!$K$7="",0,MAX(0,MIN(U174,Plan!$L$176-(IF(Crédits!$K$5="",0,IF(Crédits!$K$5&lt;Crédits!$K$7,E174,0))+IF(Crédits!$K$6="",0,IF(Crédits!$K$6&lt;Crédits!$K$7,M174,0))+IF(Crédits!$K$8="",0,IF(Crédits!$K$8&lt;Crédits!$K$7,AC174,0))+IF(Crédits!$K$9="",0,IF(Crédits!$K$9&lt;Crédits!$K$7,AK174,0))+IF(Crédits!$K$10="",0,IF(Crédits!$K$10&lt;Crédits!$K$7,AS174,0))))))</f>
        <v>0</v>
      </c>
      <c r="W174" s="95">
        <f t="shared" si="5"/>
        <v>0</v>
      </c>
      <c r="X174" s="88">
        <f>ROUND(X173+Y174-MIN(N(Crédits!$E$7),X173+Y174),2)</f>
        <v>0</v>
      </c>
      <c r="Y174" s="89">
        <f>X173*N(Crédits!$D$7)/12</f>
        <v>0</v>
      </c>
      <c r="Z174" s="96">
        <f t="shared" si="19"/>
        <v>0</v>
      </c>
      <c r="AA174" s="96">
        <f>Z174*N(Crédits!$D$8)/12</f>
        <v>0</v>
      </c>
      <c r="AB174" s="96">
        <f>MIN(N(Crédits!$E$8),Z174+AA174)</f>
        <v>0</v>
      </c>
      <c r="AC174" s="96">
        <f t="shared" si="6"/>
        <v>0</v>
      </c>
      <c r="AD174" s="97">
        <f>IF(Crédits!$K$8="",0,MAX(0,MIN(AC174,Plan!$L$176-(IF(Crédits!$K$5="",0,IF(Crédits!$K$5&lt;Crédits!$K$8,E174,0))+IF(Crédits!$K$6="",0,IF(Crédits!$K$6&lt;Crédits!$K$8,M174,0))+IF(Crédits!$K$7="",0,IF(Crédits!$K$7&lt;Crédits!$K$8,U174,0))+IF(Crédits!$K$9="",0,IF(Crédits!$K$9&lt;Crédits!$K$8,AK174,0))+IF(Crédits!$K$10="",0,IF(Crédits!$K$10&lt;Crédits!$K$8,AS174,0))))))</f>
        <v>0</v>
      </c>
      <c r="AE174" s="98">
        <f t="shared" si="7"/>
        <v>0</v>
      </c>
      <c r="AF174" s="88">
        <f>ROUND(AF173+AG174-MIN(N(Crédits!$E$8),AF173+AG174),2)</f>
        <v>0</v>
      </c>
      <c r="AG174" s="89">
        <f>AF173*N(Crédits!$D$8)/12</f>
        <v>0</v>
      </c>
      <c r="AH174" s="99">
        <f t="shared" si="20"/>
        <v>0</v>
      </c>
      <c r="AI174" s="99">
        <f>AH174*N(Crédits!$D$9)/12</f>
        <v>0</v>
      </c>
      <c r="AJ174" s="99">
        <f>MIN(N(Crédits!$E$9),AH174+AI174)</f>
        <v>0</v>
      </c>
      <c r="AK174" s="99">
        <f t="shared" si="8"/>
        <v>0</v>
      </c>
      <c r="AL174" s="100">
        <f>IF(Crédits!$K$9="",0,MAX(0,MIN(AK174,Plan!$L$176-(IF(Crédits!$K$5="",0,IF(Crédits!$K$5&lt;Crédits!$K$9,E174,0))+IF(Crédits!$K$6="",0,IF(Crédits!$K$6&lt;Crédits!$K$9,M174,0))+IF(Crédits!$K$7="",0,IF(Crédits!$K$7&lt;Crédits!$K$9,U174,0))+IF(Crédits!$K$8="",0,IF(Crédits!$K$8&lt;Crédits!$K$9,AC174,0))+IF(Crédits!$K$10="",0,IF(Crédits!$K$10&lt;Crédits!$K$9,AS174,0))))))</f>
        <v>0</v>
      </c>
      <c r="AM174" s="101">
        <f t="shared" si="9"/>
        <v>0</v>
      </c>
      <c r="AN174" s="88">
        <f>ROUND(AN173+AO174-MIN(N(Crédits!$E$9),AN173+AO174),2)</f>
        <v>0</v>
      </c>
      <c r="AO174" s="89">
        <f>AN173*N(Crédits!$D$9)/12</f>
        <v>0</v>
      </c>
      <c r="AP174" s="102">
        <f t="shared" si="21"/>
        <v>0</v>
      </c>
      <c r="AQ174" s="102">
        <f>AP174*N(Crédits!$D$10)/12</f>
        <v>0</v>
      </c>
      <c r="AR174" s="102">
        <f>MIN(N(Crédits!$E$10),AP174+AQ174)</f>
        <v>0</v>
      </c>
      <c r="AS174" s="102">
        <f t="shared" si="10"/>
        <v>0</v>
      </c>
      <c r="AT174" s="103">
        <f>IF(Crédits!$K$10="",0,MAX(0,MIN(AS174,Plan!$L$176-(IF(Crédits!$K$5="",0,IF(Crédits!$K$5&lt;Crédits!$K$10,E174,0))+IF(Crédits!$K$6="",0,IF(Crédits!$K$6&lt;Crédits!$K$10,M174,0))+IF(Crédits!$K$7="",0,IF(Crédits!$K$7&lt;Crédits!$K$10,U174,0))+IF(Crédits!$K$8="",0,IF(Crédits!$K$8&lt;Crédits!$K$10,AC174,0))+IF(Crédits!$K$9="",0,IF(Crédits!$K$9&lt;Crédits!$K$10,AK174,0))))))</f>
        <v>0</v>
      </c>
      <c r="AU174" s="104">
        <f t="shared" si="11"/>
        <v>0</v>
      </c>
      <c r="AV174" s="88">
        <f>ROUND(AV173+AW174-MIN(N(Crédits!$E$10),AV173+AW174),2)</f>
        <v>0</v>
      </c>
      <c r="AW174" s="89">
        <f>AV173*N(Crédits!$D$10)/12</f>
        <v>0</v>
      </c>
      <c r="AX174" s="105">
        <f t="shared" si="12"/>
        <v>0</v>
      </c>
      <c r="AY174" s="105">
        <f t="shared" ref="AY174:AZ174" si="192">F174+N174+V174+AD174+AL174+AT174</f>
        <v>0</v>
      </c>
      <c r="AZ174" s="105">
        <f t="shared" si="192"/>
        <v>0</v>
      </c>
      <c r="BA174" s="105">
        <f t="shared" si="14"/>
        <v>0</v>
      </c>
      <c r="BB174" s="105">
        <f t="shared" si="15"/>
        <v>0</v>
      </c>
    </row>
    <row r="175" spans="1:54" ht="15" customHeight="1" x14ac:dyDescent="0.25">
      <c r="A175" s="2">
        <v>173</v>
      </c>
      <c r="B175" s="83">
        <f t="shared" si="16"/>
        <v>0</v>
      </c>
      <c r="C175" s="83">
        <f>B175*N(Crédits!$D$5)/12</f>
        <v>0</v>
      </c>
      <c r="D175" s="83">
        <f>MIN(N(Crédits!$E$5),B175+C175)</f>
        <v>0</v>
      </c>
      <c r="E175" s="83">
        <f t="shared" si="0"/>
        <v>0</v>
      </c>
      <c r="F175" s="86">
        <f>IF(Crédits!$K$5="",0,MAX(0,MIN(E175,Plan!$L$177-(IF(Crédits!$K$6="",0,IF(Crédits!$K$6&lt;Crédits!$K$5,M175,0))+IF(Crédits!$K$7="",0,IF(Crédits!$K$7&lt;Crédits!$K$5,U175,0))+IF(Crédits!$K$8="",0,IF(Crédits!$K$8&lt;Crédits!$K$5,AC175,0))+IF(Crédits!$K$9="",0,IF(Crédits!$K$9&lt;Crédits!$K$5,AK175,0))+IF(Crédits!$K$10="",0,IF(Crédits!$K$10&lt;Crédits!$K$5,AS175,0))))))</f>
        <v>0</v>
      </c>
      <c r="G175" s="87">
        <f t="shared" si="1"/>
        <v>0</v>
      </c>
      <c r="H175" s="88">
        <f>ROUND(H174+I175-MIN(N(Crédits!$E$5),H174+I175),2)</f>
        <v>0</v>
      </c>
      <c r="I175" s="89">
        <f>H174*N(Crédits!$D$5)/12</f>
        <v>0</v>
      </c>
      <c r="J175" s="90">
        <f t="shared" si="17"/>
        <v>0</v>
      </c>
      <c r="K175" s="90">
        <f>J175*N(Crédits!$D$6)/12</f>
        <v>0</v>
      </c>
      <c r="L175" s="90">
        <f>MIN(N(Crédits!$E$6),J175+K175)</f>
        <v>0</v>
      </c>
      <c r="M175" s="90">
        <f t="shared" si="2"/>
        <v>0</v>
      </c>
      <c r="N175" s="91">
        <f>IF(Crédits!$K$6="",0,MAX(0,MIN(M175,Plan!$L$177-(IF(Crédits!$K$5="",0,IF(Crédits!$K$5&lt;Crédits!$K$6,E175,0))+IF(Crédits!$K$7="",0,IF(Crédits!$K$7&lt;Crédits!$K$6,U175,0))+IF(Crédits!$K$8="",0,IF(Crédits!$K$8&lt;Crédits!$K$6,AC175,0))+IF(Crédits!$K$9="",0,IF(Crédits!$K$9&lt;Crédits!$K$6,AK175,0))+IF(Crédits!$K$10="",0,IF(Crédits!$K$10&lt;Crédits!$K$6,AS175,0))))))</f>
        <v>0</v>
      </c>
      <c r="O175" s="92">
        <f t="shared" si="3"/>
        <v>0</v>
      </c>
      <c r="P175" s="88">
        <f>ROUND(P174+Q175-MIN(N(Crédits!$E$6),P174+Q175),2)</f>
        <v>0</v>
      </c>
      <c r="Q175" s="89">
        <f>P174*N(Crédits!$D$6)/12</f>
        <v>0</v>
      </c>
      <c r="R175" s="93">
        <f t="shared" si="18"/>
        <v>0</v>
      </c>
      <c r="S175" s="93">
        <f>R175*N(Crédits!$D$7)/12</f>
        <v>0</v>
      </c>
      <c r="T175" s="93">
        <f>MIN(N(Crédits!$E$7),R175+S175)</f>
        <v>0</v>
      </c>
      <c r="U175" s="93">
        <f t="shared" si="4"/>
        <v>0</v>
      </c>
      <c r="V175" s="94">
        <f>IF(Crédits!$K$7="",0,MAX(0,MIN(U175,Plan!$L$177-(IF(Crédits!$K$5="",0,IF(Crédits!$K$5&lt;Crédits!$K$7,E175,0))+IF(Crédits!$K$6="",0,IF(Crédits!$K$6&lt;Crédits!$K$7,M175,0))+IF(Crédits!$K$8="",0,IF(Crédits!$K$8&lt;Crédits!$K$7,AC175,0))+IF(Crédits!$K$9="",0,IF(Crédits!$K$9&lt;Crédits!$K$7,AK175,0))+IF(Crédits!$K$10="",0,IF(Crédits!$K$10&lt;Crédits!$K$7,AS175,0))))))</f>
        <v>0</v>
      </c>
      <c r="W175" s="95">
        <f t="shared" si="5"/>
        <v>0</v>
      </c>
      <c r="X175" s="88">
        <f>ROUND(X174+Y175-MIN(N(Crédits!$E$7),X174+Y175),2)</f>
        <v>0</v>
      </c>
      <c r="Y175" s="89">
        <f>X174*N(Crédits!$D$7)/12</f>
        <v>0</v>
      </c>
      <c r="Z175" s="96">
        <f t="shared" si="19"/>
        <v>0</v>
      </c>
      <c r="AA175" s="96">
        <f>Z175*N(Crédits!$D$8)/12</f>
        <v>0</v>
      </c>
      <c r="AB175" s="96">
        <f>MIN(N(Crédits!$E$8),Z175+AA175)</f>
        <v>0</v>
      </c>
      <c r="AC175" s="96">
        <f t="shared" si="6"/>
        <v>0</v>
      </c>
      <c r="AD175" s="97">
        <f>IF(Crédits!$K$8="",0,MAX(0,MIN(AC175,Plan!$L$177-(IF(Crédits!$K$5="",0,IF(Crédits!$K$5&lt;Crédits!$K$8,E175,0))+IF(Crédits!$K$6="",0,IF(Crédits!$K$6&lt;Crédits!$K$8,M175,0))+IF(Crédits!$K$7="",0,IF(Crédits!$K$7&lt;Crédits!$K$8,U175,0))+IF(Crédits!$K$9="",0,IF(Crédits!$K$9&lt;Crédits!$K$8,AK175,0))+IF(Crédits!$K$10="",0,IF(Crédits!$K$10&lt;Crédits!$K$8,AS175,0))))))</f>
        <v>0</v>
      </c>
      <c r="AE175" s="98">
        <f t="shared" si="7"/>
        <v>0</v>
      </c>
      <c r="AF175" s="88">
        <f>ROUND(AF174+AG175-MIN(N(Crédits!$E$8),AF174+AG175),2)</f>
        <v>0</v>
      </c>
      <c r="AG175" s="89">
        <f>AF174*N(Crédits!$D$8)/12</f>
        <v>0</v>
      </c>
      <c r="AH175" s="99">
        <f t="shared" si="20"/>
        <v>0</v>
      </c>
      <c r="AI175" s="99">
        <f>AH175*N(Crédits!$D$9)/12</f>
        <v>0</v>
      </c>
      <c r="AJ175" s="99">
        <f>MIN(N(Crédits!$E$9),AH175+AI175)</f>
        <v>0</v>
      </c>
      <c r="AK175" s="99">
        <f t="shared" si="8"/>
        <v>0</v>
      </c>
      <c r="AL175" s="100">
        <f>IF(Crédits!$K$9="",0,MAX(0,MIN(AK175,Plan!$L$177-(IF(Crédits!$K$5="",0,IF(Crédits!$K$5&lt;Crédits!$K$9,E175,0))+IF(Crédits!$K$6="",0,IF(Crédits!$K$6&lt;Crédits!$K$9,M175,0))+IF(Crédits!$K$7="",0,IF(Crédits!$K$7&lt;Crédits!$K$9,U175,0))+IF(Crédits!$K$8="",0,IF(Crédits!$K$8&lt;Crédits!$K$9,AC175,0))+IF(Crédits!$K$10="",0,IF(Crédits!$K$10&lt;Crédits!$K$9,AS175,0))))))</f>
        <v>0</v>
      </c>
      <c r="AM175" s="101">
        <f t="shared" si="9"/>
        <v>0</v>
      </c>
      <c r="AN175" s="88">
        <f>ROUND(AN174+AO175-MIN(N(Crédits!$E$9),AN174+AO175),2)</f>
        <v>0</v>
      </c>
      <c r="AO175" s="89">
        <f>AN174*N(Crédits!$D$9)/12</f>
        <v>0</v>
      </c>
      <c r="AP175" s="102">
        <f t="shared" si="21"/>
        <v>0</v>
      </c>
      <c r="AQ175" s="102">
        <f>AP175*N(Crédits!$D$10)/12</f>
        <v>0</v>
      </c>
      <c r="AR175" s="102">
        <f>MIN(N(Crédits!$E$10),AP175+AQ175)</f>
        <v>0</v>
      </c>
      <c r="AS175" s="102">
        <f t="shared" si="10"/>
        <v>0</v>
      </c>
      <c r="AT175" s="103">
        <f>IF(Crédits!$K$10="",0,MAX(0,MIN(AS175,Plan!$L$177-(IF(Crédits!$K$5="",0,IF(Crédits!$K$5&lt;Crédits!$K$10,E175,0))+IF(Crédits!$K$6="",0,IF(Crédits!$K$6&lt;Crédits!$K$10,M175,0))+IF(Crédits!$K$7="",0,IF(Crédits!$K$7&lt;Crédits!$K$10,U175,0))+IF(Crédits!$K$8="",0,IF(Crédits!$K$8&lt;Crédits!$K$10,AC175,0))+IF(Crédits!$K$9="",0,IF(Crédits!$K$9&lt;Crédits!$K$10,AK175,0))))))</f>
        <v>0</v>
      </c>
      <c r="AU175" s="104">
        <f t="shared" si="11"/>
        <v>0</v>
      </c>
      <c r="AV175" s="88">
        <f>ROUND(AV174+AW175-MIN(N(Crédits!$E$10),AV174+AW175),2)</f>
        <v>0</v>
      </c>
      <c r="AW175" s="89">
        <f>AV174*N(Crédits!$D$10)/12</f>
        <v>0</v>
      </c>
      <c r="AX175" s="105">
        <f t="shared" si="12"/>
        <v>0</v>
      </c>
      <c r="AY175" s="105">
        <f t="shared" ref="AY175:AZ175" si="193">F175+N175+V175+AD175+AL175+AT175</f>
        <v>0</v>
      </c>
      <c r="AZ175" s="105">
        <f t="shared" si="193"/>
        <v>0</v>
      </c>
      <c r="BA175" s="105">
        <f t="shared" si="14"/>
        <v>0</v>
      </c>
      <c r="BB175" s="105">
        <f t="shared" si="15"/>
        <v>0</v>
      </c>
    </row>
    <row r="176" spans="1:54" ht="15" customHeight="1" x14ac:dyDescent="0.25">
      <c r="A176" s="2">
        <v>174</v>
      </c>
      <c r="B176" s="83">
        <f t="shared" si="16"/>
        <v>0</v>
      </c>
      <c r="C176" s="83">
        <f>B176*N(Crédits!$D$5)/12</f>
        <v>0</v>
      </c>
      <c r="D176" s="83">
        <f>MIN(N(Crédits!$E$5),B176+C176)</f>
        <v>0</v>
      </c>
      <c r="E176" s="83">
        <f t="shared" si="0"/>
        <v>0</v>
      </c>
      <c r="F176" s="86">
        <f>IF(Crédits!$K$5="",0,MAX(0,MIN(E176,Plan!$L$178-(IF(Crédits!$K$6="",0,IF(Crédits!$K$6&lt;Crédits!$K$5,M176,0))+IF(Crédits!$K$7="",0,IF(Crédits!$K$7&lt;Crédits!$K$5,U176,0))+IF(Crédits!$K$8="",0,IF(Crédits!$K$8&lt;Crédits!$K$5,AC176,0))+IF(Crédits!$K$9="",0,IF(Crédits!$K$9&lt;Crédits!$K$5,AK176,0))+IF(Crédits!$K$10="",0,IF(Crédits!$K$10&lt;Crédits!$K$5,AS176,0))))))</f>
        <v>0</v>
      </c>
      <c r="G176" s="87">
        <f t="shared" si="1"/>
        <v>0</v>
      </c>
      <c r="H176" s="88">
        <f>ROUND(H175+I176-MIN(N(Crédits!$E$5),H175+I176),2)</f>
        <v>0</v>
      </c>
      <c r="I176" s="89">
        <f>H175*N(Crédits!$D$5)/12</f>
        <v>0</v>
      </c>
      <c r="J176" s="90">
        <f t="shared" si="17"/>
        <v>0</v>
      </c>
      <c r="K176" s="90">
        <f>J176*N(Crédits!$D$6)/12</f>
        <v>0</v>
      </c>
      <c r="L176" s="90">
        <f>MIN(N(Crédits!$E$6),J176+K176)</f>
        <v>0</v>
      </c>
      <c r="M176" s="90">
        <f t="shared" si="2"/>
        <v>0</v>
      </c>
      <c r="N176" s="91">
        <f>IF(Crédits!$K$6="",0,MAX(0,MIN(M176,Plan!$L$178-(IF(Crédits!$K$5="",0,IF(Crédits!$K$5&lt;Crédits!$K$6,E176,0))+IF(Crédits!$K$7="",0,IF(Crédits!$K$7&lt;Crédits!$K$6,U176,0))+IF(Crédits!$K$8="",0,IF(Crédits!$K$8&lt;Crédits!$K$6,AC176,0))+IF(Crédits!$K$9="",0,IF(Crédits!$K$9&lt;Crédits!$K$6,AK176,0))+IF(Crédits!$K$10="",0,IF(Crédits!$K$10&lt;Crédits!$K$6,AS176,0))))))</f>
        <v>0</v>
      </c>
      <c r="O176" s="92">
        <f t="shared" si="3"/>
        <v>0</v>
      </c>
      <c r="P176" s="88">
        <f>ROUND(P175+Q176-MIN(N(Crédits!$E$6),P175+Q176),2)</f>
        <v>0</v>
      </c>
      <c r="Q176" s="89">
        <f>P175*N(Crédits!$D$6)/12</f>
        <v>0</v>
      </c>
      <c r="R176" s="93">
        <f t="shared" si="18"/>
        <v>0</v>
      </c>
      <c r="S176" s="93">
        <f>R176*N(Crédits!$D$7)/12</f>
        <v>0</v>
      </c>
      <c r="T176" s="93">
        <f>MIN(N(Crédits!$E$7),R176+S176)</f>
        <v>0</v>
      </c>
      <c r="U176" s="93">
        <f t="shared" si="4"/>
        <v>0</v>
      </c>
      <c r="V176" s="94">
        <f>IF(Crédits!$K$7="",0,MAX(0,MIN(U176,Plan!$L$178-(IF(Crédits!$K$5="",0,IF(Crédits!$K$5&lt;Crédits!$K$7,E176,0))+IF(Crédits!$K$6="",0,IF(Crédits!$K$6&lt;Crédits!$K$7,M176,0))+IF(Crédits!$K$8="",0,IF(Crédits!$K$8&lt;Crédits!$K$7,AC176,0))+IF(Crédits!$K$9="",0,IF(Crédits!$K$9&lt;Crédits!$K$7,AK176,0))+IF(Crédits!$K$10="",0,IF(Crédits!$K$10&lt;Crédits!$K$7,AS176,0))))))</f>
        <v>0</v>
      </c>
      <c r="W176" s="95">
        <f t="shared" si="5"/>
        <v>0</v>
      </c>
      <c r="X176" s="88">
        <f>ROUND(X175+Y176-MIN(N(Crédits!$E$7),X175+Y176),2)</f>
        <v>0</v>
      </c>
      <c r="Y176" s="89">
        <f>X175*N(Crédits!$D$7)/12</f>
        <v>0</v>
      </c>
      <c r="Z176" s="96">
        <f t="shared" si="19"/>
        <v>0</v>
      </c>
      <c r="AA176" s="96">
        <f>Z176*N(Crédits!$D$8)/12</f>
        <v>0</v>
      </c>
      <c r="AB176" s="96">
        <f>MIN(N(Crédits!$E$8),Z176+AA176)</f>
        <v>0</v>
      </c>
      <c r="AC176" s="96">
        <f t="shared" si="6"/>
        <v>0</v>
      </c>
      <c r="AD176" s="97">
        <f>IF(Crédits!$K$8="",0,MAX(0,MIN(AC176,Plan!$L$178-(IF(Crédits!$K$5="",0,IF(Crédits!$K$5&lt;Crédits!$K$8,E176,0))+IF(Crédits!$K$6="",0,IF(Crédits!$K$6&lt;Crédits!$K$8,M176,0))+IF(Crédits!$K$7="",0,IF(Crédits!$K$7&lt;Crédits!$K$8,U176,0))+IF(Crédits!$K$9="",0,IF(Crédits!$K$9&lt;Crédits!$K$8,AK176,0))+IF(Crédits!$K$10="",0,IF(Crédits!$K$10&lt;Crédits!$K$8,AS176,0))))))</f>
        <v>0</v>
      </c>
      <c r="AE176" s="98">
        <f t="shared" si="7"/>
        <v>0</v>
      </c>
      <c r="AF176" s="88">
        <f>ROUND(AF175+AG176-MIN(N(Crédits!$E$8),AF175+AG176),2)</f>
        <v>0</v>
      </c>
      <c r="AG176" s="89">
        <f>AF175*N(Crédits!$D$8)/12</f>
        <v>0</v>
      </c>
      <c r="AH176" s="99">
        <f t="shared" si="20"/>
        <v>0</v>
      </c>
      <c r="AI176" s="99">
        <f>AH176*N(Crédits!$D$9)/12</f>
        <v>0</v>
      </c>
      <c r="AJ176" s="99">
        <f>MIN(N(Crédits!$E$9),AH176+AI176)</f>
        <v>0</v>
      </c>
      <c r="AK176" s="99">
        <f t="shared" si="8"/>
        <v>0</v>
      </c>
      <c r="AL176" s="100">
        <f>IF(Crédits!$K$9="",0,MAX(0,MIN(AK176,Plan!$L$178-(IF(Crédits!$K$5="",0,IF(Crédits!$K$5&lt;Crédits!$K$9,E176,0))+IF(Crédits!$K$6="",0,IF(Crédits!$K$6&lt;Crédits!$K$9,M176,0))+IF(Crédits!$K$7="",0,IF(Crédits!$K$7&lt;Crédits!$K$9,U176,0))+IF(Crédits!$K$8="",0,IF(Crédits!$K$8&lt;Crédits!$K$9,AC176,0))+IF(Crédits!$K$10="",0,IF(Crédits!$K$10&lt;Crédits!$K$9,AS176,0))))))</f>
        <v>0</v>
      </c>
      <c r="AM176" s="101">
        <f t="shared" si="9"/>
        <v>0</v>
      </c>
      <c r="AN176" s="88">
        <f>ROUND(AN175+AO176-MIN(N(Crédits!$E$9),AN175+AO176),2)</f>
        <v>0</v>
      </c>
      <c r="AO176" s="89">
        <f>AN175*N(Crédits!$D$9)/12</f>
        <v>0</v>
      </c>
      <c r="AP176" s="102">
        <f t="shared" si="21"/>
        <v>0</v>
      </c>
      <c r="AQ176" s="102">
        <f>AP176*N(Crédits!$D$10)/12</f>
        <v>0</v>
      </c>
      <c r="AR176" s="102">
        <f>MIN(N(Crédits!$E$10),AP176+AQ176)</f>
        <v>0</v>
      </c>
      <c r="AS176" s="102">
        <f t="shared" si="10"/>
        <v>0</v>
      </c>
      <c r="AT176" s="103">
        <f>IF(Crédits!$K$10="",0,MAX(0,MIN(AS176,Plan!$L$178-(IF(Crédits!$K$5="",0,IF(Crédits!$K$5&lt;Crédits!$K$10,E176,0))+IF(Crédits!$K$6="",0,IF(Crédits!$K$6&lt;Crédits!$K$10,M176,0))+IF(Crédits!$K$7="",0,IF(Crédits!$K$7&lt;Crédits!$K$10,U176,0))+IF(Crédits!$K$8="",0,IF(Crédits!$K$8&lt;Crédits!$K$10,AC176,0))+IF(Crédits!$K$9="",0,IF(Crédits!$K$9&lt;Crédits!$K$10,AK176,0))))))</f>
        <v>0</v>
      </c>
      <c r="AU176" s="104">
        <f t="shared" si="11"/>
        <v>0</v>
      </c>
      <c r="AV176" s="88">
        <f>ROUND(AV175+AW176-MIN(N(Crédits!$E$10),AV175+AW176),2)</f>
        <v>0</v>
      </c>
      <c r="AW176" s="89">
        <f>AV175*N(Crédits!$D$10)/12</f>
        <v>0</v>
      </c>
      <c r="AX176" s="105">
        <f t="shared" si="12"/>
        <v>0</v>
      </c>
      <c r="AY176" s="105">
        <f t="shared" ref="AY176:AZ176" si="194">F176+N176+V176+AD176+AL176+AT176</f>
        <v>0</v>
      </c>
      <c r="AZ176" s="105">
        <f t="shared" si="194"/>
        <v>0</v>
      </c>
      <c r="BA176" s="105">
        <f t="shared" si="14"/>
        <v>0</v>
      </c>
      <c r="BB176" s="105">
        <f t="shared" si="15"/>
        <v>0</v>
      </c>
    </row>
    <row r="177" spans="1:54" ht="15" customHeight="1" x14ac:dyDescent="0.25">
      <c r="A177" s="2">
        <v>175</v>
      </c>
      <c r="B177" s="83">
        <f t="shared" si="16"/>
        <v>0</v>
      </c>
      <c r="C177" s="83">
        <f>B177*N(Crédits!$D$5)/12</f>
        <v>0</v>
      </c>
      <c r="D177" s="83">
        <f>MIN(N(Crédits!$E$5),B177+C177)</f>
        <v>0</v>
      </c>
      <c r="E177" s="83">
        <f t="shared" si="0"/>
        <v>0</v>
      </c>
      <c r="F177" s="86">
        <f>IF(Crédits!$K$5="",0,MAX(0,MIN(E177,Plan!$L$179-(IF(Crédits!$K$6="",0,IF(Crédits!$K$6&lt;Crédits!$K$5,M177,0))+IF(Crédits!$K$7="",0,IF(Crédits!$K$7&lt;Crédits!$K$5,U177,0))+IF(Crédits!$K$8="",0,IF(Crédits!$K$8&lt;Crédits!$K$5,AC177,0))+IF(Crédits!$K$9="",0,IF(Crédits!$K$9&lt;Crédits!$K$5,AK177,0))+IF(Crédits!$K$10="",0,IF(Crédits!$K$10&lt;Crédits!$K$5,AS177,0))))))</f>
        <v>0</v>
      </c>
      <c r="G177" s="87">
        <f t="shared" si="1"/>
        <v>0</v>
      </c>
      <c r="H177" s="88">
        <f>ROUND(H176+I177-MIN(N(Crédits!$E$5),H176+I177),2)</f>
        <v>0</v>
      </c>
      <c r="I177" s="89">
        <f>H176*N(Crédits!$D$5)/12</f>
        <v>0</v>
      </c>
      <c r="J177" s="90">
        <f t="shared" si="17"/>
        <v>0</v>
      </c>
      <c r="K177" s="90">
        <f>J177*N(Crédits!$D$6)/12</f>
        <v>0</v>
      </c>
      <c r="L177" s="90">
        <f>MIN(N(Crédits!$E$6),J177+K177)</f>
        <v>0</v>
      </c>
      <c r="M177" s="90">
        <f t="shared" si="2"/>
        <v>0</v>
      </c>
      <c r="N177" s="91">
        <f>IF(Crédits!$K$6="",0,MAX(0,MIN(M177,Plan!$L$179-(IF(Crédits!$K$5="",0,IF(Crédits!$K$5&lt;Crédits!$K$6,E177,0))+IF(Crédits!$K$7="",0,IF(Crédits!$K$7&lt;Crédits!$K$6,U177,0))+IF(Crédits!$K$8="",0,IF(Crédits!$K$8&lt;Crédits!$K$6,AC177,0))+IF(Crédits!$K$9="",0,IF(Crédits!$K$9&lt;Crédits!$K$6,AK177,0))+IF(Crédits!$K$10="",0,IF(Crédits!$K$10&lt;Crédits!$K$6,AS177,0))))))</f>
        <v>0</v>
      </c>
      <c r="O177" s="92">
        <f t="shared" si="3"/>
        <v>0</v>
      </c>
      <c r="P177" s="88">
        <f>ROUND(P176+Q177-MIN(N(Crédits!$E$6),P176+Q177),2)</f>
        <v>0</v>
      </c>
      <c r="Q177" s="89">
        <f>P176*N(Crédits!$D$6)/12</f>
        <v>0</v>
      </c>
      <c r="R177" s="93">
        <f t="shared" si="18"/>
        <v>0</v>
      </c>
      <c r="S177" s="93">
        <f>R177*N(Crédits!$D$7)/12</f>
        <v>0</v>
      </c>
      <c r="T177" s="93">
        <f>MIN(N(Crédits!$E$7),R177+S177)</f>
        <v>0</v>
      </c>
      <c r="U177" s="93">
        <f t="shared" si="4"/>
        <v>0</v>
      </c>
      <c r="V177" s="94">
        <f>IF(Crédits!$K$7="",0,MAX(0,MIN(U177,Plan!$L$179-(IF(Crédits!$K$5="",0,IF(Crédits!$K$5&lt;Crédits!$K$7,E177,0))+IF(Crédits!$K$6="",0,IF(Crédits!$K$6&lt;Crédits!$K$7,M177,0))+IF(Crédits!$K$8="",0,IF(Crédits!$K$8&lt;Crédits!$K$7,AC177,0))+IF(Crédits!$K$9="",0,IF(Crédits!$K$9&lt;Crédits!$K$7,AK177,0))+IF(Crédits!$K$10="",0,IF(Crédits!$K$10&lt;Crédits!$K$7,AS177,0))))))</f>
        <v>0</v>
      </c>
      <c r="W177" s="95">
        <f t="shared" si="5"/>
        <v>0</v>
      </c>
      <c r="X177" s="88">
        <f>ROUND(X176+Y177-MIN(N(Crédits!$E$7),X176+Y177),2)</f>
        <v>0</v>
      </c>
      <c r="Y177" s="89">
        <f>X176*N(Crédits!$D$7)/12</f>
        <v>0</v>
      </c>
      <c r="Z177" s="96">
        <f t="shared" si="19"/>
        <v>0</v>
      </c>
      <c r="AA177" s="96">
        <f>Z177*N(Crédits!$D$8)/12</f>
        <v>0</v>
      </c>
      <c r="AB177" s="96">
        <f>MIN(N(Crédits!$E$8),Z177+AA177)</f>
        <v>0</v>
      </c>
      <c r="AC177" s="96">
        <f t="shared" si="6"/>
        <v>0</v>
      </c>
      <c r="AD177" s="97">
        <f>IF(Crédits!$K$8="",0,MAX(0,MIN(AC177,Plan!$L$179-(IF(Crédits!$K$5="",0,IF(Crédits!$K$5&lt;Crédits!$K$8,E177,0))+IF(Crédits!$K$6="",0,IF(Crédits!$K$6&lt;Crédits!$K$8,M177,0))+IF(Crédits!$K$7="",0,IF(Crédits!$K$7&lt;Crédits!$K$8,U177,0))+IF(Crédits!$K$9="",0,IF(Crédits!$K$9&lt;Crédits!$K$8,AK177,0))+IF(Crédits!$K$10="",0,IF(Crédits!$K$10&lt;Crédits!$K$8,AS177,0))))))</f>
        <v>0</v>
      </c>
      <c r="AE177" s="98">
        <f t="shared" si="7"/>
        <v>0</v>
      </c>
      <c r="AF177" s="88">
        <f>ROUND(AF176+AG177-MIN(N(Crédits!$E$8),AF176+AG177),2)</f>
        <v>0</v>
      </c>
      <c r="AG177" s="89">
        <f>AF176*N(Crédits!$D$8)/12</f>
        <v>0</v>
      </c>
      <c r="AH177" s="99">
        <f t="shared" si="20"/>
        <v>0</v>
      </c>
      <c r="AI177" s="99">
        <f>AH177*N(Crédits!$D$9)/12</f>
        <v>0</v>
      </c>
      <c r="AJ177" s="99">
        <f>MIN(N(Crédits!$E$9),AH177+AI177)</f>
        <v>0</v>
      </c>
      <c r="AK177" s="99">
        <f t="shared" si="8"/>
        <v>0</v>
      </c>
      <c r="AL177" s="100">
        <f>IF(Crédits!$K$9="",0,MAX(0,MIN(AK177,Plan!$L$179-(IF(Crédits!$K$5="",0,IF(Crédits!$K$5&lt;Crédits!$K$9,E177,0))+IF(Crédits!$K$6="",0,IF(Crédits!$K$6&lt;Crédits!$K$9,M177,0))+IF(Crédits!$K$7="",0,IF(Crédits!$K$7&lt;Crédits!$K$9,U177,0))+IF(Crédits!$K$8="",0,IF(Crédits!$K$8&lt;Crédits!$K$9,AC177,0))+IF(Crédits!$K$10="",0,IF(Crédits!$K$10&lt;Crédits!$K$9,AS177,0))))))</f>
        <v>0</v>
      </c>
      <c r="AM177" s="101">
        <f t="shared" si="9"/>
        <v>0</v>
      </c>
      <c r="AN177" s="88">
        <f>ROUND(AN176+AO177-MIN(N(Crédits!$E$9),AN176+AO177),2)</f>
        <v>0</v>
      </c>
      <c r="AO177" s="89">
        <f>AN176*N(Crédits!$D$9)/12</f>
        <v>0</v>
      </c>
      <c r="AP177" s="102">
        <f t="shared" si="21"/>
        <v>0</v>
      </c>
      <c r="AQ177" s="102">
        <f>AP177*N(Crédits!$D$10)/12</f>
        <v>0</v>
      </c>
      <c r="AR177" s="102">
        <f>MIN(N(Crédits!$E$10),AP177+AQ177)</f>
        <v>0</v>
      </c>
      <c r="AS177" s="102">
        <f t="shared" si="10"/>
        <v>0</v>
      </c>
      <c r="AT177" s="103">
        <f>IF(Crédits!$K$10="",0,MAX(0,MIN(AS177,Plan!$L$179-(IF(Crédits!$K$5="",0,IF(Crédits!$K$5&lt;Crédits!$K$10,E177,0))+IF(Crédits!$K$6="",0,IF(Crédits!$K$6&lt;Crédits!$K$10,M177,0))+IF(Crédits!$K$7="",0,IF(Crédits!$K$7&lt;Crédits!$K$10,U177,0))+IF(Crédits!$K$8="",0,IF(Crédits!$K$8&lt;Crédits!$K$10,AC177,0))+IF(Crédits!$K$9="",0,IF(Crédits!$K$9&lt;Crédits!$K$10,AK177,0))))))</f>
        <v>0</v>
      </c>
      <c r="AU177" s="104">
        <f t="shared" si="11"/>
        <v>0</v>
      </c>
      <c r="AV177" s="88">
        <f>ROUND(AV176+AW177-MIN(N(Crédits!$E$10),AV176+AW177),2)</f>
        <v>0</v>
      </c>
      <c r="AW177" s="89">
        <f>AV176*N(Crédits!$D$10)/12</f>
        <v>0</v>
      </c>
      <c r="AX177" s="105">
        <f t="shared" si="12"/>
        <v>0</v>
      </c>
      <c r="AY177" s="105">
        <f t="shared" ref="AY177:AZ177" si="195">F177+N177+V177+AD177+AL177+AT177</f>
        <v>0</v>
      </c>
      <c r="AZ177" s="105">
        <f t="shared" si="195"/>
        <v>0</v>
      </c>
      <c r="BA177" s="105">
        <f t="shared" si="14"/>
        <v>0</v>
      </c>
      <c r="BB177" s="105">
        <f t="shared" si="15"/>
        <v>0</v>
      </c>
    </row>
    <row r="178" spans="1:54" ht="15" customHeight="1" x14ac:dyDescent="0.25">
      <c r="A178" s="2">
        <v>176</v>
      </c>
      <c r="B178" s="83">
        <f t="shared" si="16"/>
        <v>0</v>
      </c>
      <c r="C178" s="83">
        <f>B178*N(Crédits!$D$5)/12</f>
        <v>0</v>
      </c>
      <c r="D178" s="83">
        <f>MIN(N(Crédits!$E$5),B178+C178)</f>
        <v>0</v>
      </c>
      <c r="E178" s="83">
        <f t="shared" si="0"/>
        <v>0</v>
      </c>
      <c r="F178" s="86">
        <f>IF(Crédits!$K$5="",0,MAX(0,MIN(E178,Plan!$L$180-(IF(Crédits!$K$6="",0,IF(Crédits!$K$6&lt;Crédits!$K$5,M178,0))+IF(Crédits!$K$7="",0,IF(Crédits!$K$7&lt;Crédits!$K$5,U178,0))+IF(Crédits!$K$8="",0,IF(Crédits!$K$8&lt;Crédits!$K$5,AC178,0))+IF(Crédits!$K$9="",0,IF(Crédits!$K$9&lt;Crédits!$K$5,AK178,0))+IF(Crédits!$K$10="",0,IF(Crédits!$K$10&lt;Crédits!$K$5,AS178,0))))))</f>
        <v>0</v>
      </c>
      <c r="G178" s="87">
        <f t="shared" si="1"/>
        <v>0</v>
      </c>
      <c r="H178" s="88">
        <f>ROUND(H177+I178-MIN(N(Crédits!$E$5),H177+I178),2)</f>
        <v>0</v>
      </c>
      <c r="I178" s="89">
        <f>H177*N(Crédits!$D$5)/12</f>
        <v>0</v>
      </c>
      <c r="J178" s="90">
        <f t="shared" si="17"/>
        <v>0</v>
      </c>
      <c r="K178" s="90">
        <f>J178*N(Crédits!$D$6)/12</f>
        <v>0</v>
      </c>
      <c r="L178" s="90">
        <f>MIN(N(Crédits!$E$6),J178+K178)</f>
        <v>0</v>
      </c>
      <c r="M178" s="90">
        <f t="shared" si="2"/>
        <v>0</v>
      </c>
      <c r="N178" s="91">
        <f>IF(Crédits!$K$6="",0,MAX(0,MIN(M178,Plan!$L$180-(IF(Crédits!$K$5="",0,IF(Crédits!$K$5&lt;Crédits!$K$6,E178,0))+IF(Crédits!$K$7="",0,IF(Crédits!$K$7&lt;Crédits!$K$6,U178,0))+IF(Crédits!$K$8="",0,IF(Crédits!$K$8&lt;Crédits!$K$6,AC178,0))+IF(Crédits!$K$9="",0,IF(Crédits!$K$9&lt;Crédits!$K$6,AK178,0))+IF(Crédits!$K$10="",0,IF(Crédits!$K$10&lt;Crédits!$K$6,AS178,0))))))</f>
        <v>0</v>
      </c>
      <c r="O178" s="92">
        <f t="shared" si="3"/>
        <v>0</v>
      </c>
      <c r="P178" s="88">
        <f>ROUND(P177+Q178-MIN(N(Crédits!$E$6),P177+Q178),2)</f>
        <v>0</v>
      </c>
      <c r="Q178" s="89">
        <f>P177*N(Crédits!$D$6)/12</f>
        <v>0</v>
      </c>
      <c r="R178" s="93">
        <f t="shared" si="18"/>
        <v>0</v>
      </c>
      <c r="S178" s="93">
        <f>R178*N(Crédits!$D$7)/12</f>
        <v>0</v>
      </c>
      <c r="T178" s="93">
        <f>MIN(N(Crédits!$E$7),R178+S178)</f>
        <v>0</v>
      </c>
      <c r="U178" s="93">
        <f t="shared" si="4"/>
        <v>0</v>
      </c>
      <c r="V178" s="94">
        <f>IF(Crédits!$K$7="",0,MAX(0,MIN(U178,Plan!$L$180-(IF(Crédits!$K$5="",0,IF(Crédits!$K$5&lt;Crédits!$K$7,E178,0))+IF(Crédits!$K$6="",0,IF(Crédits!$K$6&lt;Crédits!$K$7,M178,0))+IF(Crédits!$K$8="",0,IF(Crédits!$K$8&lt;Crédits!$K$7,AC178,0))+IF(Crédits!$K$9="",0,IF(Crédits!$K$9&lt;Crédits!$K$7,AK178,0))+IF(Crédits!$K$10="",0,IF(Crédits!$K$10&lt;Crédits!$K$7,AS178,0))))))</f>
        <v>0</v>
      </c>
      <c r="W178" s="95">
        <f t="shared" si="5"/>
        <v>0</v>
      </c>
      <c r="X178" s="88">
        <f>ROUND(X177+Y178-MIN(N(Crédits!$E$7),X177+Y178),2)</f>
        <v>0</v>
      </c>
      <c r="Y178" s="89">
        <f>X177*N(Crédits!$D$7)/12</f>
        <v>0</v>
      </c>
      <c r="Z178" s="96">
        <f t="shared" si="19"/>
        <v>0</v>
      </c>
      <c r="AA178" s="96">
        <f>Z178*N(Crédits!$D$8)/12</f>
        <v>0</v>
      </c>
      <c r="AB178" s="96">
        <f>MIN(N(Crédits!$E$8),Z178+AA178)</f>
        <v>0</v>
      </c>
      <c r="AC178" s="96">
        <f t="shared" si="6"/>
        <v>0</v>
      </c>
      <c r="AD178" s="97">
        <f>IF(Crédits!$K$8="",0,MAX(0,MIN(AC178,Plan!$L$180-(IF(Crédits!$K$5="",0,IF(Crédits!$K$5&lt;Crédits!$K$8,E178,0))+IF(Crédits!$K$6="",0,IF(Crédits!$K$6&lt;Crédits!$K$8,M178,0))+IF(Crédits!$K$7="",0,IF(Crédits!$K$7&lt;Crédits!$K$8,U178,0))+IF(Crédits!$K$9="",0,IF(Crédits!$K$9&lt;Crédits!$K$8,AK178,0))+IF(Crédits!$K$10="",0,IF(Crédits!$K$10&lt;Crédits!$K$8,AS178,0))))))</f>
        <v>0</v>
      </c>
      <c r="AE178" s="98">
        <f t="shared" si="7"/>
        <v>0</v>
      </c>
      <c r="AF178" s="88">
        <f>ROUND(AF177+AG178-MIN(N(Crédits!$E$8),AF177+AG178),2)</f>
        <v>0</v>
      </c>
      <c r="AG178" s="89">
        <f>AF177*N(Crédits!$D$8)/12</f>
        <v>0</v>
      </c>
      <c r="AH178" s="99">
        <f t="shared" si="20"/>
        <v>0</v>
      </c>
      <c r="AI178" s="99">
        <f>AH178*N(Crédits!$D$9)/12</f>
        <v>0</v>
      </c>
      <c r="AJ178" s="99">
        <f>MIN(N(Crédits!$E$9),AH178+AI178)</f>
        <v>0</v>
      </c>
      <c r="AK178" s="99">
        <f t="shared" si="8"/>
        <v>0</v>
      </c>
      <c r="AL178" s="100">
        <f>IF(Crédits!$K$9="",0,MAX(0,MIN(AK178,Plan!$L$180-(IF(Crédits!$K$5="",0,IF(Crédits!$K$5&lt;Crédits!$K$9,E178,0))+IF(Crédits!$K$6="",0,IF(Crédits!$K$6&lt;Crédits!$K$9,M178,0))+IF(Crédits!$K$7="",0,IF(Crédits!$K$7&lt;Crédits!$K$9,U178,0))+IF(Crédits!$K$8="",0,IF(Crédits!$K$8&lt;Crédits!$K$9,AC178,0))+IF(Crédits!$K$10="",0,IF(Crédits!$K$10&lt;Crédits!$K$9,AS178,0))))))</f>
        <v>0</v>
      </c>
      <c r="AM178" s="101">
        <f t="shared" si="9"/>
        <v>0</v>
      </c>
      <c r="AN178" s="88">
        <f>ROUND(AN177+AO178-MIN(N(Crédits!$E$9),AN177+AO178),2)</f>
        <v>0</v>
      </c>
      <c r="AO178" s="89">
        <f>AN177*N(Crédits!$D$9)/12</f>
        <v>0</v>
      </c>
      <c r="AP178" s="102">
        <f t="shared" si="21"/>
        <v>0</v>
      </c>
      <c r="AQ178" s="102">
        <f>AP178*N(Crédits!$D$10)/12</f>
        <v>0</v>
      </c>
      <c r="AR178" s="102">
        <f>MIN(N(Crédits!$E$10),AP178+AQ178)</f>
        <v>0</v>
      </c>
      <c r="AS178" s="102">
        <f t="shared" si="10"/>
        <v>0</v>
      </c>
      <c r="AT178" s="103">
        <f>IF(Crédits!$K$10="",0,MAX(0,MIN(AS178,Plan!$L$180-(IF(Crédits!$K$5="",0,IF(Crédits!$K$5&lt;Crédits!$K$10,E178,0))+IF(Crédits!$K$6="",0,IF(Crédits!$K$6&lt;Crédits!$K$10,M178,0))+IF(Crédits!$K$7="",0,IF(Crédits!$K$7&lt;Crédits!$K$10,U178,0))+IF(Crédits!$K$8="",0,IF(Crédits!$K$8&lt;Crédits!$K$10,AC178,0))+IF(Crédits!$K$9="",0,IF(Crédits!$K$9&lt;Crédits!$K$10,AK178,0))))))</f>
        <v>0</v>
      </c>
      <c r="AU178" s="104">
        <f t="shared" si="11"/>
        <v>0</v>
      </c>
      <c r="AV178" s="88">
        <f>ROUND(AV177+AW178-MIN(N(Crédits!$E$10),AV177+AW178),2)</f>
        <v>0</v>
      </c>
      <c r="AW178" s="89">
        <f>AV177*N(Crédits!$D$10)/12</f>
        <v>0</v>
      </c>
      <c r="AX178" s="105">
        <f t="shared" si="12"/>
        <v>0</v>
      </c>
      <c r="AY178" s="105">
        <f t="shared" ref="AY178:AZ178" si="196">F178+N178+V178+AD178+AL178+AT178</f>
        <v>0</v>
      </c>
      <c r="AZ178" s="105">
        <f t="shared" si="196"/>
        <v>0</v>
      </c>
      <c r="BA178" s="105">
        <f t="shared" si="14"/>
        <v>0</v>
      </c>
      <c r="BB178" s="105">
        <f t="shared" si="15"/>
        <v>0</v>
      </c>
    </row>
    <row r="179" spans="1:54" ht="15" customHeight="1" x14ac:dyDescent="0.25">
      <c r="A179" s="2">
        <v>177</v>
      </c>
      <c r="B179" s="83">
        <f t="shared" si="16"/>
        <v>0</v>
      </c>
      <c r="C179" s="83">
        <f>B179*N(Crédits!$D$5)/12</f>
        <v>0</v>
      </c>
      <c r="D179" s="83">
        <f>MIN(N(Crédits!$E$5),B179+C179)</f>
        <v>0</v>
      </c>
      <c r="E179" s="83">
        <f t="shared" si="0"/>
        <v>0</v>
      </c>
      <c r="F179" s="86">
        <f>IF(Crédits!$K$5="",0,MAX(0,MIN(E179,Plan!$L$181-(IF(Crédits!$K$6="",0,IF(Crédits!$K$6&lt;Crédits!$K$5,M179,0))+IF(Crédits!$K$7="",0,IF(Crédits!$K$7&lt;Crédits!$K$5,U179,0))+IF(Crédits!$K$8="",0,IF(Crédits!$K$8&lt;Crédits!$K$5,AC179,0))+IF(Crédits!$K$9="",0,IF(Crédits!$K$9&lt;Crédits!$K$5,AK179,0))+IF(Crédits!$K$10="",0,IF(Crédits!$K$10&lt;Crédits!$K$5,AS179,0))))))</f>
        <v>0</v>
      </c>
      <c r="G179" s="87">
        <f t="shared" si="1"/>
        <v>0</v>
      </c>
      <c r="H179" s="88">
        <f>ROUND(H178+I179-MIN(N(Crédits!$E$5),H178+I179),2)</f>
        <v>0</v>
      </c>
      <c r="I179" s="89">
        <f>H178*N(Crédits!$D$5)/12</f>
        <v>0</v>
      </c>
      <c r="J179" s="90">
        <f t="shared" si="17"/>
        <v>0</v>
      </c>
      <c r="K179" s="90">
        <f>J179*N(Crédits!$D$6)/12</f>
        <v>0</v>
      </c>
      <c r="L179" s="90">
        <f>MIN(N(Crédits!$E$6),J179+K179)</f>
        <v>0</v>
      </c>
      <c r="M179" s="90">
        <f t="shared" si="2"/>
        <v>0</v>
      </c>
      <c r="N179" s="91">
        <f>IF(Crédits!$K$6="",0,MAX(0,MIN(M179,Plan!$L$181-(IF(Crédits!$K$5="",0,IF(Crédits!$K$5&lt;Crédits!$K$6,E179,0))+IF(Crédits!$K$7="",0,IF(Crédits!$K$7&lt;Crédits!$K$6,U179,0))+IF(Crédits!$K$8="",0,IF(Crédits!$K$8&lt;Crédits!$K$6,AC179,0))+IF(Crédits!$K$9="",0,IF(Crédits!$K$9&lt;Crédits!$K$6,AK179,0))+IF(Crédits!$K$10="",0,IF(Crédits!$K$10&lt;Crédits!$K$6,AS179,0))))))</f>
        <v>0</v>
      </c>
      <c r="O179" s="92">
        <f t="shared" si="3"/>
        <v>0</v>
      </c>
      <c r="P179" s="88">
        <f>ROUND(P178+Q179-MIN(N(Crédits!$E$6),P178+Q179),2)</f>
        <v>0</v>
      </c>
      <c r="Q179" s="89">
        <f>P178*N(Crédits!$D$6)/12</f>
        <v>0</v>
      </c>
      <c r="R179" s="93">
        <f t="shared" si="18"/>
        <v>0</v>
      </c>
      <c r="S179" s="93">
        <f>R179*N(Crédits!$D$7)/12</f>
        <v>0</v>
      </c>
      <c r="T179" s="93">
        <f>MIN(N(Crédits!$E$7),R179+S179)</f>
        <v>0</v>
      </c>
      <c r="U179" s="93">
        <f t="shared" si="4"/>
        <v>0</v>
      </c>
      <c r="V179" s="94">
        <f>IF(Crédits!$K$7="",0,MAX(0,MIN(U179,Plan!$L$181-(IF(Crédits!$K$5="",0,IF(Crédits!$K$5&lt;Crédits!$K$7,E179,0))+IF(Crédits!$K$6="",0,IF(Crédits!$K$6&lt;Crédits!$K$7,M179,0))+IF(Crédits!$K$8="",0,IF(Crédits!$K$8&lt;Crédits!$K$7,AC179,0))+IF(Crédits!$K$9="",0,IF(Crédits!$K$9&lt;Crédits!$K$7,AK179,0))+IF(Crédits!$K$10="",0,IF(Crédits!$K$10&lt;Crédits!$K$7,AS179,0))))))</f>
        <v>0</v>
      </c>
      <c r="W179" s="95">
        <f t="shared" si="5"/>
        <v>0</v>
      </c>
      <c r="X179" s="88">
        <f>ROUND(X178+Y179-MIN(N(Crédits!$E$7),X178+Y179),2)</f>
        <v>0</v>
      </c>
      <c r="Y179" s="89">
        <f>X178*N(Crédits!$D$7)/12</f>
        <v>0</v>
      </c>
      <c r="Z179" s="96">
        <f t="shared" si="19"/>
        <v>0</v>
      </c>
      <c r="AA179" s="96">
        <f>Z179*N(Crédits!$D$8)/12</f>
        <v>0</v>
      </c>
      <c r="AB179" s="96">
        <f>MIN(N(Crédits!$E$8),Z179+AA179)</f>
        <v>0</v>
      </c>
      <c r="AC179" s="96">
        <f t="shared" si="6"/>
        <v>0</v>
      </c>
      <c r="AD179" s="97">
        <f>IF(Crédits!$K$8="",0,MAX(0,MIN(AC179,Plan!$L$181-(IF(Crédits!$K$5="",0,IF(Crédits!$K$5&lt;Crédits!$K$8,E179,0))+IF(Crédits!$K$6="",0,IF(Crédits!$K$6&lt;Crédits!$K$8,M179,0))+IF(Crédits!$K$7="",0,IF(Crédits!$K$7&lt;Crédits!$K$8,U179,0))+IF(Crédits!$K$9="",0,IF(Crédits!$K$9&lt;Crédits!$K$8,AK179,0))+IF(Crédits!$K$10="",0,IF(Crédits!$K$10&lt;Crédits!$K$8,AS179,0))))))</f>
        <v>0</v>
      </c>
      <c r="AE179" s="98">
        <f t="shared" si="7"/>
        <v>0</v>
      </c>
      <c r="AF179" s="88">
        <f>ROUND(AF178+AG179-MIN(N(Crédits!$E$8),AF178+AG179),2)</f>
        <v>0</v>
      </c>
      <c r="AG179" s="89">
        <f>AF178*N(Crédits!$D$8)/12</f>
        <v>0</v>
      </c>
      <c r="AH179" s="99">
        <f t="shared" si="20"/>
        <v>0</v>
      </c>
      <c r="AI179" s="99">
        <f>AH179*N(Crédits!$D$9)/12</f>
        <v>0</v>
      </c>
      <c r="AJ179" s="99">
        <f>MIN(N(Crédits!$E$9),AH179+AI179)</f>
        <v>0</v>
      </c>
      <c r="AK179" s="99">
        <f t="shared" si="8"/>
        <v>0</v>
      </c>
      <c r="AL179" s="100">
        <f>IF(Crédits!$K$9="",0,MAX(0,MIN(AK179,Plan!$L$181-(IF(Crédits!$K$5="",0,IF(Crédits!$K$5&lt;Crédits!$K$9,E179,0))+IF(Crédits!$K$6="",0,IF(Crédits!$K$6&lt;Crédits!$K$9,M179,0))+IF(Crédits!$K$7="",0,IF(Crédits!$K$7&lt;Crédits!$K$9,U179,0))+IF(Crédits!$K$8="",0,IF(Crédits!$K$8&lt;Crédits!$K$9,AC179,0))+IF(Crédits!$K$10="",0,IF(Crédits!$K$10&lt;Crédits!$K$9,AS179,0))))))</f>
        <v>0</v>
      </c>
      <c r="AM179" s="101">
        <f t="shared" si="9"/>
        <v>0</v>
      </c>
      <c r="AN179" s="88">
        <f>ROUND(AN178+AO179-MIN(N(Crédits!$E$9),AN178+AO179),2)</f>
        <v>0</v>
      </c>
      <c r="AO179" s="89">
        <f>AN178*N(Crédits!$D$9)/12</f>
        <v>0</v>
      </c>
      <c r="AP179" s="102">
        <f t="shared" si="21"/>
        <v>0</v>
      </c>
      <c r="AQ179" s="102">
        <f>AP179*N(Crédits!$D$10)/12</f>
        <v>0</v>
      </c>
      <c r="AR179" s="102">
        <f>MIN(N(Crédits!$E$10),AP179+AQ179)</f>
        <v>0</v>
      </c>
      <c r="AS179" s="102">
        <f t="shared" si="10"/>
        <v>0</v>
      </c>
      <c r="AT179" s="103">
        <f>IF(Crédits!$K$10="",0,MAX(0,MIN(AS179,Plan!$L$181-(IF(Crédits!$K$5="",0,IF(Crédits!$K$5&lt;Crédits!$K$10,E179,0))+IF(Crédits!$K$6="",0,IF(Crédits!$K$6&lt;Crédits!$K$10,M179,0))+IF(Crédits!$K$7="",0,IF(Crédits!$K$7&lt;Crédits!$K$10,U179,0))+IF(Crédits!$K$8="",0,IF(Crédits!$K$8&lt;Crédits!$K$10,AC179,0))+IF(Crédits!$K$9="",0,IF(Crédits!$K$9&lt;Crédits!$K$10,AK179,0))))))</f>
        <v>0</v>
      </c>
      <c r="AU179" s="104">
        <f t="shared" si="11"/>
        <v>0</v>
      </c>
      <c r="AV179" s="88">
        <f>ROUND(AV178+AW179-MIN(N(Crédits!$E$10),AV178+AW179),2)</f>
        <v>0</v>
      </c>
      <c r="AW179" s="89">
        <f>AV178*N(Crédits!$D$10)/12</f>
        <v>0</v>
      </c>
      <c r="AX179" s="105">
        <f t="shared" si="12"/>
        <v>0</v>
      </c>
      <c r="AY179" s="105">
        <f t="shared" ref="AY179:AZ179" si="197">F179+N179+V179+AD179+AL179+AT179</f>
        <v>0</v>
      </c>
      <c r="AZ179" s="105">
        <f t="shared" si="197"/>
        <v>0</v>
      </c>
      <c r="BA179" s="105">
        <f t="shared" si="14"/>
        <v>0</v>
      </c>
      <c r="BB179" s="105">
        <f t="shared" si="15"/>
        <v>0</v>
      </c>
    </row>
    <row r="180" spans="1:54" ht="15" customHeight="1" x14ac:dyDescent="0.25">
      <c r="A180" s="2">
        <v>178</v>
      </c>
      <c r="B180" s="83">
        <f t="shared" si="16"/>
        <v>0</v>
      </c>
      <c r="C180" s="83">
        <f>B180*N(Crédits!$D$5)/12</f>
        <v>0</v>
      </c>
      <c r="D180" s="83">
        <f>MIN(N(Crédits!$E$5),B180+C180)</f>
        <v>0</v>
      </c>
      <c r="E180" s="83">
        <f t="shared" si="0"/>
        <v>0</v>
      </c>
      <c r="F180" s="86">
        <f>IF(Crédits!$K$5="",0,MAX(0,MIN(E180,Plan!$L$182-(IF(Crédits!$K$6="",0,IF(Crédits!$K$6&lt;Crédits!$K$5,M180,0))+IF(Crédits!$K$7="",0,IF(Crédits!$K$7&lt;Crédits!$K$5,U180,0))+IF(Crédits!$K$8="",0,IF(Crédits!$K$8&lt;Crédits!$K$5,AC180,0))+IF(Crédits!$K$9="",0,IF(Crédits!$K$9&lt;Crédits!$K$5,AK180,0))+IF(Crédits!$K$10="",0,IF(Crédits!$K$10&lt;Crédits!$K$5,AS180,0))))))</f>
        <v>0</v>
      </c>
      <c r="G180" s="87">
        <f t="shared" si="1"/>
        <v>0</v>
      </c>
      <c r="H180" s="88">
        <f>ROUND(H179+I180-MIN(N(Crédits!$E$5),H179+I180),2)</f>
        <v>0</v>
      </c>
      <c r="I180" s="89">
        <f>H179*N(Crédits!$D$5)/12</f>
        <v>0</v>
      </c>
      <c r="J180" s="90">
        <f t="shared" si="17"/>
        <v>0</v>
      </c>
      <c r="K180" s="90">
        <f>J180*N(Crédits!$D$6)/12</f>
        <v>0</v>
      </c>
      <c r="L180" s="90">
        <f>MIN(N(Crédits!$E$6),J180+K180)</f>
        <v>0</v>
      </c>
      <c r="M180" s="90">
        <f t="shared" si="2"/>
        <v>0</v>
      </c>
      <c r="N180" s="91">
        <f>IF(Crédits!$K$6="",0,MAX(0,MIN(M180,Plan!$L$182-(IF(Crédits!$K$5="",0,IF(Crédits!$K$5&lt;Crédits!$K$6,E180,0))+IF(Crédits!$K$7="",0,IF(Crédits!$K$7&lt;Crédits!$K$6,U180,0))+IF(Crédits!$K$8="",0,IF(Crédits!$K$8&lt;Crédits!$K$6,AC180,0))+IF(Crédits!$K$9="",0,IF(Crédits!$K$9&lt;Crédits!$K$6,AK180,0))+IF(Crédits!$K$10="",0,IF(Crédits!$K$10&lt;Crédits!$K$6,AS180,0))))))</f>
        <v>0</v>
      </c>
      <c r="O180" s="92">
        <f t="shared" si="3"/>
        <v>0</v>
      </c>
      <c r="P180" s="88">
        <f>ROUND(P179+Q180-MIN(N(Crédits!$E$6),P179+Q180),2)</f>
        <v>0</v>
      </c>
      <c r="Q180" s="89">
        <f>P179*N(Crédits!$D$6)/12</f>
        <v>0</v>
      </c>
      <c r="R180" s="93">
        <f t="shared" si="18"/>
        <v>0</v>
      </c>
      <c r="S180" s="93">
        <f>R180*N(Crédits!$D$7)/12</f>
        <v>0</v>
      </c>
      <c r="T180" s="93">
        <f>MIN(N(Crédits!$E$7),R180+S180)</f>
        <v>0</v>
      </c>
      <c r="U180" s="93">
        <f t="shared" si="4"/>
        <v>0</v>
      </c>
      <c r="V180" s="94">
        <f>IF(Crédits!$K$7="",0,MAX(0,MIN(U180,Plan!$L$182-(IF(Crédits!$K$5="",0,IF(Crédits!$K$5&lt;Crédits!$K$7,E180,0))+IF(Crédits!$K$6="",0,IF(Crédits!$K$6&lt;Crédits!$K$7,M180,0))+IF(Crédits!$K$8="",0,IF(Crédits!$K$8&lt;Crédits!$K$7,AC180,0))+IF(Crédits!$K$9="",0,IF(Crédits!$K$9&lt;Crédits!$K$7,AK180,0))+IF(Crédits!$K$10="",0,IF(Crédits!$K$10&lt;Crédits!$K$7,AS180,0))))))</f>
        <v>0</v>
      </c>
      <c r="W180" s="95">
        <f t="shared" si="5"/>
        <v>0</v>
      </c>
      <c r="X180" s="88">
        <f>ROUND(X179+Y180-MIN(N(Crédits!$E$7),X179+Y180),2)</f>
        <v>0</v>
      </c>
      <c r="Y180" s="89">
        <f>X179*N(Crédits!$D$7)/12</f>
        <v>0</v>
      </c>
      <c r="Z180" s="96">
        <f t="shared" si="19"/>
        <v>0</v>
      </c>
      <c r="AA180" s="96">
        <f>Z180*N(Crédits!$D$8)/12</f>
        <v>0</v>
      </c>
      <c r="AB180" s="96">
        <f>MIN(N(Crédits!$E$8),Z180+AA180)</f>
        <v>0</v>
      </c>
      <c r="AC180" s="96">
        <f t="shared" si="6"/>
        <v>0</v>
      </c>
      <c r="AD180" s="97">
        <f>IF(Crédits!$K$8="",0,MAX(0,MIN(AC180,Plan!$L$182-(IF(Crédits!$K$5="",0,IF(Crédits!$K$5&lt;Crédits!$K$8,E180,0))+IF(Crédits!$K$6="",0,IF(Crédits!$K$6&lt;Crédits!$K$8,M180,0))+IF(Crédits!$K$7="",0,IF(Crédits!$K$7&lt;Crédits!$K$8,U180,0))+IF(Crédits!$K$9="",0,IF(Crédits!$K$9&lt;Crédits!$K$8,AK180,0))+IF(Crédits!$K$10="",0,IF(Crédits!$K$10&lt;Crédits!$K$8,AS180,0))))))</f>
        <v>0</v>
      </c>
      <c r="AE180" s="98">
        <f t="shared" si="7"/>
        <v>0</v>
      </c>
      <c r="AF180" s="88">
        <f>ROUND(AF179+AG180-MIN(N(Crédits!$E$8),AF179+AG180),2)</f>
        <v>0</v>
      </c>
      <c r="AG180" s="89">
        <f>AF179*N(Crédits!$D$8)/12</f>
        <v>0</v>
      </c>
      <c r="AH180" s="99">
        <f t="shared" si="20"/>
        <v>0</v>
      </c>
      <c r="AI180" s="99">
        <f>AH180*N(Crédits!$D$9)/12</f>
        <v>0</v>
      </c>
      <c r="AJ180" s="99">
        <f>MIN(N(Crédits!$E$9),AH180+AI180)</f>
        <v>0</v>
      </c>
      <c r="AK180" s="99">
        <f t="shared" si="8"/>
        <v>0</v>
      </c>
      <c r="AL180" s="100">
        <f>IF(Crédits!$K$9="",0,MAX(0,MIN(AK180,Plan!$L$182-(IF(Crédits!$K$5="",0,IF(Crédits!$K$5&lt;Crédits!$K$9,E180,0))+IF(Crédits!$K$6="",0,IF(Crédits!$K$6&lt;Crédits!$K$9,M180,0))+IF(Crédits!$K$7="",0,IF(Crédits!$K$7&lt;Crédits!$K$9,U180,0))+IF(Crédits!$K$8="",0,IF(Crédits!$K$8&lt;Crédits!$K$9,AC180,0))+IF(Crédits!$K$10="",0,IF(Crédits!$K$10&lt;Crédits!$K$9,AS180,0))))))</f>
        <v>0</v>
      </c>
      <c r="AM180" s="101">
        <f t="shared" si="9"/>
        <v>0</v>
      </c>
      <c r="AN180" s="88">
        <f>ROUND(AN179+AO180-MIN(N(Crédits!$E$9),AN179+AO180),2)</f>
        <v>0</v>
      </c>
      <c r="AO180" s="89">
        <f>AN179*N(Crédits!$D$9)/12</f>
        <v>0</v>
      </c>
      <c r="AP180" s="102">
        <f t="shared" si="21"/>
        <v>0</v>
      </c>
      <c r="AQ180" s="102">
        <f>AP180*N(Crédits!$D$10)/12</f>
        <v>0</v>
      </c>
      <c r="AR180" s="102">
        <f>MIN(N(Crédits!$E$10),AP180+AQ180)</f>
        <v>0</v>
      </c>
      <c r="AS180" s="102">
        <f t="shared" si="10"/>
        <v>0</v>
      </c>
      <c r="AT180" s="103">
        <f>IF(Crédits!$K$10="",0,MAX(0,MIN(AS180,Plan!$L$182-(IF(Crédits!$K$5="",0,IF(Crédits!$K$5&lt;Crédits!$K$10,E180,0))+IF(Crédits!$K$6="",0,IF(Crédits!$K$6&lt;Crédits!$K$10,M180,0))+IF(Crédits!$K$7="",0,IF(Crédits!$K$7&lt;Crédits!$K$10,U180,0))+IF(Crédits!$K$8="",0,IF(Crédits!$K$8&lt;Crédits!$K$10,AC180,0))+IF(Crédits!$K$9="",0,IF(Crédits!$K$9&lt;Crédits!$K$10,AK180,0))))))</f>
        <v>0</v>
      </c>
      <c r="AU180" s="104">
        <f t="shared" si="11"/>
        <v>0</v>
      </c>
      <c r="AV180" s="88">
        <f>ROUND(AV179+AW180-MIN(N(Crédits!$E$10),AV179+AW180),2)</f>
        <v>0</v>
      </c>
      <c r="AW180" s="89">
        <f>AV179*N(Crédits!$D$10)/12</f>
        <v>0</v>
      </c>
      <c r="AX180" s="105">
        <f t="shared" si="12"/>
        <v>0</v>
      </c>
      <c r="AY180" s="105">
        <f t="shared" ref="AY180:AZ180" si="198">F180+N180+V180+AD180+AL180+AT180</f>
        <v>0</v>
      </c>
      <c r="AZ180" s="105">
        <f t="shared" si="198"/>
        <v>0</v>
      </c>
      <c r="BA180" s="105">
        <f t="shared" si="14"/>
        <v>0</v>
      </c>
      <c r="BB180" s="105">
        <f t="shared" si="15"/>
        <v>0</v>
      </c>
    </row>
    <row r="181" spans="1:54" ht="15" customHeight="1" x14ac:dyDescent="0.25">
      <c r="A181" s="2">
        <v>179</v>
      </c>
      <c r="B181" s="83">
        <f t="shared" si="16"/>
        <v>0</v>
      </c>
      <c r="C181" s="83">
        <f>B181*N(Crédits!$D$5)/12</f>
        <v>0</v>
      </c>
      <c r="D181" s="83">
        <f>MIN(N(Crédits!$E$5),B181+C181)</f>
        <v>0</v>
      </c>
      <c r="E181" s="83">
        <f t="shared" si="0"/>
        <v>0</v>
      </c>
      <c r="F181" s="86">
        <f>IF(Crédits!$K$5="",0,MAX(0,MIN(E181,Plan!$L$183-(IF(Crédits!$K$6="",0,IF(Crédits!$K$6&lt;Crédits!$K$5,M181,0))+IF(Crédits!$K$7="",0,IF(Crédits!$K$7&lt;Crédits!$K$5,U181,0))+IF(Crédits!$K$8="",0,IF(Crédits!$K$8&lt;Crédits!$K$5,AC181,0))+IF(Crédits!$K$9="",0,IF(Crédits!$K$9&lt;Crédits!$K$5,AK181,0))+IF(Crédits!$K$10="",0,IF(Crédits!$K$10&lt;Crédits!$K$5,AS181,0))))))</f>
        <v>0</v>
      </c>
      <c r="G181" s="87">
        <f t="shared" si="1"/>
        <v>0</v>
      </c>
      <c r="H181" s="88">
        <f>ROUND(H180+I181-MIN(N(Crédits!$E$5),H180+I181),2)</f>
        <v>0</v>
      </c>
      <c r="I181" s="89">
        <f>H180*N(Crédits!$D$5)/12</f>
        <v>0</v>
      </c>
      <c r="J181" s="90">
        <f t="shared" si="17"/>
        <v>0</v>
      </c>
      <c r="K181" s="90">
        <f>J181*N(Crédits!$D$6)/12</f>
        <v>0</v>
      </c>
      <c r="L181" s="90">
        <f>MIN(N(Crédits!$E$6),J181+K181)</f>
        <v>0</v>
      </c>
      <c r="M181" s="90">
        <f t="shared" si="2"/>
        <v>0</v>
      </c>
      <c r="N181" s="91">
        <f>IF(Crédits!$K$6="",0,MAX(0,MIN(M181,Plan!$L$183-(IF(Crédits!$K$5="",0,IF(Crédits!$K$5&lt;Crédits!$K$6,E181,0))+IF(Crédits!$K$7="",0,IF(Crédits!$K$7&lt;Crédits!$K$6,U181,0))+IF(Crédits!$K$8="",0,IF(Crédits!$K$8&lt;Crédits!$K$6,AC181,0))+IF(Crédits!$K$9="",0,IF(Crédits!$K$9&lt;Crédits!$K$6,AK181,0))+IF(Crédits!$K$10="",0,IF(Crédits!$K$10&lt;Crédits!$K$6,AS181,0))))))</f>
        <v>0</v>
      </c>
      <c r="O181" s="92">
        <f t="shared" si="3"/>
        <v>0</v>
      </c>
      <c r="P181" s="88">
        <f>ROUND(P180+Q181-MIN(N(Crédits!$E$6),P180+Q181),2)</f>
        <v>0</v>
      </c>
      <c r="Q181" s="89">
        <f>P180*N(Crédits!$D$6)/12</f>
        <v>0</v>
      </c>
      <c r="R181" s="93">
        <f t="shared" si="18"/>
        <v>0</v>
      </c>
      <c r="S181" s="93">
        <f>R181*N(Crédits!$D$7)/12</f>
        <v>0</v>
      </c>
      <c r="T181" s="93">
        <f>MIN(N(Crédits!$E$7),R181+S181)</f>
        <v>0</v>
      </c>
      <c r="U181" s="93">
        <f t="shared" si="4"/>
        <v>0</v>
      </c>
      <c r="V181" s="94">
        <f>IF(Crédits!$K$7="",0,MAX(0,MIN(U181,Plan!$L$183-(IF(Crédits!$K$5="",0,IF(Crédits!$K$5&lt;Crédits!$K$7,E181,0))+IF(Crédits!$K$6="",0,IF(Crédits!$K$6&lt;Crédits!$K$7,M181,0))+IF(Crédits!$K$8="",0,IF(Crédits!$K$8&lt;Crédits!$K$7,AC181,0))+IF(Crédits!$K$9="",0,IF(Crédits!$K$9&lt;Crédits!$K$7,AK181,0))+IF(Crédits!$K$10="",0,IF(Crédits!$K$10&lt;Crédits!$K$7,AS181,0))))))</f>
        <v>0</v>
      </c>
      <c r="W181" s="95">
        <f t="shared" si="5"/>
        <v>0</v>
      </c>
      <c r="X181" s="88">
        <f>ROUND(X180+Y181-MIN(N(Crédits!$E$7),X180+Y181),2)</f>
        <v>0</v>
      </c>
      <c r="Y181" s="89">
        <f>X180*N(Crédits!$D$7)/12</f>
        <v>0</v>
      </c>
      <c r="Z181" s="96">
        <f t="shared" si="19"/>
        <v>0</v>
      </c>
      <c r="AA181" s="96">
        <f>Z181*N(Crédits!$D$8)/12</f>
        <v>0</v>
      </c>
      <c r="AB181" s="96">
        <f>MIN(N(Crédits!$E$8),Z181+AA181)</f>
        <v>0</v>
      </c>
      <c r="AC181" s="96">
        <f t="shared" si="6"/>
        <v>0</v>
      </c>
      <c r="AD181" s="97">
        <f>IF(Crédits!$K$8="",0,MAX(0,MIN(AC181,Plan!$L$183-(IF(Crédits!$K$5="",0,IF(Crédits!$K$5&lt;Crédits!$K$8,E181,0))+IF(Crédits!$K$6="",0,IF(Crédits!$K$6&lt;Crédits!$K$8,M181,0))+IF(Crédits!$K$7="",0,IF(Crédits!$K$7&lt;Crédits!$K$8,U181,0))+IF(Crédits!$K$9="",0,IF(Crédits!$K$9&lt;Crédits!$K$8,AK181,0))+IF(Crédits!$K$10="",0,IF(Crédits!$K$10&lt;Crédits!$K$8,AS181,0))))))</f>
        <v>0</v>
      </c>
      <c r="AE181" s="98">
        <f t="shared" si="7"/>
        <v>0</v>
      </c>
      <c r="AF181" s="88">
        <f>ROUND(AF180+AG181-MIN(N(Crédits!$E$8),AF180+AG181),2)</f>
        <v>0</v>
      </c>
      <c r="AG181" s="89">
        <f>AF180*N(Crédits!$D$8)/12</f>
        <v>0</v>
      </c>
      <c r="AH181" s="99">
        <f t="shared" si="20"/>
        <v>0</v>
      </c>
      <c r="AI181" s="99">
        <f>AH181*N(Crédits!$D$9)/12</f>
        <v>0</v>
      </c>
      <c r="AJ181" s="99">
        <f>MIN(N(Crédits!$E$9),AH181+AI181)</f>
        <v>0</v>
      </c>
      <c r="AK181" s="99">
        <f t="shared" si="8"/>
        <v>0</v>
      </c>
      <c r="AL181" s="100">
        <f>IF(Crédits!$K$9="",0,MAX(0,MIN(AK181,Plan!$L$183-(IF(Crédits!$K$5="",0,IF(Crédits!$K$5&lt;Crédits!$K$9,E181,0))+IF(Crédits!$K$6="",0,IF(Crédits!$K$6&lt;Crédits!$K$9,M181,0))+IF(Crédits!$K$7="",0,IF(Crédits!$K$7&lt;Crédits!$K$9,U181,0))+IF(Crédits!$K$8="",0,IF(Crédits!$K$8&lt;Crédits!$K$9,AC181,0))+IF(Crédits!$K$10="",0,IF(Crédits!$K$10&lt;Crédits!$K$9,AS181,0))))))</f>
        <v>0</v>
      </c>
      <c r="AM181" s="101">
        <f t="shared" si="9"/>
        <v>0</v>
      </c>
      <c r="AN181" s="88">
        <f>ROUND(AN180+AO181-MIN(N(Crédits!$E$9),AN180+AO181),2)</f>
        <v>0</v>
      </c>
      <c r="AO181" s="89">
        <f>AN180*N(Crédits!$D$9)/12</f>
        <v>0</v>
      </c>
      <c r="AP181" s="102">
        <f t="shared" si="21"/>
        <v>0</v>
      </c>
      <c r="AQ181" s="102">
        <f>AP181*N(Crédits!$D$10)/12</f>
        <v>0</v>
      </c>
      <c r="AR181" s="102">
        <f>MIN(N(Crédits!$E$10),AP181+AQ181)</f>
        <v>0</v>
      </c>
      <c r="AS181" s="102">
        <f t="shared" si="10"/>
        <v>0</v>
      </c>
      <c r="AT181" s="103">
        <f>IF(Crédits!$K$10="",0,MAX(0,MIN(AS181,Plan!$L$183-(IF(Crédits!$K$5="",0,IF(Crédits!$K$5&lt;Crédits!$K$10,E181,0))+IF(Crédits!$K$6="",0,IF(Crédits!$K$6&lt;Crédits!$K$10,M181,0))+IF(Crédits!$K$7="",0,IF(Crédits!$K$7&lt;Crédits!$K$10,U181,0))+IF(Crédits!$K$8="",0,IF(Crédits!$K$8&lt;Crédits!$K$10,AC181,0))+IF(Crédits!$K$9="",0,IF(Crédits!$K$9&lt;Crédits!$K$10,AK181,0))))))</f>
        <v>0</v>
      </c>
      <c r="AU181" s="104">
        <f t="shared" si="11"/>
        <v>0</v>
      </c>
      <c r="AV181" s="88">
        <f>ROUND(AV180+AW181-MIN(N(Crédits!$E$10),AV180+AW181),2)</f>
        <v>0</v>
      </c>
      <c r="AW181" s="89">
        <f>AV180*N(Crédits!$D$10)/12</f>
        <v>0</v>
      </c>
      <c r="AX181" s="105">
        <f t="shared" si="12"/>
        <v>0</v>
      </c>
      <c r="AY181" s="105">
        <f t="shared" ref="AY181:AZ181" si="199">F181+N181+V181+AD181+AL181+AT181</f>
        <v>0</v>
      </c>
      <c r="AZ181" s="105">
        <f t="shared" si="199"/>
        <v>0</v>
      </c>
      <c r="BA181" s="105">
        <f t="shared" si="14"/>
        <v>0</v>
      </c>
      <c r="BB181" s="105">
        <f t="shared" si="15"/>
        <v>0</v>
      </c>
    </row>
    <row r="182" spans="1:54" ht="15" customHeight="1" x14ac:dyDescent="0.25">
      <c r="A182" s="2">
        <v>180</v>
      </c>
      <c r="B182" s="83">
        <f t="shared" si="16"/>
        <v>0</v>
      </c>
      <c r="C182" s="83">
        <f>B182*N(Crédits!$D$5)/12</f>
        <v>0</v>
      </c>
      <c r="D182" s="83">
        <f>MIN(N(Crédits!$E$5),B182+C182)</f>
        <v>0</v>
      </c>
      <c r="E182" s="83">
        <f t="shared" si="0"/>
        <v>0</v>
      </c>
      <c r="F182" s="86">
        <f>IF(Crédits!$K$5="",0,MAX(0,MIN(E182,Plan!$L$184-(IF(Crédits!$K$6="",0,IF(Crédits!$K$6&lt;Crédits!$K$5,M182,0))+IF(Crédits!$K$7="",0,IF(Crédits!$K$7&lt;Crédits!$K$5,U182,0))+IF(Crédits!$K$8="",0,IF(Crédits!$K$8&lt;Crédits!$K$5,AC182,0))+IF(Crédits!$K$9="",0,IF(Crédits!$K$9&lt;Crédits!$K$5,AK182,0))+IF(Crédits!$K$10="",0,IF(Crédits!$K$10&lt;Crédits!$K$5,AS182,0))))))</f>
        <v>0</v>
      </c>
      <c r="G182" s="87">
        <f t="shared" si="1"/>
        <v>0</v>
      </c>
      <c r="H182" s="88">
        <f>ROUND(H181+I182-MIN(N(Crédits!$E$5),H181+I182),2)</f>
        <v>0</v>
      </c>
      <c r="I182" s="89">
        <f>H181*N(Crédits!$D$5)/12</f>
        <v>0</v>
      </c>
      <c r="J182" s="90">
        <f t="shared" si="17"/>
        <v>0</v>
      </c>
      <c r="K182" s="90">
        <f>J182*N(Crédits!$D$6)/12</f>
        <v>0</v>
      </c>
      <c r="L182" s="90">
        <f>MIN(N(Crédits!$E$6),J182+K182)</f>
        <v>0</v>
      </c>
      <c r="M182" s="90">
        <f t="shared" si="2"/>
        <v>0</v>
      </c>
      <c r="N182" s="91">
        <f>IF(Crédits!$K$6="",0,MAX(0,MIN(M182,Plan!$L$184-(IF(Crédits!$K$5="",0,IF(Crédits!$K$5&lt;Crédits!$K$6,E182,0))+IF(Crédits!$K$7="",0,IF(Crédits!$K$7&lt;Crédits!$K$6,U182,0))+IF(Crédits!$K$8="",0,IF(Crédits!$K$8&lt;Crédits!$K$6,AC182,0))+IF(Crédits!$K$9="",0,IF(Crédits!$K$9&lt;Crédits!$K$6,AK182,0))+IF(Crédits!$K$10="",0,IF(Crédits!$K$10&lt;Crédits!$K$6,AS182,0))))))</f>
        <v>0</v>
      </c>
      <c r="O182" s="92">
        <f t="shared" si="3"/>
        <v>0</v>
      </c>
      <c r="P182" s="88">
        <f>ROUND(P181+Q182-MIN(N(Crédits!$E$6),P181+Q182),2)</f>
        <v>0</v>
      </c>
      <c r="Q182" s="89">
        <f>P181*N(Crédits!$D$6)/12</f>
        <v>0</v>
      </c>
      <c r="R182" s="93">
        <f t="shared" si="18"/>
        <v>0</v>
      </c>
      <c r="S182" s="93">
        <f>R182*N(Crédits!$D$7)/12</f>
        <v>0</v>
      </c>
      <c r="T182" s="93">
        <f>MIN(N(Crédits!$E$7),R182+S182)</f>
        <v>0</v>
      </c>
      <c r="U182" s="93">
        <f t="shared" si="4"/>
        <v>0</v>
      </c>
      <c r="V182" s="94">
        <f>IF(Crédits!$K$7="",0,MAX(0,MIN(U182,Plan!$L$184-(IF(Crédits!$K$5="",0,IF(Crédits!$K$5&lt;Crédits!$K$7,E182,0))+IF(Crédits!$K$6="",0,IF(Crédits!$K$6&lt;Crédits!$K$7,M182,0))+IF(Crédits!$K$8="",0,IF(Crédits!$K$8&lt;Crédits!$K$7,AC182,0))+IF(Crédits!$K$9="",0,IF(Crédits!$K$9&lt;Crédits!$K$7,AK182,0))+IF(Crédits!$K$10="",0,IF(Crédits!$K$10&lt;Crédits!$K$7,AS182,0))))))</f>
        <v>0</v>
      </c>
      <c r="W182" s="95">
        <f t="shared" si="5"/>
        <v>0</v>
      </c>
      <c r="X182" s="88">
        <f>ROUND(X181+Y182-MIN(N(Crédits!$E$7),X181+Y182),2)</f>
        <v>0</v>
      </c>
      <c r="Y182" s="89">
        <f>X181*N(Crédits!$D$7)/12</f>
        <v>0</v>
      </c>
      <c r="Z182" s="96">
        <f t="shared" si="19"/>
        <v>0</v>
      </c>
      <c r="AA182" s="96">
        <f>Z182*N(Crédits!$D$8)/12</f>
        <v>0</v>
      </c>
      <c r="AB182" s="96">
        <f>MIN(N(Crédits!$E$8),Z182+AA182)</f>
        <v>0</v>
      </c>
      <c r="AC182" s="96">
        <f t="shared" si="6"/>
        <v>0</v>
      </c>
      <c r="AD182" s="97">
        <f>IF(Crédits!$K$8="",0,MAX(0,MIN(AC182,Plan!$L$184-(IF(Crédits!$K$5="",0,IF(Crédits!$K$5&lt;Crédits!$K$8,E182,0))+IF(Crédits!$K$6="",0,IF(Crédits!$K$6&lt;Crédits!$K$8,M182,0))+IF(Crédits!$K$7="",0,IF(Crédits!$K$7&lt;Crédits!$K$8,U182,0))+IF(Crédits!$K$9="",0,IF(Crédits!$K$9&lt;Crédits!$K$8,AK182,0))+IF(Crédits!$K$10="",0,IF(Crédits!$K$10&lt;Crédits!$K$8,AS182,0))))))</f>
        <v>0</v>
      </c>
      <c r="AE182" s="98">
        <f t="shared" si="7"/>
        <v>0</v>
      </c>
      <c r="AF182" s="88">
        <f>ROUND(AF181+AG182-MIN(N(Crédits!$E$8),AF181+AG182),2)</f>
        <v>0</v>
      </c>
      <c r="AG182" s="89">
        <f>AF181*N(Crédits!$D$8)/12</f>
        <v>0</v>
      </c>
      <c r="AH182" s="99">
        <f t="shared" si="20"/>
        <v>0</v>
      </c>
      <c r="AI182" s="99">
        <f>AH182*N(Crédits!$D$9)/12</f>
        <v>0</v>
      </c>
      <c r="AJ182" s="99">
        <f>MIN(N(Crédits!$E$9),AH182+AI182)</f>
        <v>0</v>
      </c>
      <c r="AK182" s="99">
        <f t="shared" si="8"/>
        <v>0</v>
      </c>
      <c r="AL182" s="100">
        <f>IF(Crédits!$K$9="",0,MAX(0,MIN(AK182,Plan!$L$184-(IF(Crédits!$K$5="",0,IF(Crédits!$K$5&lt;Crédits!$K$9,E182,0))+IF(Crédits!$K$6="",0,IF(Crédits!$K$6&lt;Crédits!$K$9,M182,0))+IF(Crédits!$K$7="",0,IF(Crédits!$K$7&lt;Crédits!$K$9,U182,0))+IF(Crédits!$K$8="",0,IF(Crédits!$K$8&lt;Crédits!$K$9,AC182,0))+IF(Crédits!$K$10="",0,IF(Crédits!$K$10&lt;Crédits!$K$9,AS182,0))))))</f>
        <v>0</v>
      </c>
      <c r="AM182" s="101">
        <f t="shared" si="9"/>
        <v>0</v>
      </c>
      <c r="AN182" s="88">
        <f>ROUND(AN181+AO182-MIN(N(Crédits!$E$9),AN181+AO182),2)</f>
        <v>0</v>
      </c>
      <c r="AO182" s="89">
        <f>AN181*N(Crédits!$D$9)/12</f>
        <v>0</v>
      </c>
      <c r="AP182" s="102">
        <f t="shared" si="21"/>
        <v>0</v>
      </c>
      <c r="AQ182" s="102">
        <f>AP182*N(Crédits!$D$10)/12</f>
        <v>0</v>
      </c>
      <c r="AR182" s="102">
        <f>MIN(N(Crédits!$E$10),AP182+AQ182)</f>
        <v>0</v>
      </c>
      <c r="AS182" s="102">
        <f t="shared" si="10"/>
        <v>0</v>
      </c>
      <c r="AT182" s="103">
        <f>IF(Crédits!$K$10="",0,MAX(0,MIN(AS182,Plan!$L$184-(IF(Crédits!$K$5="",0,IF(Crédits!$K$5&lt;Crédits!$K$10,E182,0))+IF(Crédits!$K$6="",0,IF(Crédits!$K$6&lt;Crédits!$K$10,M182,0))+IF(Crédits!$K$7="",0,IF(Crédits!$K$7&lt;Crédits!$K$10,U182,0))+IF(Crédits!$K$8="",0,IF(Crédits!$K$8&lt;Crédits!$K$10,AC182,0))+IF(Crédits!$K$9="",0,IF(Crédits!$K$9&lt;Crédits!$K$10,AK182,0))))))</f>
        <v>0</v>
      </c>
      <c r="AU182" s="104">
        <f t="shared" si="11"/>
        <v>0</v>
      </c>
      <c r="AV182" s="88">
        <f>ROUND(AV181+AW182-MIN(N(Crédits!$E$10),AV181+AW182),2)</f>
        <v>0</v>
      </c>
      <c r="AW182" s="89">
        <f>AV181*N(Crédits!$D$10)/12</f>
        <v>0</v>
      </c>
      <c r="AX182" s="105">
        <f t="shared" si="12"/>
        <v>0</v>
      </c>
      <c r="AY182" s="105">
        <f t="shared" ref="AY182:AZ182" si="200">F182+N182+V182+AD182+AL182+AT182</f>
        <v>0</v>
      </c>
      <c r="AZ182" s="105">
        <f t="shared" si="200"/>
        <v>0</v>
      </c>
      <c r="BA182" s="105">
        <f t="shared" si="14"/>
        <v>0</v>
      </c>
      <c r="BB182" s="105">
        <f t="shared" si="15"/>
        <v>0</v>
      </c>
    </row>
    <row r="183" spans="1:54" ht="15" customHeight="1" x14ac:dyDescent="0.25">
      <c r="A183" s="2">
        <v>181</v>
      </c>
      <c r="B183" s="83">
        <f t="shared" si="16"/>
        <v>0</v>
      </c>
      <c r="C183" s="83">
        <f>B183*N(Crédits!$D$5)/12</f>
        <v>0</v>
      </c>
      <c r="D183" s="83">
        <f>MIN(N(Crédits!$E$5),B183+C183)</f>
        <v>0</v>
      </c>
      <c r="E183" s="83">
        <f t="shared" si="0"/>
        <v>0</v>
      </c>
      <c r="F183" s="86">
        <f>IF(Crédits!$K$5="",0,MAX(0,MIN(E183,Plan!$L$185-(IF(Crédits!$K$6="",0,IF(Crédits!$K$6&lt;Crédits!$K$5,M183,0))+IF(Crédits!$K$7="",0,IF(Crédits!$K$7&lt;Crédits!$K$5,U183,0))+IF(Crédits!$K$8="",0,IF(Crédits!$K$8&lt;Crédits!$K$5,AC183,0))+IF(Crédits!$K$9="",0,IF(Crédits!$K$9&lt;Crédits!$K$5,AK183,0))+IF(Crédits!$K$10="",0,IF(Crédits!$K$10&lt;Crédits!$K$5,AS183,0))))))</f>
        <v>0</v>
      </c>
      <c r="G183" s="87">
        <f t="shared" si="1"/>
        <v>0</v>
      </c>
      <c r="H183" s="88">
        <f>ROUND(H182+I183-MIN(N(Crédits!$E$5),H182+I183),2)</f>
        <v>0</v>
      </c>
      <c r="I183" s="89">
        <f>H182*N(Crédits!$D$5)/12</f>
        <v>0</v>
      </c>
      <c r="J183" s="90">
        <f t="shared" si="17"/>
        <v>0</v>
      </c>
      <c r="K183" s="90">
        <f>J183*N(Crédits!$D$6)/12</f>
        <v>0</v>
      </c>
      <c r="L183" s="90">
        <f>MIN(N(Crédits!$E$6),J183+K183)</f>
        <v>0</v>
      </c>
      <c r="M183" s="90">
        <f t="shared" si="2"/>
        <v>0</v>
      </c>
      <c r="N183" s="91">
        <f>IF(Crédits!$K$6="",0,MAX(0,MIN(M183,Plan!$L$185-(IF(Crédits!$K$5="",0,IF(Crédits!$K$5&lt;Crédits!$K$6,E183,0))+IF(Crédits!$K$7="",0,IF(Crédits!$K$7&lt;Crédits!$K$6,U183,0))+IF(Crédits!$K$8="",0,IF(Crédits!$K$8&lt;Crédits!$K$6,AC183,0))+IF(Crédits!$K$9="",0,IF(Crédits!$K$9&lt;Crédits!$K$6,AK183,0))+IF(Crédits!$K$10="",0,IF(Crédits!$K$10&lt;Crédits!$K$6,AS183,0))))))</f>
        <v>0</v>
      </c>
      <c r="O183" s="92">
        <f t="shared" si="3"/>
        <v>0</v>
      </c>
      <c r="P183" s="88">
        <f>ROUND(P182+Q183-MIN(N(Crédits!$E$6),P182+Q183),2)</f>
        <v>0</v>
      </c>
      <c r="Q183" s="89">
        <f>P182*N(Crédits!$D$6)/12</f>
        <v>0</v>
      </c>
      <c r="R183" s="93">
        <f t="shared" si="18"/>
        <v>0</v>
      </c>
      <c r="S183" s="93">
        <f>R183*N(Crédits!$D$7)/12</f>
        <v>0</v>
      </c>
      <c r="T183" s="93">
        <f>MIN(N(Crédits!$E$7),R183+S183)</f>
        <v>0</v>
      </c>
      <c r="U183" s="93">
        <f t="shared" si="4"/>
        <v>0</v>
      </c>
      <c r="V183" s="94">
        <f>IF(Crédits!$K$7="",0,MAX(0,MIN(U183,Plan!$L$185-(IF(Crédits!$K$5="",0,IF(Crédits!$K$5&lt;Crédits!$K$7,E183,0))+IF(Crédits!$K$6="",0,IF(Crédits!$K$6&lt;Crédits!$K$7,M183,0))+IF(Crédits!$K$8="",0,IF(Crédits!$K$8&lt;Crédits!$K$7,AC183,0))+IF(Crédits!$K$9="",0,IF(Crédits!$K$9&lt;Crédits!$K$7,AK183,0))+IF(Crédits!$K$10="",0,IF(Crédits!$K$10&lt;Crédits!$K$7,AS183,0))))))</f>
        <v>0</v>
      </c>
      <c r="W183" s="95">
        <f t="shared" si="5"/>
        <v>0</v>
      </c>
      <c r="X183" s="88">
        <f>ROUND(X182+Y183-MIN(N(Crédits!$E$7),X182+Y183),2)</f>
        <v>0</v>
      </c>
      <c r="Y183" s="89">
        <f>X182*N(Crédits!$D$7)/12</f>
        <v>0</v>
      </c>
      <c r="Z183" s="96">
        <f t="shared" si="19"/>
        <v>0</v>
      </c>
      <c r="AA183" s="96">
        <f>Z183*N(Crédits!$D$8)/12</f>
        <v>0</v>
      </c>
      <c r="AB183" s="96">
        <f>MIN(N(Crédits!$E$8),Z183+AA183)</f>
        <v>0</v>
      </c>
      <c r="AC183" s="96">
        <f t="shared" si="6"/>
        <v>0</v>
      </c>
      <c r="AD183" s="97">
        <f>IF(Crédits!$K$8="",0,MAX(0,MIN(AC183,Plan!$L$185-(IF(Crédits!$K$5="",0,IF(Crédits!$K$5&lt;Crédits!$K$8,E183,0))+IF(Crédits!$K$6="",0,IF(Crédits!$K$6&lt;Crédits!$K$8,M183,0))+IF(Crédits!$K$7="",0,IF(Crédits!$K$7&lt;Crédits!$K$8,U183,0))+IF(Crédits!$K$9="",0,IF(Crédits!$K$9&lt;Crédits!$K$8,AK183,0))+IF(Crédits!$K$10="",0,IF(Crédits!$K$10&lt;Crédits!$K$8,AS183,0))))))</f>
        <v>0</v>
      </c>
      <c r="AE183" s="98">
        <f t="shared" si="7"/>
        <v>0</v>
      </c>
      <c r="AF183" s="88">
        <f>ROUND(AF182+AG183-MIN(N(Crédits!$E$8),AF182+AG183),2)</f>
        <v>0</v>
      </c>
      <c r="AG183" s="89">
        <f>AF182*N(Crédits!$D$8)/12</f>
        <v>0</v>
      </c>
      <c r="AH183" s="99">
        <f t="shared" si="20"/>
        <v>0</v>
      </c>
      <c r="AI183" s="99">
        <f>AH183*N(Crédits!$D$9)/12</f>
        <v>0</v>
      </c>
      <c r="AJ183" s="99">
        <f>MIN(N(Crédits!$E$9),AH183+AI183)</f>
        <v>0</v>
      </c>
      <c r="AK183" s="99">
        <f t="shared" si="8"/>
        <v>0</v>
      </c>
      <c r="AL183" s="100">
        <f>IF(Crédits!$K$9="",0,MAX(0,MIN(AK183,Plan!$L$185-(IF(Crédits!$K$5="",0,IF(Crédits!$K$5&lt;Crédits!$K$9,E183,0))+IF(Crédits!$K$6="",0,IF(Crédits!$K$6&lt;Crédits!$K$9,M183,0))+IF(Crédits!$K$7="",0,IF(Crédits!$K$7&lt;Crédits!$K$9,U183,0))+IF(Crédits!$K$8="",0,IF(Crédits!$K$8&lt;Crédits!$K$9,AC183,0))+IF(Crédits!$K$10="",0,IF(Crédits!$K$10&lt;Crédits!$K$9,AS183,0))))))</f>
        <v>0</v>
      </c>
      <c r="AM183" s="101">
        <f t="shared" si="9"/>
        <v>0</v>
      </c>
      <c r="AN183" s="88">
        <f>ROUND(AN182+AO183-MIN(N(Crédits!$E$9),AN182+AO183),2)</f>
        <v>0</v>
      </c>
      <c r="AO183" s="89">
        <f>AN182*N(Crédits!$D$9)/12</f>
        <v>0</v>
      </c>
      <c r="AP183" s="102">
        <f t="shared" si="21"/>
        <v>0</v>
      </c>
      <c r="AQ183" s="102">
        <f>AP183*N(Crédits!$D$10)/12</f>
        <v>0</v>
      </c>
      <c r="AR183" s="102">
        <f>MIN(N(Crédits!$E$10),AP183+AQ183)</f>
        <v>0</v>
      </c>
      <c r="AS183" s="102">
        <f t="shared" si="10"/>
        <v>0</v>
      </c>
      <c r="AT183" s="103">
        <f>IF(Crédits!$K$10="",0,MAX(0,MIN(AS183,Plan!$L$185-(IF(Crédits!$K$5="",0,IF(Crédits!$K$5&lt;Crédits!$K$10,E183,0))+IF(Crédits!$K$6="",0,IF(Crédits!$K$6&lt;Crédits!$K$10,M183,0))+IF(Crédits!$K$7="",0,IF(Crédits!$K$7&lt;Crédits!$K$10,U183,0))+IF(Crédits!$K$8="",0,IF(Crédits!$K$8&lt;Crédits!$K$10,AC183,0))+IF(Crédits!$K$9="",0,IF(Crédits!$K$9&lt;Crédits!$K$10,AK183,0))))))</f>
        <v>0</v>
      </c>
      <c r="AU183" s="104">
        <f t="shared" si="11"/>
        <v>0</v>
      </c>
      <c r="AV183" s="88">
        <f>ROUND(AV182+AW183-MIN(N(Crédits!$E$10),AV182+AW183),2)</f>
        <v>0</v>
      </c>
      <c r="AW183" s="89">
        <f>AV182*N(Crédits!$D$10)/12</f>
        <v>0</v>
      </c>
      <c r="AX183" s="105">
        <f t="shared" si="12"/>
        <v>0</v>
      </c>
      <c r="AY183" s="105">
        <f t="shared" ref="AY183:AZ183" si="201">F183+N183+V183+AD183+AL183+AT183</f>
        <v>0</v>
      </c>
      <c r="AZ183" s="105">
        <f t="shared" si="201"/>
        <v>0</v>
      </c>
      <c r="BA183" s="105">
        <f t="shared" si="14"/>
        <v>0</v>
      </c>
      <c r="BB183" s="105">
        <f t="shared" si="15"/>
        <v>0</v>
      </c>
    </row>
    <row r="184" spans="1:54" ht="15" customHeight="1" x14ac:dyDescent="0.25">
      <c r="A184" s="2">
        <v>182</v>
      </c>
      <c r="B184" s="83">
        <f t="shared" si="16"/>
        <v>0</v>
      </c>
      <c r="C184" s="83">
        <f>B184*N(Crédits!$D$5)/12</f>
        <v>0</v>
      </c>
      <c r="D184" s="83">
        <f>MIN(N(Crédits!$E$5),B184+C184)</f>
        <v>0</v>
      </c>
      <c r="E184" s="83">
        <f t="shared" si="0"/>
        <v>0</v>
      </c>
      <c r="F184" s="86">
        <f>IF(Crédits!$K$5="",0,MAX(0,MIN(E184,Plan!$L$186-(IF(Crédits!$K$6="",0,IF(Crédits!$K$6&lt;Crédits!$K$5,M184,0))+IF(Crédits!$K$7="",0,IF(Crédits!$K$7&lt;Crédits!$K$5,U184,0))+IF(Crédits!$K$8="",0,IF(Crédits!$K$8&lt;Crédits!$K$5,AC184,0))+IF(Crédits!$K$9="",0,IF(Crédits!$K$9&lt;Crédits!$K$5,AK184,0))+IF(Crédits!$K$10="",0,IF(Crédits!$K$10&lt;Crédits!$K$5,AS184,0))))))</f>
        <v>0</v>
      </c>
      <c r="G184" s="87">
        <f t="shared" si="1"/>
        <v>0</v>
      </c>
      <c r="H184" s="88">
        <f>ROUND(H183+I184-MIN(N(Crédits!$E$5),H183+I184),2)</f>
        <v>0</v>
      </c>
      <c r="I184" s="89">
        <f>H183*N(Crédits!$D$5)/12</f>
        <v>0</v>
      </c>
      <c r="J184" s="90">
        <f t="shared" si="17"/>
        <v>0</v>
      </c>
      <c r="K184" s="90">
        <f>J184*N(Crédits!$D$6)/12</f>
        <v>0</v>
      </c>
      <c r="L184" s="90">
        <f>MIN(N(Crédits!$E$6),J184+K184)</f>
        <v>0</v>
      </c>
      <c r="M184" s="90">
        <f t="shared" si="2"/>
        <v>0</v>
      </c>
      <c r="N184" s="91">
        <f>IF(Crédits!$K$6="",0,MAX(0,MIN(M184,Plan!$L$186-(IF(Crédits!$K$5="",0,IF(Crédits!$K$5&lt;Crédits!$K$6,E184,0))+IF(Crédits!$K$7="",0,IF(Crédits!$K$7&lt;Crédits!$K$6,U184,0))+IF(Crédits!$K$8="",0,IF(Crédits!$K$8&lt;Crédits!$K$6,AC184,0))+IF(Crédits!$K$9="",0,IF(Crédits!$K$9&lt;Crédits!$K$6,AK184,0))+IF(Crédits!$K$10="",0,IF(Crédits!$K$10&lt;Crédits!$K$6,AS184,0))))))</f>
        <v>0</v>
      </c>
      <c r="O184" s="92">
        <f t="shared" si="3"/>
        <v>0</v>
      </c>
      <c r="P184" s="88">
        <f>ROUND(P183+Q184-MIN(N(Crédits!$E$6),P183+Q184),2)</f>
        <v>0</v>
      </c>
      <c r="Q184" s="89">
        <f>P183*N(Crédits!$D$6)/12</f>
        <v>0</v>
      </c>
      <c r="R184" s="93">
        <f t="shared" si="18"/>
        <v>0</v>
      </c>
      <c r="S184" s="93">
        <f>R184*N(Crédits!$D$7)/12</f>
        <v>0</v>
      </c>
      <c r="T184" s="93">
        <f>MIN(N(Crédits!$E$7),R184+S184)</f>
        <v>0</v>
      </c>
      <c r="U184" s="93">
        <f t="shared" si="4"/>
        <v>0</v>
      </c>
      <c r="V184" s="94">
        <f>IF(Crédits!$K$7="",0,MAX(0,MIN(U184,Plan!$L$186-(IF(Crédits!$K$5="",0,IF(Crédits!$K$5&lt;Crédits!$K$7,E184,0))+IF(Crédits!$K$6="",0,IF(Crédits!$K$6&lt;Crédits!$K$7,M184,0))+IF(Crédits!$K$8="",0,IF(Crédits!$K$8&lt;Crédits!$K$7,AC184,0))+IF(Crédits!$K$9="",0,IF(Crédits!$K$9&lt;Crédits!$K$7,AK184,0))+IF(Crédits!$K$10="",0,IF(Crédits!$K$10&lt;Crédits!$K$7,AS184,0))))))</f>
        <v>0</v>
      </c>
      <c r="W184" s="95">
        <f t="shared" si="5"/>
        <v>0</v>
      </c>
      <c r="X184" s="88">
        <f>ROUND(X183+Y184-MIN(N(Crédits!$E$7),X183+Y184),2)</f>
        <v>0</v>
      </c>
      <c r="Y184" s="89">
        <f>X183*N(Crédits!$D$7)/12</f>
        <v>0</v>
      </c>
      <c r="Z184" s="96">
        <f t="shared" si="19"/>
        <v>0</v>
      </c>
      <c r="AA184" s="96">
        <f>Z184*N(Crédits!$D$8)/12</f>
        <v>0</v>
      </c>
      <c r="AB184" s="96">
        <f>MIN(N(Crédits!$E$8),Z184+AA184)</f>
        <v>0</v>
      </c>
      <c r="AC184" s="96">
        <f t="shared" si="6"/>
        <v>0</v>
      </c>
      <c r="AD184" s="97">
        <f>IF(Crédits!$K$8="",0,MAX(0,MIN(AC184,Plan!$L$186-(IF(Crédits!$K$5="",0,IF(Crédits!$K$5&lt;Crédits!$K$8,E184,0))+IF(Crédits!$K$6="",0,IF(Crédits!$K$6&lt;Crédits!$K$8,M184,0))+IF(Crédits!$K$7="",0,IF(Crédits!$K$7&lt;Crédits!$K$8,U184,0))+IF(Crédits!$K$9="",0,IF(Crédits!$K$9&lt;Crédits!$K$8,AK184,0))+IF(Crédits!$K$10="",0,IF(Crédits!$K$10&lt;Crédits!$K$8,AS184,0))))))</f>
        <v>0</v>
      </c>
      <c r="AE184" s="98">
        <f t="shared" si="7"/>
        <v>0</v>
      </c>
      <c r="AF184" s="88">
        <f>ROUND(AF183+AG184-MIN(N(Crédits!$E$8),AF183+AG184),2)</f>
        <v>0</v>
      </c>
      <c r="AG184" s="89">
        <f>AF183*N(Crédits!$D$8)/12</f>
        <v>0</v>
      </c>
      <c r="AH184" s="99">
        <f t="shared" si="20"/>
        <v>0</v>
      </c>
      <c r="AI184" s="99">
        <f>AH184*N(Crédits!$D$9)/12</f>
        <v>0</v>
      </c>
      <c r="AJ184" s="99">
        <f>MIN(N(Crédits!$E$9),AH184+AI184)</f>
        <v>0</v>
      </c>
      <c r="AK184" s="99">
        <f t="shared" si="8"/>
        <v>0</v>
      </c>
      <c r="AL184" s="100">
        <f>IF(Crédits!$K$9="",0,MAX(0,MIN(AK184,Plan!$L$186-(IF(Crédits!$K$5="",0,IF(Crédits!$K$5&lt;Crédits!$K$9,E184,0))+IF(Crédits!$K$6="",0,IF(Crédits!$K$6&lt;Crédits!$K$9,M184,0))+IF(Crédits!$K$7="",0,IF(Crédits!$K$7&lt;Crédits!$K$9,U184,0))+IF(Crédits!$K$8="",0,IF(Crédits!$K$8&lt;Crédits!$K$9,AC184,0))+IF(Crédits!$K$10="",0,IF(Crédits!$K$10&lt;Crédits!$K$9,AS184,0))))))</f>
        <v>0</v>
      </c>
      <c r="AM184" s="101">
        <f t="shared" si="9"/>
        <v>0</v>
      </c>
      <c r="AN184" s="88">
        <f>ROUND(AN183+AO184-MIN(N(Crédits!$E$9),AN183+AO184),2)</f>
        <v>0</v>
      </c>
      <c r="AO184" s="89">
        <f>AN183*N(Crédits!$D$9)/12</f>
        <v>0</v>
      </c>
      <c r="AP184" s="102">
        <f t="shared" si="21"/>
        <v>0</v>
      </c>
      <c r="AQ184" s="102">
        <f>AP184*N(Crédits!$D$10)/12</f>
        <v>0</v>
      </c>
      <c r="AR184" s="102">
        <f>MIN(N(Crédits!$E$10),AP184+AQ184)</f>
        <v>0</v>
      </c>
      <c r="AS184" s="102">
        <f t="shared" si="10"/>
        <v>0</v>
      </c>
      <c r="AT184" s="103">
        <f>IF(Crédits!$K$10="",0,MAX(0,MIN(AS184,Plan!$L$186-(IF(Crédits!$K$5="",0,IF(Crédits!$K$5&lt;Crédits!$K$10,E184,0))+IF(Crédits!$K$6="",0,IF(Crédits!$K$6&lt;Crédits!$K$10,M184,0))+IF(Crédits!$K$7="",0,IF(Crédits!$K$7&lt;Crédits!$K$10,U184,0))+IF(Crédits!$K$8="",0,IF(Crédits!$K$8&lt;Crédits!$K$10,AC184,0))+IF(Crédits!$K$9="",0,IF(Crédits!$K$9&lt;Crédits!$K$10,AK184,0))))))</f>
        <v>0</v>
      </c>
      <c r="AU184" s="104">
        <f t="shared" si="11"/>
        <v>0</v>
      </c>
      <c r="AV184" s="88">
        <f>ROUND(AV183+AW184-MIN(N(Crédits!$E$10),AV183+AW184),2)</f>
        <v>0</v>
      </c>
      <c r="AW184" s="89">
        <f>AV183*N(Crédits!$D$10)/12</f>
        <v>0</v>
      </c>
      <c r="AX184" s="105">
        <f t="shared" si="12"/>
        <v>0</v>
      </c>
      <c r="AY184" s="105">
        <f t="shared" ref="AY184:AZ184" si="202">F184+N184+V184+AD184+AL184+AT184</f>
        <v>0</v>
      </c>
      <c r="AZ184" s="105">
        <f t="shared" si="202"/>
        <v>0</v>
      </c>
      <c r="BA184" s="105">
        <f t="shared" si="14"/>
        <v>0</v>
      </c>
      <c r="BB184" s="105">
        <f t="shared" si="15"/>
        <v>0</v>
      </c>
    </row>
    <row r="185" spans="1:54" ht="15" customHeight="1" x14ac:dyDescent="0.25">
      <c r="A185" s="2">
        <v>183</v>
      </c>
      <c r="B185" s="83">
        <f t="shared" si="16"/>
        <v>0</v>
      </c>
      <c r="C185" s="83">
        <f>B185*N(Crédits!$D$5)/12</f>
        <v>0</v>
      </c>
      <c r="D185" s="83">
        <f>MIN(N(Crédits!$E$5),B185+C185)</f>
        <v>0</v>
      </c>
      <c r="E185" s="83">
        <f t="shared" si="0"/>
        <v>0</v>
      </c>
      <c r="F185" s="86">
        <f>IF(Crédits!$K$5="",0,MAX(0,MIN(E185,Plan!$L$187-(IF(Crédits!$K$6="",0,IF(Crédits!$K$6&lt;Crédits!$K$5,M185,0))+IF(Crédits!$K$7="",0,IF(Crédits!$K$7&lt;Crédits!$K$5,U185,0))+IF(Crédits!$K$8="",0,IF(Crédits!$K$8&lt;Crédits!$K$5,AC185,0))+IF(Crédits!$K$9="",0,IF(Crédits!$K$9&lt;Crédits!$K$5,AK185,0))+IF(Crédits!$K$10="",0,IF(Crédits!$K$10&lt;Crédits!$K$5,AS185,0))))))</f>
        <v>0</v>
      </c>
      <c r="G185" s="87">
        <f t="shared" si="1"/>
        <v>0</v>
      </c>
      <c r="H185" s="88">
        <f>ROUND(H184+I185-MIN(N(Crédits!$E$5),H184+I185),2)</f>
        <v>0</v>
      </c>
      <c r="I185" s="89">
        <f>H184*N(Crédits!$D$5)/12</f>
        <v>0</v>
      </c>
      <c r="J185" s="90">
        <f t="shared" si="17"/>
        <v>0</v>
      </c>
      <c r="K185" s="90">
        <f>J185*N(Crédits!$D$6)/12</f>
        <v>0</v>
      </c>
      <c r="L185" s="90">
        <f>MIN(N(Crédits!$E$6),J185+K185)</f>
        <v>0</v>
      </c>
      <c r="M185" s="90">
        <f t="shared" si="2"/>
        <v>0</v>
      </c>
      <c r="N185" s="91">
        <f>IF(Crédits!$K$6="",0,MAX(0,MIN(M185,Plan!$L$187-(IF(Crédits!$K$5="",0,IF(Crédits!$K$5&lt;Crédits!$K$6,E185,0))+IF(Crédits!$K$7="",0,IF(Crédits!$K$7&lt;Crédits!$K$6,U185,0))+IF(Crédits!$K$8="",0,IF(Crédits!$K$8&lt;Crédits!$K$6,AC185,0))+IF(Crédits!$K$9="",0,IF(Crédits!$K$9&lt;Crédits!$K$6,AK185,0))+IF(Crédits!$K$10="",0,IF(Crédits!$K$10&lt;Crédits!$K$6,AS185,0))))))</f>
        <v>0</v>
      </c>
      <c r="O185" s="92">
        <f t="shared" si="3"/>
        <v>0</v>
      </c>
      <c r="P185" s="88">
        <f>ROUND(P184+Q185-MIN(N(Crédits!$E$6),P184+Q185),2)</f>
        <v>0</v>
      </c>
      <c r="Q185" s="89">
        <f>P184*N(Crédits!$D$6)/12</f>
        <v>0</v>
      </c>
      <c r="R185" s="93">
        <f t="shared" si="18"/>
        <v>0</v>
      </c>
      <c r="S185" s="93">
        <f>R185*N(Crédits!$D$7)/12</f>
        <v>0</v>
      </c>
      <c r="T185" s="93">
        <f>MIN(N(Crédits!$E$7),R185+S185)</f>
        <v>0</v>
      </c>
      <c r="U185" s="93">
        <f t="shared" si="4"/>
        <v>0</v>
      </c>
      <c r="V185" s="94">
        <f>IF(Crédits!$K$7="",0,MAX(0,MIN(U185,Plan!$L$187-(IF(Crédits!$K$5="",0,IF(Crédits!$K$5&lt;Crédits!$K$7,E185,0))+IF(Crédits!$K$6="",0,IF(Crédits!$K$6&lt;Crédits!$K$7,M185,0))+IF(Crédits!$K$8="",0,IF(Crédits!$K$8&lt;Crédits!$K$7,AC185,0))+IF(Crédits!$K$9="",0,IF(Crédits!$K$9&lt;Crédits!$K$7,AK185,0))+IF(Crédits!$K$10="",0,IF(Crédits!$K$10&lt;Crédits!$K$7,AS185,0))))))</f>
        <v>0</v>
      </c>
      <c r="W185" s="95">
        <f t="shared" si="5"/>
        <v>0</v>
      </c>
      <c r="X185" s="88">
        <f>ROUND(X184+Y185-MIN(N(Crédits!$E$7),X184+Y185),2)</f>
        <v>0</v>
      </c>
      <c r="Y185" s="89">
        <f>X184*N(Crédits!$D$7)/12</f>
        <v>0</v>
      </c>
      <c r="Z185" s="96">
        <f t="shared" si="19"/>
        <v>0</v>
      </c>
      <c r="AA185" s="96">
        <f>Z185*N(Crédits!$D$8)/12</f>
        <v>0</v>
      </c>
      <c r="AB185" s="96">
        <f>MIN(N(Crédits!$E$8),Z185+AA185)</f>
        <v>0</v>
      </c>
      <c r="AC185" s="96">
        <f t="shared" si="6"/>
        <v>0</v>
      </c>
      <c r="AD185" s="97">
        <f>IF(Crédits!$K$8="",0,MAX(0,MIN(AC185,Plan!$L$187-(IF(Crédits!$K$5="",0,IF(Crédits!$K$5&lt;Crédits!$K$8,E185,0))+IF(Crédits!$K$6="",0,IF(Crédits!$K$6&lt;Crédits!$K$8,M185,0))+IF(Crédits!$K$7="",0,IF(Crédits!$K$7&lt;Crédits!$K$8,U185,0))+IF(Crédits!$K$9="",0,IF(Crédits!$K$9&lt;Crédits!$K$8,AK185,0))+IF(Crédits!$K$10="",0,IF(Crédits!$K$10&lt;Crédits!$K$8,AS185,0))))))</f>
        <v>0</v>
      </c>
      <c r="AE185" s="98">
        <f t="shared" si="7"/>
        <v>0</v>
      </c>
      <c r="AF185" s="88">
        <f>ROUND(AF184+AG185-MIN(N(Crédits!$E$8),AF184+AG185),2)</f>
        <v>0</v>
      </c>
      <c r="AG185" s="89">
        <f>AF184*N(Crédits!$D$8)/12</f>
        <v>0</v>
      </c>
      <c r="AH185" s="99">
        <f t="shared" si="20"/>
        <v>0</v>
      </c>
      <c r="AI185" s="99">
        <f>AH185*N(Crédits!$D$9)/12</f>
        <v>0</v>
      </c>
      <c r="AJ185" s="99">
        <f>MIN(N(Crédits!$E$9),AH185+AI185)</f>
        <v>0</v>
      </c>
      <c r="AK185" s="99">
        <f t="shared" si="8"/>
        <v>0</v>
      </c>
      <c r="AL185" s="100">
        <f>IF(Crédits!$K$9="",0,MAX(0,MIN(AK185,Plan!$L$187-(IF(Crédits!$K$5="",0,IF(Crédits!$K$5&lt;Crédits!$K$9,E185,0))+IF(Crédits!$K$6="",0,IF(Crédits!$K$6&lt;Crédits!$K$9,M185,0))+IF(Crédits!$K$7="",0,IF(Crédits!$K$7&lt;Crédits!$K$9,U185,0))+IF(Crédits!$K$8="",0,IF(Crédits!$K$8&lt;Crédits!$K$9,AC185,0))+IF(Crédits!$K$10="",0,IF(Crédits!$K$10&lt;Crédits!$K$9,AS185,0))))))</f>
        <v>0</v>
      </c>
      <c r="AM185" s="101">
        <f t="shared" si="9"/>
        <v>0</v>
      </c>
      <c r="AN185" s="88">
        <f>ROUND(AN184+AO185-MIN(N(Crédits!$E$9),AN184+AO185),2)</f>
        <v>0</v>
      </c>
      <c r="AO185" s="89">
        <f>AN184*N(Crédits!$D$9)/12</f>
        <v>0</v>
      </c>
      <c r="AP185" s="102">
        <f t="shared" si="21"/>
        <v>0</v>
      </c>
      <c r="AQ185" s="102">
        <f>AP185*N(Crédits!$D$10)/12</f>
        <v>0</v>
      </c>
      <c r="AR185" s="102">
        <f>MIN(N(Crédits!$E$10),AP185+AQ185)</f>
        <v>0</v>
      </c>
      <c r="AS185" s="102">
        <f t="shared" si="10"/>
        <v>0</v>
      </c>
      <c r="AT185" s="103">
        <f>IF(Crédits!$K$10="",0,MAX(0,MIN(AS185,Plan!$L$187-(IF(Crédits!$K$5="",0,IF(Crédits!$K$5&lt;Crédits!$K$10,E185,0))+IF(Crédits!$K$6="",0,IF(Crédits!$K$6&lt;Crédits!$K$10,M185,0))+IF(Crédits!$K$7="",0,IF(Crédits!$K$7&lt;Crédits!$K$10,U185,0))+IF(Crédits!$K$8="",0,IF(Crédits!$K$8&lt;Crédits!$K$10,AC185,0))+IF(Crédits!$K$9="",0,IF(Crédits!$K$9&lt;Crédits!$K$10,AK185,0))))))</f>
        <v>0</v>
      </c>
      <c r="AU185" s="104">
        <f t="shared" si="11"/>
        <v>0</v>
      </c>
      <c r="AV185" s="88">
        <f>ROUND(AV184+AW185-MIN(N(Crédits!$E$10),AV184+AW185),2)</f>
        <v>0</v>
      </c>
      <c r="AW185" s="89">
        <f>AV184*N(Crédits!$D$10)/12</f>
        <v>0</v>
      </c>
      <c r="AX185" s="105">
        <f t="shared" si="12"/>
        <v>0</v>
      </c>
      <c r="AY185" s="105">
        <f t="shared" ref="AY185:AZ185" si="203">F185+N185+V185+AD185+AL185+AT185</f>
        <v>0</v>
      </c>
      <c r="AZ185" s="105">
        <f t="shared" si="203"/>
        <v>0</v>
      </c>
      <c r="BA185" s="105">
        <f t="shared" si="14"/>
        <v>0</v>
      </c>
      <c r="BB185" s="105">
        <f t="shared" si="15"/>
        <v>0</v>
      </c>
    </row>
    <row r="186" spans="1:54" ht="15" customHeight="1" x14ac:dyDescent="0.25">
      <c r="A186" s="2">
        <v>184</v>
      </c>
      <c r="B186" s="83">
        <f t="shared" si="16"/>
        <v>0</v>
      </c>
      <c r="C186" s="83">
        <f>B186*N(Crédits!$D$5)/12</f>
        <v>0</v>
      </c>
      <c r="D186" s="83">
        <f>MIN(N(Crédits!$E$5),B186+C186)</f>
        <v>0</v>
      </c>
      <c r="E186" s="83">
        <f t="shared" si="0"/>
        <v>0</v>
      </c>
      <c r="F186" s="86">
        <f>IF(Crédits!$K$5="",0,MAX(0,MIN(E186,Plan!$L$188-(IF(Crédits!$K$6="",0,IF(Crédits!$K$6&lt;Crédits!$K$5,M186,0))+IF(Crédits!$K$7="",0,IF(Crédits!$K$7&lt;Crédits!$K$5,U186,0))+IF(Crédits!$K$8="",0,IF(Crédits!$K$8&lt;Crédits!$K$5,AC186,0))+IF(Crédits!$K$9="",0,IF(Crédits!$K$9&lt;Crédits!$K$5,AK186,0))+IF(Crédits!$K$10="",0,IF(Crédits!$K$10&lt;Crédits!$K$5,AS186,0))))))</f>
        <v>0</v>
      </c>
      <c r="G186" s="87">
        <f t="shared" si="1"/>
        <v>0</v>
      </c>
      <c r="H186" s="88">
        <f>ROUND(H185+I186-MIN(N(Crédits!$E$5),H185+I186),2)</f>
        <v>0</v>
      </c>
      <c r="I186" s="89">
        <f>H185*N(Crédits!$D$5)/12</f>
        <v>0</v>
      </c>
      <c r="J186" s="90">
        <f t="shared" si="17"/>
        <v>0</v>
      </c>
      <c r="K186" s="90">
        <f>J186*N(Crédits!$D$6)/12</f>
        <v>0</v>
      </c>
      <c r="L186" s="90">
        <f>MIN(N(Crédits!$E$6),J186+K186)</f>
        <v>0</v>
      </c>
      <c r="M186" s="90">
        <f t="shared" si="2"/>
        <v>0</v>
      </c>
      <c r="N186" s="91">
        <f>IF(Crédits!$K$6="",0,MAX(0,MIN(M186,Plan!$L$188-(IF(Crédits!$K$5="",0,IF(Crédits!$K$5&lt;Crédits!$K$6,E186,0))+IF(Crédits!$K$7="",0,IF(Crédits!$K$7&lt;Crédits!$K$6,U186,0))+IF(Crédits!$K$8="",0,IF(Crédits!$K$8&lt;Crédits!$K$6,AC186,0))+IF(Crédits!$K$9="",0,IF(Crédits!$K$9&lt;Crédits!$K$6,AK186,0))+IF(Crédits!$K$10="",0,IF(Crédits!$K$10&lt;Crédits!$K$6,AS186,0))))))</f>
        <v>0</v>
      </c>
      <c r="O186" s="92">
        <f t="shared" si="3"/>
        <v>0</v>
      </c>
      <c r="P186" s="88">
        <f>ROUND(P185+Q186-MIN(N(Crédits!$E$6),P185+Q186),2)</f>
        <v>0</v>
      </c>
      <c r="Q186" s="89">
        <f>P185*N(Crédits!$D$6)/12</f>
        <v>0</v>
      </c>
      <c r="R186" s="93">
        <f t="shared" si="18"/>
        <v>0</v>
      </c>
      <c r="S186" s="93">
        <f>R186*N(Crédits!$D$7)/12</f>
        <v>0</v>
      </c>
      <c r="T186" s="93">
        <f>MIN(N(Crédits!$E$7),R186+S186)</f>
        <v>0</v>
      </c>
      <c r="U186" s="93">
        <f t="shared" si="4"/>
        <v>0</v>
      </c>
      <c r="V186" s="94">
        <f>IF(Crédits!$K$7="",0,MAX(0,MIN(U186,Plan!$L$188-(IF(Crédits!$K$5="",0,IF(Crédits!$K$5&lt;Crédits!$K$7,E186,0))+IF(Crédits!$K$6="",0,IF(Crédits!$K$6&lt;Crédits!$K$7,M186,0))+IF(Crédits!$K$8="",0,IF(Crédits!$K$8&lt;Crédits!$K$7,AC186,0))+IF(Crédits!$K$9="",0,IF(Crédits!$K$9&lt;Crédits!$K$7,AK186,0))+IF(Crédits!$K$10="",0,IF(Crédits!$K$10&lt;Crédits!$K$7,AS186,0))))))</f>
        <v>0</v>
      </c>
      <c r="W186" s="95">
        <f t="shared" si="5"/>
        <v>0</v>
      </c>
      <c r="X186" s="88">
        <f>ROUND(X185+Y186-MIN(N(Crédits!$E$7),X185+Y186),2)</f>
        <v>0</v>
      </c>
      <c r="Y186" s="89">
        <f>X185*N(Crédits!$D$7)/12</f>
        <v>0</v>
      </c>
      <c r="Z186" s="96">
        <f t="shared" si="19"/>
        <v>0</v>
      </c>
      <c r="AA186" s="96">
        <f>Z186*N(Crédits!$D$8)/12</f>
        <v>0</v>
      </c>
      <c r="AB186" s="96">
        <f>MIN(N(Crédits!$E$8),Z186+AA186)</f>
        <v>0</v>
      </c>
      <c r="AC186" s="96">
        <f t="shared" si="6"/>
        <v>0</v>
      </c>
      <c r="AD186" s="97">
        <f>IF(Crédits!$K$8="",0,MAX(0,MIN(AC186,Plan!$L$188-(IF(Crédits!$K$5="",0,IF(Crédits!$K$5&lt;Crédits!$K$8,E186,0))+IF(Crédits!$K$6="",0,IF(Crédits!$K$6&lt;Crédits!$K$8,M186,0))+IF(Crédits!$K$7="",0,IF(Crédits!$K$7&lt;Crédits!$K$8,U186,0))+IF(Crédits!$K$9="",0,IF(Crédits!$K$9&lt;Crédits!$K$8,AK186,0))+IF(Crédits!$K$10="",0,IF(Crédits!$K$10&lt;Crédits!$K$8,AS186,0))))))</f>
        <v>0</v>
      </c>
      <c r="AE186" s="98">
        <f t="shared" si="7"/>
        <v>0</v>
      </c>
      <c r="AF186" s="88">
        <f>ROUND(AF185+AG186-MIN(N(Crédits!$E$8),AF185+AG186),2)</f>
        <v>0</v>
      </c>
      <c r="AG186" s="89">
        <f>AF185*N(Crédits!$D$8)/12</f>
        <v>0</v>
      </c>
      <c r="AH186" s="99">
        <f t="shared" si="20"/>
        <v>0</v>
      </c>
      <c r="AI186" s="99">
        <f>AH186*N(Crédits!$D$9)/12</f>
        <v>0</v>
      </c>
      <c r="AJ186" s="99">
        <f>MIN(N(Crédits!$E$9),AH186+AI186)</f>
        <v>0</v>
      </c>
      <c r="AK186" s="99">
        <f t="shared" si="8"/>
        <v>0</v>
      </c>
      <c r="AL186" s="100">
        <f>IF(Crédits!$K$9="",0,MAX(0,MIN(AK186,Plan!$L$188-(IF(Crédits!$K$5="",0,IF(Crédits!$K$5&lt;Crédits!$K$9,E186,0))+IF(Crédits!$K$6="",0,IF(Crédits!$K$6&lt;Crédits!$K$9,M186,0))+IF(Crédits!$K$7="",0,IF(Crédits!$K$7&lt;Crédits!$K$9,U186,0))+IF(Crédits!$K$8="",0,IF(Crédits!$K$8&lt;Crédits!$K$9,AC186,0))+IF(Crédits!$K$10="",0,IF(Crédits!$K$10&lt;Crédits!$K$9,AS186,0))))))</f>
        <v>0</v>
      </c>
      <c r="AM186" s="101">
        <f t="shared" si="9"/>
        <v>0</v>
      </c>
      <c r="AN186" s="88">
        <f>ROUND(AN185+AO186-MIN(N(Crédits!$E$9),AN185+AO186),2)</f>
        <v>0</v>
      </c>
      <c r="AO186" s="89">
        <f>AN185*N(Crédits!$D$9)/12</f>
        <v>0</v>
      </c>
      <c r="AP186" s="102">
        <f t="shared" si="21"/>
        <v>0</v>
      </c>
      <c r="AQ186" s="102">
        <f>AP186*N(Crédits!$D$10)/12</f>
        <v>0</v>
      </c>
      <c r="AR186" s="102">
        <f>MIN(N(Crédits!$E$10),AP186+AQ186)</f>
        <v>0</v>
      </c>
      <c r="AS186" s="102">
        <f t="shared" si="10"/>
        <v>0</v>
      </c>
      <c r="AT186" s="103">
        <f>IF(Crédits!$K$10="",0,MAX(0,MIN(AS186,Plan!$L$188-(IF(Crédits!$K$5="",0,IF(Crédits!$K$5&lt;Crédits!$K$10,E186,0))+IF(Crédits!$K$6="",0,IF(Crédits!$K$6&lt;Crédits!$K$10,M186,0))+IF(Crédits!$K$7="",0,IF(Crédits!$K$7&lt;Crédits!$K$10,U186,0))+IF(Crédits!$K$8="",0,IF(Crédits!$K$8&lt;Crédits!$K$10,AC186,0))+IF(Crédits!$K$9="",0,IF(Crédits!$K$9&lt;Crédits!$K$10,AK186,0))))))</f>
        <v>0</v>
      </c>
      <c r="AU186" s="104">
        <f t="shared" si="11"/>
        <v>0</v>
      </c>
      <c r="AV186" s="88">
        <f>ROUND(AV185+AW186-MIN(N(Crédits!$E$10),AV185+AW186),2)</f>
        <v>0</v>
      </c>
      <c r="AW186" s="89">
        <f>AV185*N(Crédits!$D$10)/12</f>
        <v>0</v>
      </c>
      <c r="AX186" s="105">
        <f t="shared" si="12"/>
        <v>0</v>
      </c>
      <c r="AY186" s="105">
        <f t="shared" ref="AY186:AZ186" si="204">F186+N186+V186+AD186+AL186+AT186</f>
        <v>0</v>
      </c>
      <c r="AZ186" s="105">
        <f t="shared" si="204"/>
        <v>0</v>
      </c>
      <c r="BA186" s="105">
        <f t="shared" si="14"/>
        <v>0</v>
      </c>
      <c r="BB186" s="105">
        <f t="shared" si="15"/>
        <v>0</v>
      </c>
    </row>
    <row r="187" spans="1:54" ht="15" customHeight="1" x14ac:dyDescent="0.25">
      <c r="A187" s="2">
        <v>185</v>
      </c>
      <c r="B187" s="83">
        <f t="shared" si="16"/>
        <v>0</v>
      </c>
      <c r="C187" s="83">
        <f>B187*N(Crédits!$D$5)/12</f>
        <v>0</v>
      </c>
      <c r="D187" s="83">
        <f>MIN(N(Crédits!$E$5),B187+C187)</f>
        <v>0</v>
      </c>
      <c r="E187" s="83">
        <f t="shared" si="0"/>
        <v>0</v>
      </c>
      <c r="F187" s="86">
        <f>IF(Crédits!$K$5="",0,MAX(0,MIN(E187,Plan!$L$189-(IF(Crédits!$K$6="",0,IF(Crédits!$K$6&lt;Crédits!$K$5,M187,0))+IF(Crédits!$K$7="",0,IF(Crédits!$K$7&lt;Crédits!$K$5,U187,0))+IF(Crédits!$K$8="",0,IF(Crédits!$K$8&lt;Crédits!$K$5,AC187,0))+IF(Crédits!$K$9="",0,IF(Crédits!$K$9&lt;Crédits!$K$5,AK187,0))+IF(Crédits!$K$10="",0,IF(Crédits!$K$10&lt;Crédits!$K$5,AS187,0))))))</f>
        <v>0</v>
      </c>
      <c r="G187" s="87">
        <f t="shared" si="1"/>
        <v>0</v>
      </c>
      <c r="H187" s="88">
        <f>ROUND(H186+I187-MIN(N(Crédits!$E$5),H186+I187),2)</f>
        <v>0</v>
      </c>
      <c r="I187" s="89">
        <f>H186*N(Crédits!$D$5)/12</f>
        <v>0</v>
      </c>
      <c r="J187" s="90">
        <f t="shared" si="17"/>
        <v>0</v>
      </c>
      <c r="K187" s="90">
        <f>J187*N(Crédits!$D$6)/12</f>
        <v>0</v>
      </c>
      <c r="L187" s="90">
        <f>MIN(N(Crédits!$E$6),J187+K187)</f>
        <v>0</v>
      </c>
      <c r="M187" s="90">
        <f t="shared" si="2"/>
        <v>0</v>
      </c>
      <c r="N187" s="91">
        <f>IF(Crédits!$K$6="",0,MAX(0,MIN(M187,Plan!$L$189-(IF(Crédits!$K$5="",0,IF(Crédits!$K$5&lt;Crédits!$K$6,E187,0))+IF(Crédits!$K$7="",0,IF(Crédits!$K$7&lt;Crédits!$K$6,U187,0))+IF(Crédits!$K$8="",0,IF(Crédits!$K$8&lt;Crédits!$K$6,AC187,0))+IF(Crédits!$K$9="",0,IF(Crédits!$K$9&lt;Crédits!$K$6,AK187,0))+IF(Crédits!$K$10="",0,IF(Crédits!$K$10&lt;Crédits!$K$6,AS187,0))))))</f>
        <v>0</v>
      </c>
      <c r="O187" s="92">
        <f t="shared" si="3"/>
        <v>0</v>
      </c>
      <c r="P187" s="88">
        <f>ROUND(P186+Q187-MIN(N(Crédits!$E$6),P186+Q187),2)</f>
        <v>0</v>
      </c>
      <c r="Q187" s="89">
        <f>P186*N(Crédits!$D$6)/12</f>
        <v>0</v>
      </c>
      <c r="R187" s="93">
        <f t="shared" si="18"/>
        <v>0</v>
      </c>
      <c r="S187" s="93">
        <f>R187*N(Crédits!$D$7)/12</f>
        <v>0</v>
      </c>
      <c r="T187" s="93">
        <f>MIN(N(Crédits!$E$7),R187+S187)</f>
        <v>0</v>
      </c>
      <c r="U187" s="93">
        <f t="shared" si="4"/>
        <v>0</v>
      </c>
      <c r="V187" s="94">
        <f>IF(Crédits!$K$7="",0,MAX(0,MIN(U187,Plan!$L$189-(IF(Crédits!$K$5="",0,IF(Crédits!$K$5&lt;Crédits!$K$7,E187,0))+IF(Crédits!$K$6="",0,IF(Crédits!$K$6&lt;Crédits!$K$7,M187,0))+IF(Crédits!$K$8="",0,IF(Crédits!$K$8&lt;Crédits!$K$7,AC187,0))+IF(Crédits!$K$9="",0,IF(Crédits!$K$9&lt;Crédits!$K$7,AK187,0))+IF(Crédits!$K$10="",0,IF(Crédits!$K$10&lt;Crédits!$K$7,AS187,0))))))</f>
        <v>0</v>
      </c>
      <c r="W187" s="95">
        <f t="shared" si="5"/>
        <v>0</v>
      </c>
      <c r="X187" s="88">
        <f>ROUND(X186+Y187-MIN(N(Crédits!$E$7),X186+Y187),2)</f>
        <v>0</v>
      </c>
      <c r="Y187" s="89">
        <f>X186*N(Crédits!$D$7)/12</f>
        <v>0</v>
      </c>
      <c r="Z187" s="96">
        <f t="shared" si="19"/>
        <v>0</v>
      </c>
      <c r="AA187" s="96">
        <f>Z187*N(Crédits!$D$8)/12</f>
        <v>0</v>
      </c>
      <c r="AB187" s="96">
        <f>MIN(N(Crédits!$E$8),Z187+AA187)</f>
        <v>0</v>
      </c>
      <c r="AC187" s="96">
        <f t="shared" si="6"/>
        <v>0</v>
      </c>
      <c r="AD187" s="97">
        <f>IF(Crédits!$K$8="",0,MAX(0,MIN(AC187,Plan!$L$189-(IF(Crédits!$K$5="",0,IF(Crédits!$K$5&lt;Crédits!$K$8,E187,0))+IF(Crédits!$K$6="",0,IF(Crédits!$K$6&lt;Crédits!$K$8,M187,0))+IF(Crédits!$K$7="",0,IF(Crédits!$K$7&lt;Crédits!$K$8,U187,0))+IF(Crédits!$K$9="",0,IF(Crédits!$K$9&lt;Crédits!$K$8,AK187,0))+IF(Crédits!$K$10="",0,IF(Crédits!$K$10&lt;Crédits!$K$8,AS187,0))))))</f>
        <v>0</v>
      </c>
      <c r="AE187" s="98">
        <f t="shared" si="7"/>
        <v>0</v>
      </c>
      <c r="AF187" s="88">
        <f>ROUND(AF186+AG187-MIN(N(Crédits!$E$8),AF186+AG187),2)</f>
        <v>0</v>
      </c>
      <c r="AG187" s="89">
        <f>AF186*N(Crédits!$D$8)/12</f>
        <v>0</v>
      </c>
      <c r="AH187" s="99">
        <f t="shared" si="20"/>
        <v>0</v>
      </c>
      <c r="AI187" s="99">
        <f>AH187*N(Crédits!$D$9)/12</f>
        <v>0</v>
      </c>
      <c r="AJ187" s="99">
        <f>MIN(N(Crédits!$E$9),AH187+AI187)</f>
        <v>0</v>
      </c>
      <c r="AK187" s="99">
        <f t="shared" si="8"/>
        <v>0</v>
      </c>
      <c r="AL187" s="100">
        <f>IF(Crédits!$K$9="",0,MAX(0,MIN(AK187,Plan!$L$189-(IF(Crédits!$K$5="",0,IF(Crédits!$K$5&lt;Crédits!$K$9,E187,0))+IF(Crédits!$K$6="",0,IF(Crédits!$K$6&lt;Crédits!$K$9,M187,0))+IF(Crédits!$K$7="",0,IF(Crédits!$K$7&lt;Crédits!$K$9,U187,0))+IF(Crédits!$K$8="",0,IF(Crédits!$K$8&lt;Crédits!$K$9,AC187,0))+IF(Crédits!$K$10="",0,IF(Crédits!$K$10&lt;Crédits!$K$9,AS187,0))))))</f>
        <v>0</v>
      </c>
      <c r="AM187" s="101">
        <f t="shared" si="9"/>
        <v>0</v>
      </c>
      <c r="AN187" s="88">
        <f>ROUND(AN186+AO187-MIN(N(Crédits!$E$9),AN186+AO187),2)</f>
        <v>0</v>
      </c>
      <c r="AO187" s="89">
        <f>AN186*N(Crédits!$D$9)/12</f>
        <v>0</v>
      </c>
      <c r="AP187" s="102">
        <f t="shared" si="21"/>
        <v>0</v>
      </c>
      <c r="AQ187" s="102">
        <f>AP187*N(Crédits!$D$10)/12</f>
        <v>0</v>
      </c>
      <c r="AR187" s="102">
        <f>MIN(N(Crédits!$E$10),AP187+AQ187)</f>
        <v>0</v>
      </c>
      <c r="AS187" s="102">
        <f t="shared" si="10"/>
        <v>0</v>
      </c>
      <c r="AT187" s="103">
        <f>IF(Crédits!$K$10="",0,MAX(0,MIN(AS187,Plan!$L$189-(IF(Crédits!$K$5="",0,IF(Crédits!$K$5&lt;Crédits!$K$10,E187,0))+IF(Crédits!$K$6="",0,IF(Crédits!$K$6&lt;Crédits!$K$10,M187,0))+IF(Crédits!$K$7="",0,IF(Crédits!$K$7&lt;Crédits!$K$10,U187,0))+IF(Crédits!$K$8="",0,IF(Crédits!$K$8&lt;Crédits!$K$10,AC187,0))+IF(Crédits!$K$9="",0,IF(Crédits!$K$9&lt;Crédits!$K$10,AK187,0))))))</f>
        <v>0</v>
      </c>
      <c r="AU187" s="104">
        <f t="shared" si="11"/>
        <v>0</v>
      </c>
      <c r="AV187" s="88">
        <f>ROUND(AV186+AW187-MIN(N(Crédits!$E$10),AV186+AW187),2)</f>
        <v>0</v>
      </c>
      <c r="AW187" s="89">
        <f>AV186*N(Crédits!$D$10)/12</f>
        <v>0</v>
      </c>
      <c r="AX187" s="105">
        <f t="shared" si="12"/>
        <v>0</v>
      </c>
      <c r="AY187" s="105">
        <f t="shared" ref="AY187:AZ187" si="205">F187+N187+V187+AD187+AL187+AT187</f>
        <v>0</v>
      </c>
      <c r="AZ187" s="105">
        <f t="shared" si="205"/>
        <v>0</v>
      </c>
      <c r="BA187" s="105">
        <f t="shared" si="14"/>
        <v>0</v>
      </c>
      <c r="BB187" s="105">
        <f t="shared" si="15"/>
        <v>0</v>
      </c>
    </row>
    <row r="188" spans="1:54" ht="15" customHeight="1" x14ac:dyDescent="0.25">
      <c r="A188" s="2">
        <v>186</v>
      </c>
      <c r="B188" s="83">
        <f t="shared" si="16"/>
        <v>0</v>
      </c>
      <c r="C188" s="83">
        <f>B188*N(Crédits!$D$5)/12</f>
        <v>0</v>
      </c>
      <c r="D188" s="83">
        <f>MIN(N(Crédits!$E$5),B188+C188)</f>
        <v>0</v>
      </c>
      <c r="E188" s="83">
        <f t="shared" si="0"/>
        <v>0</v>
      </c>
      <c r="F188" s="86">
        <f>IF(Crédits!$K$5="",0,MAX(0,MIN(E188,Plan!$L$190-(IF(Crédits!$K$6="",0,IF(Crédits!$K$6&lt;Crédits!$K$5,M188,0))+IF(Crédits!$K$7="",0,IF(Crédits!$K$7&lt;Crédits!$K$5,U188,0))+IF(Crédits!$K$8="",0,IF(Crédits!$K$8&lt;Crédits!$K$5,AC188,0))+IF(Crédits!$K$9="",0,IF(Crédits!$K$9&lt;Crédits!$K$5,AK188,0))+IF(Crédits!$K$10="",0,IF(Crédits!$K$10&lt;Crédits!$K$5,AS188,0))))))</f>
        <v>0</v>
      </c>
      <c r="G188" s="87">
        <f t="shared" si="1"/>
        <v>0</v>
      </c>
      <c r="H188" s="88">
        <f>ROUND(H187+I188-MIN(N(Crédits!$E$5),H187+I188),2)</f>
        <v>0</v>
      </c>
      <c r="I188" s="89">
        <f>H187*N(Crédits!$D$5)/12</f>
        <v>0</v>
      </c>
      <c r="J188" s="90">
        <f t="shared" si="17"/>
        <v>0</v>
      </c>
      <c r="K188" s="90">
        <f>J188*N(Crédits!$D$6)/12</f>
        <v>0</v>
      </c>
      <c r="L188" s="90">
        <f>MIN(N(Crédits!$E$6),J188+K188)</f>
        <v>0</v>
      </c>
      <c r="M188" s="90">
        <f t="shared" si="2"/>
        <v>0</v>
      </c>
      <c r="N188" s="91">
        <f>IF(Crédits!$K$6="",0,MAX(0,MIN(M188,Plan!$L$190-(IF(Crédits!$K$5="",0,IF(Crédits!$K$5&lt;Crédits!$K$6,E188,0))+IF(Crédits!$K$7="",0,IF(Crédits!$K$7&lt;Crédits!$K$6,U188,0))+IF(Crédits!$K$8="",0,IF(Crédits!$K$8&lt;Crédits!$K$6,AC188,0))+IF(Crédits!$K$9="",0,IF(Crédits!$K$9&lt;Crédits!$K$6,AK188,0))+IF(Crédits!$K$10="",0,IF(Crédits!$K$10&lt;Crédits!$K$6,AS188,0))))))</f>
        <v>0</v>
      </c>
      <c r="O188" s="92">
        <f t="shared" si="3"/>
        <v>0</v>
      </c>
      <c r="P188" s="88">
        <f>ROUND(P187+Q188-MIN(N(Crédits!$E$6),P187+Q188),2)</f>
        <v>0</v>
      </c>
      <c r="Q188" s="89">
        <f>P187*N(Crédits!$D$6)/12</f>
        <v>0</v>
      </c>
      <c r="R188" s="93">
        <f t="shared" si="18"/>
        <v>0</v>
      </c>
      <c r="S188" s="93">
        <f>R188*N(Crédits!$D$7)/12</f>
        <v>0</v>
      </c>
      <c r="T188" s="93">
        <f>MIN(N(Crédits!$E$7),R188+S188)</f>
        <v>0</v>
      </c>
      <c r="U188" s="93">
        <f t="shared" si="4"/>
        <v>0</v>
      </c>
      <c r="V188" s="94">
        <f>IF(Crédits!$K$7="",0,MAX(0,MIN(U188,Plan!$L$190-(IF(Crédits!$K$5="",0,IF(Crédits!$K$5&lt;Crédits!$K$7,E188,0))+IF(Crédits!$K$6="",0,IF(Crédits!$K$6&lt;Crédits!$K$7,M188,0))+IF(Crédits!$K$8="",0,IF(Crédits!$K$8&lt;Crédits!$K$7,AC188,0))+IF(Crédits!$K$9="",0,IF(Crédits!$K$9&lt;Crédits!$K$7,AK188,0))+IF(Crédits!$K$10="",0,IF(Crédits!$K$10&lt;Crédits!$K$7,AS188,0))))))</f>
        <v>0</v>
      </c>
      <c r="W188" s="95">
        <f t="shared" si="5"/>
        <v>0</v>
      </c>
      <c r="X188" s="88">
        <f>ROUND(X187+Y188-MIN(N(Crédits!$E$7),X187+Y188),2)</f>
        <v>0</v>
      </c>
      <c r="Y188" s="89">
        <f>X187*N(Crédits!$D$7)/12</f>
        <v>0</v>
      </c>
      <c r="Z188" s="96">
        <f t="shared" si="19"/>
        <v>0</v>
      </c>
      <c r="AA188" s="96">
        <f>Z188*N(Crédits!$D$8)/12</f>
        <v>0</v>
      </c>
      <c r="AB188" s="96">
        <f>MIN(N(Crédits!$E$8),Z188+AA188)</f>
        <v>0</v>
      </c>
      <c r="AC188" s="96">
        <f t="shared" si="6"/>
        <v>0</v>
      </c>
      <c r="AD188" s="97">
        <f>IF(Crédits!$K$8="",0,MAX(0,MIN(AC188,Plan!$L$190-(IF(Crédits!$K$5="",0,IF(Crédits!$K$5&lt;Crédits!$K$8,E188,0))+IF(Crédits!$K$6="",0,IF(Crédits!$K$6&lt;Crédits!$K$8,M188,0))+IF(Crédits!$K$7="",0,IF(Crédits!$K$7&lt;Crédits!$K$8,U188,0))+IF(Crédits!$K$9="",0,IF(Crédits!$K$9&lt;Crédits!$K$8,AK188,0))+IF(Crédits!$K$10="",0,IF(Crédits!$K$10&lt;Crédits!$K$8,AS188,0))))))</f>
        <v>0</v>
      </c>
      <c r="AE188" s="98">
        <f t="shared" si="7"/>
        <v>0</v>
      </c>
      <c r="AF188" s="88">
        <f>ROUND(AF187+AG188-MIN(N(Crédits!$E$8),AF187+AG188),2)</f>
        <v>0</v>
      </c>
      <c r="AG188" s="89">
        <f>AF187*N(Crédits!$D$8)/12</f>
        <v>0</v>
      </c>
      <c r="AH188" s="99">
        <f t="shared" si="20"/>
        <v>0</v>
      </c>
      <c r="AI188" s="99">
        <f>AH188*N(Crédits!$D$9)/12</f>
        <v>0</v>
      </c>
      <c r="AJ188" s="99">
        <f>MIN(N(Crédits!$E$9),AH188+AI188)</f>
        <v>0</v>
      </c>
      <c r="AK188" s="99">
        <f t="shared" si="8"/>
        <v>0</v>
      </c>
      <c r="AL188" s="100">
        <f>IF(Crédits!$K$9="",0,MAX(0,MIN(AK188,Plan!$L$190-(IF(Crédits!$K$5="",0,IF(Crédits!$K$5&lt;Crédits!$K$9,E188,0))+IF(Crédits!$K$6="",0,IF(Crédits!$K$6&lt;Crédits!$K$9,M188,0))+IF(Crédits!$K$7="",0,IF(Crédits!$K$7&lt;Crédits!$K$9,U188,0))+IF(Crédits!$K$8="",0,IF(Crédits!$K$8&lt;Crédits!$K$9,AC188,0))+IF(Crédits!$K$10="",0,IF(Crédits!$K$10&lt;Crédits!$K$9,AS188,0))))))</f>
        <v>0</v>
      </c>
      <c r="AM188" s="101">
        <f t="shared" si="9"/>
        <v>0</v>
      </c>
      <c r="AN188" s="88">
        <f>ROUND(AN187+AO188-MIN(N(Crédits!$E$9),AN187+AO188),2)</f>
        <v>0</v>
      </c>
      <c r="AO188" s="89">
        <f>AN187*N(Crédits!$D$9)/12</f>
        <v>0</v>
      </c>
      <c r="AP188" s="102">
        <f t="shared" si="21"/>
        <v>0</v>
      </c>
      <c r="AQ188" s="102">
        <f>AP188*N(Crédits!$D$10)/12</f>
        <v>0</v>
      </c>
      <c r="AR188" s="102">
        <f>MIN(N(Crédits!$E$10),AP188+AQ188)</f>
        <v>0</v>
      </c>
      <c r="AS188" s="102">
        <f t="shared" si="10"/>
        <v>0</v>
      </c>
      <c r="AT188" s="103">
        <f>IF(Crédits!$K$10="",0,MAX(0,MIN(AS188,Plan!$L$190-(IF(Crédits!$K$5="",0,IF(Crédits!$K$5&lt;Crédits!$K$10,E188,0))+IF(Crédits!$K$6="",0,IF(Crédits!$K$6&lt;Crédits!$K$10,M188,0))+IF(Crédits!$K$7="",0,IF(Crédits!$K$7&lt;Crédits!$K$10,U188,0))+IF(Crédits!$K$8="",0,IF(Crédits!$K$8&lt;Crédits!$K$10,AC188,0))+IF(Crédits!$K$9="",0,IF(Crédits!$K$9&lt;Crédits!$K$10,AK188,0))))))</f>
        <v>0</v>
      </c>
      <c r="AU188" s="104">
        <f t="shared" si="11"/>
        <v>0</v>
      </c>
      <c r="AV188" s="88">
        <f>ROUND(AV187+AW188-MIN(N(Crédits!$E$10),AV187+AW188),2)</f>
        <v>0</v>
      </c>
      <c r="AW188" s="89">
        <f>AV187*N(Crédits!$D$10)/12</f>
        <v>0</v>
      </c>
      <c r="AX188" s="105">
        <f t="shared" si="12"/>
        <v>0</v>
      </c>
      <c r="AY188" s="105">
        <f t="shared" ref="AY188:AZ188" si="206">F188+N188+V188+AD188+AL188+AT188</f>
        <v>0</v>
      </c>
      <c r="AZ188" s="105">
        <f t="shared" si="206"/>
        <v>0</v>
      </c>
      <c r="BA188" s="105">
        <f t="shared" si="14"/>
        <v>0</v>
      </c>
      <c r="BB188" s="105">
        <f t="shared" si="15"/>
        <v>0</v>
      </c>
    </row>
    <row r="189" spans="1:54" ht="15" customHeight="1" x14ac:dyDescent="0.25">
      <c r="A189" s="2">
        <v>187</v>
      </c>
      <c r="B189" s="83">
        <f t="shared" si="16"/>
        <v>0</v>
      </c>
      <c r="C189" s="83">
        <f>B189*N(Crédits!$D$5)/12</f>
        <v>0</v>
      </c>
      <c r="D189" s="83">
        <f>MIN(N(Crédits!$E$5),B189+C189)</f>
        <v>0</v>
      </c>
      <c r="E189" s="83">
        <f t="shared" si="0"/>
        <v>0</v>
      </c>
      <c r="F189" s="86">
        <f>IF(Crédits!$K$5="",0,MAX(0,MIN(E189,Plan!$L$191-(IF(Crédits!$K$6="",0,IF(Crédits!$K$6&lt;Crédits!$K$5,M189,0))+IF(Crédits!$K$7="",0,IF(Crédits!$K$7&lt;Crédits!$K$5,U189,0))+IF(Crédits!$K$8="",0,IF(Crédits!$K$8&lt;Crédits!$K$5,AC189,0))+IF(Crédits!$K$9="",0,IF(Crédits!$K$9&lt;Crédits!$K$5,AK189,0))+IF(Crédits!$K$10="",0,IF(Crédits!$K$10&lt;Crédits!$K$5,AS189,0))))))</f>
        <v>0</v>
      </c>
      <c r="G189" s="87">
        <f t="shared" si="1"/>
        <v>0</v>
      </c>
      <c r="H189" s="88">
        <f>ROUND(H188+I189-MIN(N(Crédits!$E$5),H188+I189),2)</f>
        <v>0</v>
      </c>
      <c r="I189" s="89">
        <f>H188*N(Crédits!$D$5)/12</f>
        <v>0</v>
      </c>
      <c r="J189" s="90">
        <f t="shared" si="17"/>
        <v>0</v>
      </c>
      <c r="K189" s="90">
        <f>J189*N(Crédits!$D$6)/12</f>
        <v>0</v>
      </c>
      <c r="L189" s="90">
        <f>MIN(N(Crédits!$E$6),J189+K189)</f>
        <v>0</v>
      </c>
      <c r="M189" s="90">
        <f t="shared" si="2"/>
        <v>0</v>
      </c>
      <c r="N189" s="91">
        <f>IF(Crédits!$K$6="",0,MAX(0,MIN(M189,Plan!$L$191-(IF(Crédits!$K$5="",0,IF(Crédits!$K$5&lt;Crédits!$K$6,E189,0))+IF(Crédits!$K$7="",0,IF(Crédits!$K$7&lt;Crédits!$K$6,U189,0))+IF(Crédits!$K$8="",0,IF(Crédits!$K$8&lt;Crédits!$K$6,AC189,0))+IF(Crédits!$K$9="",0,IF(Crédits!$K$9&lt;Crédits!$K$6,AK189,0))+IF(Crédits!$K$10="",0,IF(Crédits!$K$10&lt;Crédits!$K$6,AS189,0))))))</f>
        <v>0</v>
      </c>
      <c r="O189" s="92">
        <f t="shared" si="3"/>
        <v>0</v>
      </c>
      <c r="P189" s="88">
        <f>ROUND(P188+Q189-MIN(N(Crédits!$E$6),P188+Q189),2)</f>
        <v>0</v>
      </c>
      <c r="Q189" s="89">
        <f>P188*N(Crédits!$D$6)/12</f>
        <v>0</v>
      </c>
      <c r="R189" s="93">
        <f t="shared" si="18"/>
        <v>0</v>
      </c>
      <c r="S189" s="93">
        <f>R189*N(Crédits!$D$7)/12</f>
        <v>0</v>
      </c>
      <c r="T189" s="93">
        <f>MIN(N(Crédits!$E$7),R189+S189)</f>
        <v>0</v>
      </c>
      <c r="U189" s="93">
        <f t="shared" si="4"/>
        <v>0</v>
      </c>
      <c r="V189" s="94">
        <f>IF(Crédits!$K$7="",0,MAX(0,MIN(U189,Plan!$L$191-(IF(Crédits!$K$5="",0,IF(Crédits!$K$5&lt;Crédits!$K$7,E189,0))+IF(Crédits!$K$6="",0,IF(Crédits!$K$6&lt;Crédits!$K$7,M189,0))+IF(Crédits!$K$8="",0,IF(Crédits!$K$8&lt;Crédits!$K$7,AC189,0))+IF(Crédits!$K$9="",0,IF(Crédits!$K$9&lt;Crédits!$K$7,AK189,0))+IF(Crédits!$K$10="",0,IF(Crédits!$K$10&lt;Crédits!$K$7,AS189,0))))))</f>
        <v>0</v>
      </c>
      <c r="W189" s="95">
        <f t="shared" si="5"/>
        <v>0</v>
      </c>
      <c r="X189" s="88">
        <f>ROUND(X188+Y189-MIN(N(Crédits!$E$7),X188+Y189),2)</f>
        <v>0</v>
      </c>
      <c r="Y189" s="89">
        <f>X188*N(Crédits!$D$7)/12</f>
        <v>0</v>
      </c>
      <c r="Z189" s="96">
        <f t="shared" si="19"/>
        <v>0</v>
      </c>
      <c r="AA189" s="96">
        <f>Z189*N(Crédits!$D$8)/12</f>
        <v>0</v>
      </c>
      <c r="AB189" s="96">
        <f>MIN(N(Crédits!$E$8),Z189+AA189)</f>
        <v>0</v>
      </c>
      <c r="AC189" s="96">
        <f t="shared" si="6"/>
        <v>0</v>
      </c>
      <c r="AD189" s="97">
        <f>IF(Crédits!$K$8="",0,MAX(0,MIN(AC189,Plan!$L$191-(IF(Crédits!$K$5="",0,IF(Crédits!$K$5&lt;Crédits!$K$8,E189,0))+IF(Crédits!$K$6="",0,IF(Crédits!$K$6&lt;Crédits!$K$8,M189,0))+IF(Crédits!$K$7="",0,IF(Crédits!$K$7&lt;Crédits!$K$8,U189,0))+IF(Crédits!$K$9="",0,IF(Crédits!$K$9&lt;Crédits!$K$8,AK189,0))+IF(Crédits!$K$10="",0,IF(Crédits!$K$10&lt;Crédits!$K$8,AS189,0))))))</f>
        <v>0</v>
      </c>
      <c r="AE189" s="98">
        <f t="shared" si="7"/>
        <v>0</v>
      </c>
      <c r="AF189" s="88">
        <f>ROUND(AF188+AG189-MIN(N(Crédits!$E$8),AF188+AG189),2)</f>
        <v>0</v>
      </c>
      <c r="AG189" s="89">
        <f>AF188*N(Crédits!$D$8)/12</f>
        <v>0</v>
      </c>
      <c r="AH189" s="99">
        <f t="shared" si="20"/>
        <v>0</v>
      </c>
      <c r="AI189" s="99">
        <f>AH189*N(Crédits!$D$9)/12</f>
        <v>0</v>
      </c>
      <c r="AJ189" s="99">
        <f>MIN(N(Crédits!$E$9),AH189+AI189)</f>
        <v>0</v>
      </c>
      <c r="AK189" s="99">
        <f t="shared" si="8"/>
        <v>0</v>
      </c>
      <c r="AL189" s="100">
        <f>IF(Crédits!$K$9="",0,MAX(0,MIN(AK189,Plan!$L$191-(IF(Crédits!$K$5="",0,IF(Crédits!$K$5&lt;Crédits!$K$9,E189,0))+IF(Crédits!$K$6="",0,IF(Crédits!$K$6&lt;Crédits!$K$9,M189,0))+IF(Crédits!$K$7="",0,IF(Crédits!$K$7&lt;Crédits!$K$9,U189,0))+IF(Crédits!$K$8="",0,IF(Crédits!$K$8&lt;Crédits!$K$9,AC189,0))+IF(Crédits!$K$10="",0,IF(Crédits!$K$10&lt;Crédits!$K$9,AS189,0))))))</f>
        <v>0</v>
      </c>
      <c r="AM189" s="101">
        <f t="shared" si="9"/>
        <v>0</v>
      </c>
      <c r="AN189" s="88">
        <f>ROUND(AN188+AO189-MIN(N(Crédits!$E$9),AN188+AO189),2)</f>
        <v>0</v>
      </c>
      <c r="AO189" s="89">
        <f>AN188*N(Crédits!$D$9)/12</f>
        <v>0</v>
      </c>
      <c r="AP189" s="102">
        <f t="shared" si="21"/>
        <v>0</v>
      </c>
      <c r="AQ189" s="102">
        <f>AP189*N(Crédits!$D$10)/12</f>
        <v>0</v>
      </c>
      <c r="AR189" s="102">
        <f>MIN(N(Crédits!$E$10),AP189+AQ189)</f>
        <v>0</v>
      </c>
      <c r="AS189" s="102">
        <f t="shared" si="10"/>
        <v>0</v>
      </c>
      <c r="AT189" s="103">
        <f>IF(Crédits!$K$10="",0,MAX(0,MIN(AS189,Plan!$L$191-(IF(Crédits!$K$5="",0,IF(Crédits!$K$5&lt;Crédits!$K$10,E189,0))+IF(Crédits!$K$6="",0,IF(Crédits!$K$6&lt;Crédits!$K$10,M189,0))+IF(Crédits!$K$7="",0,IF(Crédits!$K$7&lt;Crédits!$K$10,U189,0))+IF(Crédits!$K$8="",0,IF(Crédits!$K$8&lt;Crédits!$K$10,AC189,0))+IF(Crédits!$K$9="",0,IF(Crédits!$K$9&lt;Crédits!$K$10,AK189,0))))))</f>
        <v>0</v>
      </c>
      <c r="AU189" s="104">
        <f t="shared" si="11"/>
        <v>0</v>
      </c>
      <c r="AV189" s="88">
        <f>ROUND(AV188+AW189-MIN(N(Crédits!$E$10),AV188+AW189),2)</f>
        <v>0</v>
      </c>
      <c r="AW189" s="89">
        <f>AV188*N(Crédits!$D$10)/12</f>
        <v>0</v>
      </c>
      <c r="AX189" s="105">
        <f t="shared" si="12"/>
        <v>0</v>
      </c>
      <c r="AY189" s="105">
        <f t="shared" ref="AY189:AZ189" si="207">F189+N189+V189+AD189+AL189+AT189</f>
        <v>0</v>
      </c>
      <c r="AZ189" s="105">
        <f t="shared" si="207"/>
        <v>0</v>
      </c>
      <c r="BA189" s="105">
        <f t="shared" si="14"/>
        <v>0</v>
      </c>
      <c r="BB189" s="105">
        <f t="shared" si="15"/>
        <v>0</v>
      </c>
    </row>
    <row r="190" spans="1:54" ht="15" customHeight="1" x14ac:dyDescent="0.25">
      <c r="A190" s="2">
        <v>188</v>
      </c>
      <c r="B190" s="83">
        <f t="shared" si="16"/>
        <v>0</v>
      </c>
      <c r="C190" s="83">
        <f>B190*N(Crédits!$D$5)/12</f>
        <v>0</v>
      </c>
      <c r="D190" s="83">
        <f>MIN(N(Crédits!$E$5),B190+C190)</f>
        <v>0</v>
      </c>
      <c r="E190" s="83">
        <f t="shared" si="0"/>
        <v>0</v>
      </c>
      <c r="F190" s="86">
        <f>IF(Crédits!$K$5="",0,MAX(0,MIN(E190,Plan!$L$192-(IF(Crédits!$K$6="",0,IF(Crédits!$K$6&lt;Crédits!$K$5,M190,0))+IF(Crédits!$K$7="",0,IF(Crédits!$K$7&lt;Crédits!$K$5,U190,0))+IF(Crédits!$K$8="",0,IF(Crédits!$K$8&lt;Crédits!$K$5,AC190,0))+IF(Crédits!$K$9="",0,IF(Crédits!$K$9&lt;Crédits!$K$5,AK190,0))+IF(Crédits!$K$10="",0,IF(Crédits!$K$10&lt;Crédits!$K$5,AS190,0))))))</f>
        <v>0</v>
      </c>
      <c r="G190" s="87">
        <f t="shared" si="1"/>
        <v>0</v>
      </c>
      <c r="H190" s="88">
        <f>ROUND(H189+I190-MIN(N(Crédits!$E$5),H189+I190),2)</f>
        <v>0</v>
      </c>
      <c r="I190" s="89">
        <f>H189*N(Crédits!$D$5)/12</f>
        <v>0</v>
      </c>
      <c r="J190" s="90">
        <f t="shared" si="17"/>
        <v>0</v>
      </c>
      <c r="K190" s="90">
        <f>J190*N(Crédits!$D$6)/12</f>
        <v>0</v>
      </c>
      <c r="L190" s="90">
        <f>MIN(N(Crédits!$E$6),J190+K190)</f>
        <v>0</v>
      </c>
      <c r="M190" s="90">
        <f t="shared" si="2"/>
        <v>0</v>
      </c>
      <c r="N190" s="91">
        <f>IF(Crédits!$K$6="",0,MAX(0,MIN(M190,Plan!$L$192-(IF(Crédits!$K$5="",0,IF(Crédits!$K$5&lt;Crédits!$K$6,E190,0))+IF(Crédits!$K$7="",0,IF(Crédits!$K$7&lt;Crédits!$K$6,U190,0))+IF(Crédits!$K$8="",0,IF(Crédits!$K$8&lt;Crédits!$K$6,AC190,0))+IF(Crédits!$K$9="",0,IF(Crédits!$K$9&lt;Crédits!$K$6,AK190,0))+IF(Crédits!$K$10="",0,IF(Crédits!$K$10&lt;Crédits!$K$6,AS190,0))))))</f>
        <v>0</v>
      </c>
      <c r="O190" s="92">
        <f t="shared" si="3"/>
        <v>0</v>
      </c>
      <c r="P190" s="88">
        <f>ROUND(P189+Q190-MIN(N(Crédits!$E$6),P189+Q190),2)</f>
        <v>0</v>
      </c>
      <c r="Q190" s="89">
        <f>P189*N(Crédits!$D$6)/12</f>
        <v>0</v>
      </c>
      <c r="R190" s="93">
        <f t="shared" si="18"/>
        <v>0</v>
      </c>
      <c r="S190" s="93">
        <f>R190*N(Crédits!$D$7)/12</f>
        <v>0</v>
      </c>
      <c r="T190" s="93">
        <f>MIN(N(Crédits!$E$7),R190+S190)</f>
        <v>0</v>
      </c>
      <c r="U190" s="93">
        <f t="shared" si="4"/>
        <v>0</v>
      </c>
      <c r="V190" s="94">
        <f>IF(Crédits!$K$7="",0,MAX(0,MIN(U190,Plan!$L$192-(IF(Crédits!$K$5="",0,IF(Crédits!$K$5&lt;Crédits!$K$7,E190,0))+IF(Crédits!$K$6="",0,IF(Crédits!$K$6&lt;Crédits!$K$7,M190,0))+IF(Crédits!$K$8="",0,IF(Crédits!$K$8&lt;Crédits!$K$7,AC190,0))+IF(Crédits!$K$9="",0,IF(Crédits!$K$9&lt;Crédits!$K$7,AK190,0))+IF(Crédits!$K$10="",0,IF(Crédits!$K$10&lt;Crédits!$K$7,AS190,0))))))</f>
        <v>0</v>
      </c>
      <c r="W190" s="95">
        <f t="shared" si="5"/>
        <v>0</v>
      </c>
      <c r="X190" s="88">
        <f>ROUND(X189+Y190-MIN(N(Crédits!$E$7),X189+Y190),2)</f>
        <v>0</v>
      </c>
      <c r="Y190" s="89">
        <f>X189*N(Crédits!$D$7)/12</f>
        <v>0</v>
      </c>
      <c r="Z190" s="96">
        <f t="shared" si="19"/>
        <v>0</v>
      </c>
      <c r="AA190" s="96">
        <f>Z190*N(Crédits!$D$8)/12</f>
        <v>0</v>
      </c>
      <c r="AB190" s="96">
        <f>MIN(N(Crédits!$E$8),Z190+AA190)</f>
        <v>0</v>
      </c>
      <c r="AC190" s="96">
        <f t="shared" si="6"/>
        <v>0</v>
      </c>
      <c r="AD190" s="97">
        <f>IF(Crédits!$K$8="",0,MAX(0,MIN(AC190,Plan!$L$192-(IF(Crédits!$K$5="",0,IF(Crédits!$K$5&lt;Crédits!$K$8,E190,0))+IF(Crédits!$K$6="",0,IF(Crédits!$K$6&lt;Crédits!$K$8,M190,0))+IF(Crédits!$K$7="",0,IF(Crédits!$K$7&lt;Crédits!$K$8,U190,0))+IF(Crédits!$K$9="",0,IF(Crédits!$K$9&lt;Crédits!$K$8,AK190,0))+IF(Crédits!$K$10="",0,IF(Crédits!$K$10&lt;Crédits!$K$8,AS190,0))))))</f>
        <v>0</v>
      </c>
      <c r="AE190" s="98">
        <f t="shared" si="7"/>
        <v>0</v>
      </c>
      <c r="AF190" s="88">
        <f>ROUND(AF189+AG190-MIN(N(Crédits!$E$8),AF189+AG190),2)</f>
        <v>0</v>
      </c>
      <c r="AG190" s="89">
        <f>AF189*N(Crédits!$D$8)/12</f>
        <v>0</v>
      </c>
      <c r="AH190" s="99">
        <f t="shared" si="20"/>
        <v>0</v>
      </c>
      <c r="AI190" s="99">
        <f>AH190*N(Crédits!$D$9)/12</f>
        <v>0</v>
      </c>
      <c r="AJ190" s="99">
        <f>MIN(N(Crédits!$E$9),AH190+AI190)</f>
        <v>0</v>
      </c>
      <c r="AK190" s="99">
        <f t="shared" si="8"/>
        <v>0</v>
      </c>
      <c r="AL190" s="100">
        <f>IF(Crédits!$K$9="",0,MAX(0,MIN(AK190,Plan!$L$192-(IF(Crédits!$K$5="",0,IF(Crédits!$K$5&lt;Crédits!$K$9,E190,0))+IF(Crédits!$K$6="",0,IF(Crédits!$K$6&lt;Crédits!$K$9,M190,0))+IF(Crédits!$K$7="",0,IF(Crédits!$K$7&lt;Crédits!$K$9,U190,0))+IF(Crédits!$K$8="",0,IF(Crédits!$K$8&lt;Crédits!$K$9,AC190,0))+IF(Crédits!$K$10="",0,IF(Crédits!$K$10&lt;Crédits!$K$9,AS190,0))))))</f>
        <v>0</v>
      </c>
      <c r="AM190" s="101">
        <f t="shared" si="9"/>
        <v>0</v>
      </c>
      <c r="AN190" s="88">
        <f>ROUND(AN189+AO190-MIN(N(Crédits!$E$9),AN189+AO190),2)</f>
        <v>0</v>
      </c>
      <c r="AO190" s="89">
        <f>AN189*N(Crédits!$D$9)/12</f>
        <v>0</v>
      </c>
      <c r="AP190" s="102">
        <f t="shared" si="21"/>
        <v>0</v>
      </c>
      <c r="AQ190" s="102">
        <f>AP190*N(Crédits!$D$10)/12</f>
        <v>0</v>
      </c>
      <c r="AR190" s="102">
        <f>MIN(N(Crédits!$E$10),AP190+AQ190)</f>
        <v>0</v>
      </c>
      <c r="AS190" s="102">
        <f t="shared" si="10"/>
        <v>0</v>
      </c>
      <c r="AT190" s="103">
        <f>IF(Crédits!$K$10="",0,MAX(0,MIN(AS190,Plan!$L$192-(IF(Crédits!$K$5="",0,IF(Crédits!$K$5&lt;Crédits!$K$10,E190,0))+IF(Crédits!$K$6="",0,IF(Crédits!$K$6&lt;Crédits!$K$10,M190,0))+IF(Crédits!$K$7="",0,IF(Crédits!$K$7&lt;Crédits!$K$10,U190,0))+IF(Crédits!$K$8="",0,IF(Crédits!$K$8&lt;Crédits!$K$10,AC190,0))+IF(Crédits!$K$9="",0,IF(Crédits!$K$9&lt;Crédits!$K$10,AK190,0))))))</f>
        <v>0</v>
      </c>
      <c r="AU190" s="104">
        <f t="shared" si="11"/>
        <v>0</v>
      </c>
      <c r="AV190" s="88">
        <f>ROUND(AV189+AW190-MIN(N(Crédits!$E$10),AV189+AW190),2)</f>
        <v>0</v>
      </c>
      <c r="AW190" s="89">
        <f>AV189*N(Crédits!$D$10)/12</f>
        <v>0</v>
      </c>
      <c r="AX190" s="105">
        <f t="shared" si="12"/>
        <v>0</v>
      </c>
      <c r="AY190" s="105">
        <f t="shared" ref="AY190:AZ190" si="208">F190+N190+V190+AD190+AL190+AT190</f>
        <v>0</v>
      </c>
      <c r="AZ190" s="105">
        <f t="shared" si="208"/>
        <v>0</v>
      </c>
      <c r="BA190" s="105">
        <f t="shared" si="14"/>
        <v>0</v>
      </c>
      <c r="BB190" s="105">
        <f t="shared" si="15"/>
        <v>0</v>
      </c>
    </row>
    <row r="191" spans="1:54" ht="15" customHeight="1" x14ac:dyDescent="0.25">
      <c r="A191" s="2">
        <v>189</v>
      </c>
      <c r="B191" s="83">
        <f t="shared" si="16"/>
        <v>0</v>
      </c>
      <c r="C191" s="83">
        <f>B191*N(Crédits!$D$5)/12</f>
        <v>0</v>
      </c>
      <c r="D191" s="83">
        <f>MIN(N(Crédits!$E$5),B191+C191)</f>
        <v>0</v>
      </c>
      <c r="E191" s="83">
        <f t="shared" si="0"/>
        <v>0</v>
      </c>
      <c r="F191" s="86">
        <f>IF(Crédits!$K$5="",0,MAX(0,MIN(E191,Plan!$L$193-(IF(Crédits!$K$6="",0,IF(Crédits!$K$6&lt;Crédits!$K$5,M191,0))+IF(Crédits!$K$7="",0,IF(Crédits!$K$7&lt;Crédits!$K$5,U191,0))+IF(Crédits!$K$8="",0,IF(Crédits!$K$8&lt;Crédits!$K$5,AC191,0))+IF(Crédits!$K$9="",0,IF(Crédits!$K$9&lt;Crédits!$K$5,AK191,0))+IF(Crédits!$K$10="",0,IF(Crédits!$K$10&lt;Crédits!$K$5,AS191,0))))))</f>
        <v>0</v>
      </c>
      <c r="G191" s="87">
        <f t="shared" si="1"/>
        <v>0</v>
      </c>
      <c r="H191" s="88">
        <f>ROUND(H190+I191-MIN(N(Crédits!$E$5),H190+I191),2)</f>
        <v>0</v>
      </c>
      <c r="I191" s="89">
        <f>H190*N(Crédits!$D$5)/12</f>
        <v>0</v>
      </c>
      <c r="J191" s="90">
        <f t="shared" si="17"/>
        <v>0</v>
      </c>
      <c r="K191" s="90">
        <f>J191*N(Crédits!$D$6)/12</f>
        <v>0</v>
      </c>
      <c r="L191" s="90">
        <f>MIN(N(Crédits!$E$6),J191+K191)</f>
        <v>0</v>
      </c>
      <c r="M191" s="90">
        <f t="shared" si="2"/>
        <v>0</v>
      </c>
      <c r="N191" s="91">
        <f>IF(Crédits!$K$6="",0,MAX(0,MIN(M191,Plan!$L$193-(IF(Crédits!$K$5="",0,IF(Crédits!$K$5&lt;Crédits!$K$6,E191,0))+IF(Crédits!$K$7="",0,IF(Crédits!$K$7&lt;Crédits!$K$6,U191,0))+IF(Crédits!$K$8="",0,IF(Crédits!$K$8&lt;Crédits!$K$6,AC191,0))+IF(Crédits!$K$9="",0,IF(Crédits!$K$9&lt;Crédits!$K$6,AK191,0))+IF(Crédits!$K$10="",0,IF(Crédits!$K$10&lt;Crédits!$K$6,AS191,0))))))</f>
        <v>0</v>
      </c>
      <c r="O191" s="92">
        <f t="shared" si="3"/>
        <v>0</v>
      </c>
      <c r="P191" s="88">
        <f>ROUND(P190+Q191-MIN(N(Crédits!$E$6),P190+Q191),2)</f>
        <v>0</v>
      </c>
      <c r="Q191" s="89">
        <f>P190*N(Crédits!$D$6)/12</f>
        <v>0</v>
      </c>
      <c r="R191" s="93">
        <f t="shared" si="18"/>
        <v>0</v>
      </c>
      <c r="S191" s="93">
        <f>R191*N(Crédits!$D$7)/12</f>
        <v>0</v>
      </c>
      <c r="T191" s="93">
        <f>MIN(N(Crédits!$E$7),R191+S191)</f>
        <v>0</v>
      </c>
      <c r="U191" s="93">
        <f t="shared" si="4"/>
        <v>0</v>
      </c>
      <c r="V191" s="94">
        <f>IF(Crédits!$K$7="",0,MAX(0,MIN(U191,Plan!$L$193-(IF(Crédits!$K$5="",0,IF(Crédits!$K$5&lt;Crédits!$K$7,E191,0))+IF(Crédits!$K$6="",0,IF(Crédits!$K$6&lt;Crédits!$K$7,M191,0))+IF(Crédits!$K$8="",0,IF(Crédits!$K$8&lt;Crédits!$K$7,AC191,0))+IF(Crédits!$K$9="",0,IF(Crédits!$K$9&lt;Crédits!$K$7,AK191,0))+IF(Crédits!$K$10="",0,IF(Crédits!$K$10&lt;Crédits!$K$7,AS191,0))))))</f>
        <v>0</v>
      </c>
      <c r="W191" s="95">
        <f t="shared" si="5"/>
        <v>0</v>
      </c>
      <c r="X191" s="88">
        <f>ROUND(X190+Y191-MIN(N(Crédits!$E$7),X190+Y191),2)</f>
        <v>0</v>
      </c>
      <c r="Y191" s="89">
        <f>X190*N(Crédits!$D$7)/12</f>
        <v>0</v>
      </c>
      <c r="Z191" s="96">
        <f t="shared" si="19"/>
        <v>0</v>
      </c>
      <c r="AA191" s="96">
        <f>Z191*N(Crédits!$D$8)/12</f>
        <v>0</v>
      </c>
      <c r="AB191" s="96">
        <f>MIN(N(Crédits!$E$8),Z191+AA191)</f>
        <v>0</v>
      </c>
      <c r="AC191" s="96">
        <f t="shared" si="6"/>
        <v>0</v>
      </c>
      <c r="AD191" s="97">
        <f>IF(Crédits!$K$8="",0,MAX(0,MIN(AC191,Plan!$L$193-(IF(Crédits!$K$5="",0,IF(Crédits!$K$5&lt;Crédits!$K$8,E191,0))+IF(Crédits!$K$6="",0,IF(Crédits!$K$6&lt;Crédits!$K$8,M191,0))+IF(Crédits!$K$7="",0,IF(Crédits!$K$7&lt;Crédits!$K$8,U191,0))+IF(Crédits!$K$9="",0,IF(Crédits!$K$9&lt;Crédits!$K$8,AK191,0))+IF(Crédits!$K$10="",0,IF(Crédits!$K$10&lt;Crédits!$K$8,AS191,0))))))</f>
        <v>0</v>
      </c>
      <c r="AE191" s="98">
        <f t="shared" si="7"/>
        <v>0</v>
      </c>
      <c r="AF191" s="88">
        <f>ROUND(AF190+AG191-MIN(N(Crédits!$E$8),AF190+AG191),2)</f>
        <v>0</v>
      </c>
      <c r="AG191" s="89">
        <f>AF190*N(Crédits!$D$8)/12</f>
        <v>0</v>
      </c>
      <c r="AH191" s="99">
        <f t="shared" si="20"/>
        <v>0</v>
      </c>
      <c r="AI191" s="99">
        <f>AH191*N(Crédits!$D$9)/12</f>
        <v>0</v>
      </c>
      <c r="AJ191" s="99">
        <f>MIN(N(Crédits!$E$9),AH191+AI191)</f>
        <v>0</v>
      </c>
      <c r="AK191" s="99">
        <f t="shared" si="8"/>
        <v>0</v>
      </c>
      <c r="AL191" s="100">
        <f>IF(Crédits!$K$9="",0,MAX(0,MIN(AK191,Plan!$L$193-(IF(Crédits!$K$5="",0,IF(Crédits!$K$5&lt;Crédits!$K$9,E191,0))+IF(Crédits!$K$6="",0,IF(Crédits!$K$6&lt;Crédits!$K$9,M191,0))+IF(Crédits!$K$7="",0,IF(Crédits!$K$7&lt;Crédits!$K$9,U191,0))+IF(Crédits!$K$8="",0,IF(Crédits!$K$8&lt;Crédits!$K$9,AC191,0))+IF(Crédits!$K$10="",0,IF(Crédits!$K$10&lt;Crédits!$K$9,AS191,0))))))</f>
        <v>0</v>
      </c>
      <c r="AM191" s="101">
        <f t="shared" si="9"/>
        <v>0</v>
      </c>
      <c r="AN191" s="88">
        <f>ROUND(AN190+AO191-MIN(N(Crédits!$E$9),AN190+AO191),2)</f>
        <v>0</v>
      </c>
      <c r="AO191" s="89">
        <f>AN190*N(Crédits!$D$9)/12</f>
        <v>0</v>
      </c>
      <c r="AP191" s="102">
        <f t="shared" si="21"/>
        <v>0</v>
      </c>
      <c r="AQ191" s="102">
        <f>AP191*N(Crédits!$D$10)/12</f>
        <v>0</v>
      </c>
      <c r="AR191" s="102">
        <f>MIN(N(Crédits!$E$10),AP191+AQ191)</f>
        <v>0</v>
      </c>
      <c r="AS191" s="102">
        <f t="shared" si="10"/>
        <v>0</v>
      </c>
      <c r="AT191" s="103">
        <f>IF(Crédits!$K$10="",0,MAX(0,MIN(AS191,Plan!$L$193-(IF(Crédits!$K$5="",0,IF(Crédits!$K$5&lt;Crédits!$K$10,E191,0))+IF(Crédits!$K$6="",0,IF(Crédits!$K$6&lt;Crédits!$K$10,M191,0))+IF(Crédits!$K$7="",0,IF(Crédits!$K$7&lt;Crédits!$K$10,U191,0))+IF(Crédits!$K$8="",0,IF(Crédits!$K$8&lt;Crédits!$K$10,AC191,0))+IF(Crédits!$K$9="",0,IF(Crédits!$K$9&lt;Crédits!$K$10,AK191,0))))))</f>
        <v>0</v>
      </c>
      <c r="AU191" s="104">
        <f t="shared" si="11"/>
        <v>0</v>
      </c>
      <c r="AV191" s="88">
        <f>ROUND(AV190+AW191-MIN(N(Crédits!$E$10),AV190+AW191),2)</f>
        <v>0</v>
      </c>
      <c r="AW191" s="89">
        <f>AV190*N(Crédits!$D$10)/12</f>
        <v>0</v>
      </c>
      <c r="AX191" s="105">
        <f t="shared" si="12"/>
        <v>0</v>
      </c>
      <c r="AY191" s="105">
        <f t="shared" ref="AY191:AZ191" si="209">F191+N191+V191+AD191+AL191+AT191</f>
        <v>0</v>
      </c>
      <c r="AZ191" s="105">
        <f t="shared" si="209"/>
        <v>0</v>
      </c>
      <c r="BA191" s="105">
        <f t="shared" si="14"/>
        <v>0</v>
      </c>
      <c r="BB191" s="105">
        <f t="shared" si="15"/>
        <v>0</v>
      </c>
    </row>
    <row r="192" spans="1:54" ht="15" customHeight="1" x14ac:dyDescent="0.25">
      <c r="A192" s="2">
        <v>190</v>
      </c>
      <c r="B192" s="83">
        <f t="shared" si="16"/>
        <v>0</v>
      </c>
      <c r="C192" s="83">
        <f>B192*N(Crédits!$D$5)/12</f>
        <v>0</v>
      </c>
      <c r="D192" s="83">
        <f>MIN(N(Crédits!$E$5),B192+C192)</f>
        <v>0</v>
      </c>
      <c r="E192" s="83">
        <f t="shared" si="0"/>
        <v>0</v>
      </c>
      <c r="F192" s="86">
        <f>IF(Crédits!$K$5="",0,MAX(0,MIN(E192,Plan!$L$194-(IF(Crédits!$K$6="",0,IF(Crédits!$K$6&lt;Crédits!$K$5,M192,0))+IF(Crédits!$K$7="",0,IF(Crédits!$K$7&lt;Crédits!$K$5,U192,0))+IF(Crédits!$K$8="",0,IF(Crédits!$K$8&lt;Crédits!$K$5,AC192,0))+IF(Crédits!$K$9="",0,IF(Crédits!$K$9&lt;Crédits!$K$5,AK192,0))+IF(Crédits!$K$10="",0,IF(Crédits!$K$10&lt;Crédits!$K$5,AS192,0))))))</f>
        <v>0</v>
      </c>
      <c r="G192" s="87">
        <f t="shared" si="1"/>
        <v>0</v>
      </c>
      <c r="H192" s="88">
        <f>ROUND(H191+I192-MIN(N(Crédits!$E$5),H191+I192),2)</f>
        <v>0</v>
      </c>
      <c r="I192" s="89">
        <f>H191*N(Crédits!$D$5)/12</f>
        <v>0</v>
      </c>
      <c r="J192" s="90">
        <f t="shared" si="17"/>
        <v>0</v>
      </c>
      <c r="K192" s="90">
        <f>J192*N(Crédits!$D$6)/12</f>
        <v>0</v>
      </c>
      <c r="L192" s="90">
        <f>MIN(N(Crédits!$E$6),J192+K192)</f>
        <v>0</v>
      </c>
      <c r="M192" s="90">
        <f t="shared" si="2"/>
        <v>0</v>
      </c>
      <c r="N192" s="91">
        <f>IF(Crédits!$K$6="",0,MAX(0,MIN(M192,Plan!$L$194-(IF(Crédits!$K$5="",0,IF(Crédits!$K$5&lt;Crédits!$K$6,E192,0))+IF(Crédits!$K$7="",0,IF(Crédits!$K$7&lt;Crédits!$K$6,U192,0))+IF(Crédits!$K$8="",0,IF(Crédits!$K$8&lt;Crédits!$K$6,AC192,0))+IF(Crédits!$K$9="",0,IF(Crédits!$K$9&lt;Crédits!$K$6,AK192,0))+IF(Crédits!$K$10="",0,IF(Crédits!$K$10&lt;Crédits!$K$6,AS192,0))))))</f>
        <v>0</v>
      </c>
      <c r="O192" s="92">
        <f t="shared" si="3"/>
        <v>0</v>
      </c>
      <c r="P192" s="88">
        <f>ROUND(P191+Q192-MIN(N(Crédits!$E$6),P191+Q192),2)</f>
        <v>0</v>
      </c>
      <c r="Q192" s="89">
        <f>P191*N(Crédits!$D$6)/12</f>
        <v>0</v>
      </c>
      <c r="R192" s="93">
        <f t="shared" si="18"/>
        <v>0</v>
      </c>
      <c r="S192" s="93">
        <f>R192*N(Crédits!$D$7)/12</f>
        <v>0</v>
      </c>
      <c r="T192" s="93">
        <f>MIN(N(Crédits!$E$7),R192+S192)</f>
        <v>0</v>
      </c>
      <c r="U192" s="93">
        <f t="shared" si="4"/>
        <v>0</v>
      </c>
      <c r="V192" s="94">
        <f>IF(Crédits!$K$7="",0,MAX(0,MIN(U192,Plan!$L$194-(IF(Crédits!$K$5="",0,IF(Crédits!$K$5&lt;Crédits!$K$7,E192,0))+IF(Crédits!$K$6="",0,IF(Crédits!$K$6&lt;Crédits!$K$7,M192,0))+IF(Crédits!$K$8="",0,IF(Crédits!$K$8&lt;Crédits!$K$7,AC192,0))+IF(Crédits!$K$9="",0,IF(Crédits!$K$9&lt;Crédits!$K$7,AK192,0))+IF(Crédits!$K$10="",0,IF(Crédits!$K$10&lt;Crédits!$K$7,AS192,0))))))</f>
        <v>0</v>
      </c>
      <c r="W192" s="95">
        <f t="shared" si="5"/>
        <v>0</v>
      </c>
      <c r="X192" s="88">
        <f>ROUND(X191+Y192-MIN(N(Crédits!$E$7),X191+Y192),2)</f>
        <v>0</v>
      </c>
      <c r="Y192" s="89">
        <f>X191*N(Crédits!$D$7)/12</f>
        <v>0</v>
      </c>
      <c r="Z192" s="96">
        <f t="shared" si="19"/>
        <v>0</v>
      </c>
      <c r="AA192" s="96">
        <f>Z192*N(Crédits!$D$8)/12</f>
        <v>0</v>
      </c>
      <c r="AB192" s="96">
        <f>MIN(N(Crédits!$E$8),Z192+AA192)</f>
        <v>0</v>
      </c>
      <c r="AC192" s="96">
        <f t="shared" si="6"/>
        <v>0</v>
      </c>
      <c r="AD192" s="97">
        <f>IF(Crédits!$K$8="",0,MAX(0,MIN(AC192,Plan!$L$194-(IF(Crédits!$K$5="",0,IF(Crédits!$K$5&lt;Crédits!$K$8,E192,0))+IF(Crédits!$K$6="",0,IF(Crédits!$K$6&lt;Crédits!$K$8,M192,0))+IF(Crédits!$K$7="",0,IF(Crédits!$K$7&lt;Crédits!$K$8,U192,0))+IF(Crédits!$K$9="",0,IF(Crédits!$K$9&lt;Crédits!$K$8,AK192,0))+IF(Crédits!$K$10="",0,IF(Crédits!$K$10&lt;Crédits!$K$8,AS192,0))))))</f>
        <v>0</v>
      </c>
      <c r="AE192" s="98">
        <f t="shared" si="7"/>
        <v>0</v>
      </c>
      <c r="AF192" s="88">
        <f>ROUND(AF191+AG192-MIN(N(Crédits!$E$8),AF191+AG192),2)</f>
        <v>0</v>
      </c>
      <c r="AG192" s="89">
        <f>AF191*N(Crédits!$D$8)/12</f>
        <v>0</v>
      </c>
      <c r="AH192" s="99">
        <f t="shared" si="20"/>
        <v>0</v>
      </c>
      <c r="AI192" s="99">
        <f>AH192*N(Crédits!$D$9)/12</f>
        <v>0</v>
      </c>
      <c r="AJ192" s="99">
        <f>MIN(N(Crédits!$E$9),AH192+AI192)</f>
        <v>0</v>
      </c>
      <c r="AK192" s="99">
        <f t="shared" si="8"/>
        <v>0</v>
      </c>
      <c r="AL192" s="100">
        <f>IF(Crédits!$K$9="",0,MAX(0,MIN(AK192,Plan!$L$194-(IF(Crédits!$K$5="",0,IF(Crédits!$K$5&lt;Crédits!$K$9,E192,0))+IF(Crédits!$K$6="",0,IF(Crédits!$K$6&lt;Crédits!$K$9,M192,0))+IF(Crédits!$K$7="",0,IF(Crédits!$K$7&lt;Crédits!$K$9,U192,0))+IF(Crédits!$K$8="",0,IF(Crédits!$K$8&lt;Crédits!$K$9,AC192,0))+IF(Crédits!$K$10="",0,IF(Crédits!$K$10&lt;Crédits!$K$9,AS192,0))))))</f>
        <v>0</v>
      </c>
      <c r="AM192" s="101">
        <f t="shared" si="9"/>
        <v>0</v>
      </c>
      <c r="AN192" s="88">
        <f>ROUND(AN191+AO192-MIN(N(Crédits!$E$9),AN191+AO192),2)</f>
        <v>0</v>
      </c>
      <c r="AO192" s="89">
        <f>AN191*N(Crédits!$D$9)/12</f>
        <v>0</v>
      </c>
      <c r="AP192" s="102">
        <f t="shared" si="21"/>
        <v>0</v>
      </c>
      <c r="AQ192" s="102">
        <f>AP192*N(Crédits!$D$10)/12</f>
        <v>0</v>
      </c>
      <c r="AR192" s="102">
        <f>MIN(N(Crédits!$E$10),AP192+AQ192)</f>
        <v>0</v>
      </c>
      <c r="AS192" s="102">
        <f t="shared" si="10"/>
        <v>0</v>
      </c>
      <c r="AT192" s="103">
        <f>IF(Crédits!$K$10="",0,MAX(0,MIN(AS192,Plan!$L$194-(IF(Crédits!$K$5="",0,IF(Crédits!$K$5&lt;Crédits!$K$10,E192,0))+IF(Crédits!$K$6="",0,IF(Crédits!$K$6&lt;Crédits!$K$10,M192,0))+IF(Crédits!$K$7="",0,IF(Crédits!$K$7&lt;Crédits!$K$10,U192,0))+IF(Crédits!$K$8="",0,IF(Crédits!$K$8&lt;Crédits!$K$10,AC192,0))+IF(Crédits!$K$9="",0,IF(Crédits!$K$9&lt;Crédits!$K$10,AK192,0))))))</f>
        <v>0</v>
      </c>
      <c r="AU192" s="104">
        <f t="shared" si="11"/>
        <v>0</v>
      </c>
      <c r="AV192" s="88">
        <f>ROUND(AV191+AW192-MIN(N(Crédits!$E$10),AV191+AW192),2)</f>
        <v>0</v>
      </c>
      <c r="AW192" s="89">
        <f>AV191*N(Crédits!$D$10)/12</f>
        <v>0</v>
      </c>
      <c r="AX192" s="105">
        <f t="shared" si="12"/>
        <v>0</v>
      </c>
      <c r="AY192" s="105">
        <f t="shared" ref="AY192:AZ192" si="210">F192+N192+V192+AD192+AL192+AT192</f>
        <v>0</v>
      </c>
      <c r="AZ192" s="105">
        <f t="shared" si="210"/>
        <v>0</v>
      </c>
      <c r="BA192" s="105">
        <f t="shared" si="14"/>
        <v>0</v>
      </c>
      <c r="BB192" s="105">
        <f t="shared" si="15"/>
        <v>0</v>
      </c>
    </row>
    <row r="193" spans="1:54" ht="15" customHeight="1" x14ac:dyDescent="0.25">
      <c r="A193" s="2">
        <v>191</v>
      </c>
      <c r="B193" s="83">
        <f t="shared" si="16"/>
        <v>0</v>
      </c>
      <c r="C193" s="83">
        <f>B193*N(Crédits!$D$5)/12</f>
        <v>0</v>
      </c>
      <c r="D193" s="83">
        <f>MIN(N(Crédits!$E$5),B193+C193)</f>
        <v>0</v>
      </c>
      <c r="E193" s="83">
        <f t="shared" si="0"/>
        <v>0</v>
      </c>
      <c r="F193" s="86">
        <f>IF(Crédits!$K$5="",0,MAX(0,MIN(E193,Plan!$L$195-(IF(Crédits!$K$6="",0,IF(Crédits!$K$6&lt;Crédits!$K$5,M193,0))+IF(Crédits!$K$7="",0,IF(Crédits!$K$7&lt;Crédits!$K$5,U193,0))+IF(Crédits!$K$8="",0,IF(Crédits!$K$8&lt;Crédits!$K$5,AC193,0))+IF(Crédits!$K$9="",0,IF(Crédits!$K$9&lt;Crédits!$K$5,AK193,0))+IF(Crédits!$K$10="",0,IF(Crédits!$K$10&lt;Crédits!$K$5,AS193,0))))))</f>
        <v>0</v>
      </c>
      <c r="G193" s="87">
        <f t="shared" si="1"/>
        <v>0</v>
      </c>
      <c r="H193" s="88">
        <f>ROUND(H192+I193-MIN(N(Crédits!$E$5),H192+I193),2)</f>
        <v>0</v>
      </c>
      <c r="I193" s="89">
        <f>H192*N(Crédits!$D$5)/12</f>
        <v>0</v>
      </c>
      <c r="J193" s="90">
        <f t="shared" si="17"/>
        <v>0</v>
      </c>
      <c r="K193" s="90">
        <f>J193*N(Crédits!$D$6)/12</f>
        <v>0</v>
      </c>
      <c r="L193" s="90">
        <f>MIN(N(Crédits!$E$6),J193+K193)</f>
        <v>0</v>
      </c>
      <c r="M193" s="90">
        <f t="shared" si="2"/>
        <v>0</v>
      </c>
      <c r="N193" s="91">
        <f>IF(Crédits!$K$6="",0,MAX(0,MIN(M193,Plan!$L$195-(IF(Crédits!$K$5="",0,IF(Crédits!$K$5&lt;Crédits!$K$6,E193,0))+IF(Crédits!$K$7="",0,IF(Crédits!$K$7&lt;Crédits!$K$6,U193,0))+IF(Crédits!$K$8="",0,IF(Crédits!$K$8&lt;Crédits!$K$6,AC193,0))+IF(Crédits!$K$9="",0,IF(Crédits!$K$9&lt;Crédits!$K$6,AK193,0))+IF(Crédits!$K$10="",0,IF(Crédits!$K$10&lt;Crédits!$K$6,AS193,0))))))</f>
        <v>0</v>
      </c>
      <c r="O193" s="92">
        <f t="shared" si="3"/>
        <v>0</v>
      </c>
      <c r="P193" s="88">
        <f>ROUND(P192+Q193-MIN(N(Crédits!$E$6),P192+Q193),2)</f>
        <v>0</v>
      </c>
      <c r="Q193" s="89">
        <f>P192*N(Crédits!$D$6)/12</f>
        <v>0</v>
      </c>
      <c r="R193" s="93">
        <f t="shared" si="18"/>
        <v>0</v>
      </c>
      <c r="S193" s="93">
        <f>R193*N(Crédits!$D$7)/12</f>
        <v>0</v>
      </c>
      <c r="T193" s="93">
        <f>MIN(N(Crédits!$E$7),R193+S193)</f>
        <v>0</v>
      </c>
      <c r="U193" s="93">
        <f t="shared" si="4"/>
        <v>0</v>
      </c>
      <c r="V193" s="94">
        <f>IF(Crédits!$K$7="",0,MAX(0,MIN(U193,Plan!$L$195-(IF(Crédits!$K$5="",0,IF(Crédits!$K$5&lt;Crédits!$K$7,E193,0))+IF(Crédits!$K$6="",0,IF(Crédits!$K$6&lt;Crédits!$K$7,M193,0))+IF(Crédits!$K$8="",0,IF(Crédits!$K$8&lt;Crédits!$K$7,AC193,0))+IF(Crédits!$K$9="",0,IF(Crédits!$K$9&lt;Crédits!$K$7,AK193,0))+IF(Crédits!$K$10="",0,IF(Crédits!$K$10&lt;Crédits!$K$7,AS193,0))))))</f>
        <v>0</v>
      </c>
      <c r="W193" s="95">
        <f t="shared" si="5"/>
        <v>0</v>
      </c>
      <c r="X193" s="88">
        <f>ROUND(X192+Y193-MIN(N(Crédits!$E$7),X192+Y193),2)</f>
        <v>0</v>
      </c>
      <c r="Y193" s="89">
        <f>X192*N(Crédits!$D$7)/12</f>
        <v>0</v>
      </c>
      <c r="Z193" s="96">
        <f t="shared" si="19"/>
        <v>0</v>
      </c>
      <c r="AA193" s="96">
        <f>Z193*N(Crédits!$D$8)/12</f>
        <v>0</v>
      </c>
      <c r="AB193" s="96">
        <f>MIN(N(Crédits!$E$8),Z193+AA193)</f>
        <v>0</v>
      </c>
      <c r="AC193" s="96">
        <f t="shared" si="6"/>
        <v>0</v>
      </c>
      <c r="AD193" s="97">
        <f>IF(Crédits!$K$8="",0,MAX(0,MIN(AC193,Plan!$L$195-(IF(Crédits!$K$5="",0,IF(Crédits!$K$5&lt;Crédits!$K$8,E193,0))+IF(Crédits!$K$6="",0,IF(Crédits!$K$6&lt;Crédits!$K$8,M193,0))+IF(Crédits!$K$7="",0,IF(Crédits!$K$7&lt;Crédits!$K$8,U193,0))+IF(Crédits!$K$9="",0,IF(Crédits!$K$9&lt;Crédits!$K$8,AK193,0))+IF(Crédits!$K$10="",0,IF(Crédits!$K$10&lt;Crédits!$K$8,AS193,0))))))</f>
        <v>0</v>
      </c>
      <c r="AE193" s="98">
        <f t="shared" si="7"/>
        <v>0</v>
      </c>
      <c r="AF193" s="88">
        <f>ROUND(AF192+AG193-MIN(N(Crédits!$E$8),AF192+AG193),2)</f>
        <v>0</v>
      </c>
      <c r="AG193" s="89">
        <f>AF192*N(Crédits!$D$8)/12</f>
        <v>0</v>
      </c>
      <c r="AH193" s="99">
        <f t="shared" si="20"/>
        <v>0</v>
      </c>
      <c r="AI193" s="99">
        <f>AH193*N(Crédits!$D$9)/12</f>
        <v>0</v>
      </c>
      <c r="AJ193" s="99">
        <f>MIN(N(Crédits!$E$9),AH193+AI193)</f>
        <v>0</v>
      </c>
      <c r="AK193" s="99">
        <f t="shared" si="8"/>
        <v>0</v>
      </c>
      <c r="AL193" s="100">
        <f>IF(Crédits!$K$9="",0,MAX(0,MIN(AK193,Plan!$L$195-(IF(Crédits!$K$5="",0,IF(Crédits!$K$5&lt;Crédits!$K$9,E193,0))+IF(Crédits!$K$6="",0,IF(Crédits!$K$6&lt;Crédits!$K$9,M193,0))+IF(Crédits!$K$7="",0,IF(Crédits!$K$7&lt;Crédits!$K$9,U193,0))+IF(Crédits!$K$8="",0,IF(Crédits!$K$8&lt;Crédits!$K$9,AC193,0))+IF(Crédits!$K$10="",0,IF(Crédits!$K$10&lt;Crédits!$K$9,AS193,0))))))</f>
        <v>0</v>
      </c>
      <c r="AM193" s="101">
        <f t="shared" si="9"/>
        <v>0</v>
      </c>
      <c r="AN193" s="88">
        <f>ROUND(AN192+AO193-MIN(N(Crédits!$E$9),AN192+AO193),2)</f>
        <v>0</v>
      </c>
      <c r="AO193" s="89">
        <f>AN192*N(Crédits!$D$9)/12</f>
        <v>0</v>
      </c>
      <c r="AP193" s="102">
        <f t="shared" si="21"/>
        <v>0</v>
      </c>
      <c r="AQ193" s="102">
        <f>AP193*N(Crédits!$D$10)/12</f>
        <v>0</v>
      </c>
      <c r="AR193" s="102">
        <f>MIN(N(Crédits!$E$10),AP193+AQ193)</f>
        <v>0</v>
      </c>
      <c r="AS193" s="102">
        <f t="shared" si="10"/>
        <v>0</v>
      </c>
      <c r="AT193" s="103">
        <f>IF(Crédits!$K$10="",0,MAX(0,MIN(AS193,Plan!$L$195-(IF(Crédits!$K$5="",0,IF(Crédits!$K$5&lt;Crédits!$K$10,E193,0))+IF(Crédits!$K$6="",0,IF(Crédits!$K$6&lt;Crédits!$K$10,M193,0))+IF(Crédits!$K$7="",0,IF(Crédits!$K$7&lt;Crédits!$K$10,U193,0))+IF(Crédits!$K$8="",0,IF(Crédits!$K$8&lt;Crédits!$K$10,AC193,0))+IF(Crédits!$K$9="",0,IF(Crédits!$K$9&lt;Crédits!$K$10,AK193,0))))))</f>
        <v>0</v>
      </c>
      <c r="AU193" s="104">
        <f t="shared" si="11"/>
        <v>0</v>
      </c>
      <c r="AV193" s="88">
        <f>ROUND(AV192+AW193-MIN(N(Crédits!$E$10),AV192+AW193),2)</f>
        <v>0</v>
      </c>
      <c r="AW193" s="89">
        <f>AV192*N(Crédits!$D$10)/12</f>
        <v>0</v>
      </c>
      <c r="AX193" s="105">
        <f t="shared" si="12"/>
        <v>0</v>
      </c>
      <c r="AY193" s="105">
        <f t="shared" ref="AY193:AZ193" si="211">F193+N193+V193+AD193+AL193+AT193</f>
        <v>0</v>
      </c>
      <c r="AZ193" s="105">
        <f t="shared" si="211"/>
        <v>0</v>
      </c>
      <c r="BA193" s="105">
        <f t="shared" si="14"/>
        <v>0</v>
      </c>
      <c r="BB193" s="105">
        <f t="shared" si="15"/>
        <v>0</v>
      </c>
    </row>
    <row r="194" spans="1:54" ht="15" customHeight="1" x14ac:dyDescent="0.25">
      <c r="A194" s="2">
        <v>192</v>
      </c>
      <c r="B194" s="83">
        <f t="shared" si="16"/>
        <v>0</v>
      </c>
      <c r="C194" s="83">
        <f>B194*N(Crédits!$D$5)/12</f>
        <v>0</v>
      </c>
      <c r="D194" s="83">
        <f>MIN(N(Crédits!$E$5),B194+C194)</f>
        <v>0</v>
      </c>
      <c r="E194" s="83">
        <f t="shared" si="0"/>
        <v>0</v>
      </c>
      <c r="F194" s="86">
        <f>IF(Crédits!$K$5="",0,MAX(0,MIN(E194,Plan!$L$196-(IF(Crédits!$K$6="",0,IF(Crédits!$K$6&lt;Crédits!$K$5,M194,0))+IF(Crédits!$K$7="",0,IF(Crédits!$K$7&lt;Crédits!$K$5,U194,0))+IF(Crédits!$K$8="",0,IF(Crédits!$K$8&lt;Crédits!$K$5,AC194,0))+IF(Crédits!$K$9="",0,IF(Crédits!$K$9&lt;Crédits!$K$5,AK194,0))+IF(Crédits!$K$10="",0,IF(Crédits!$K$10&lt;Crédits!$K$5,AS194,0))))))</f>
        <v>0</v>
      </c>
      <c r="G194" s="87">
        <f t="shared" si="1"/>
        <v>0</v>
      </c>
      <c r="H194" s="88">
        <f>ROUND(H193+I194-MIN(N(Crédits!$E$5),H193+I194),2)</f>
        <v>0</v>
      </c>
      <c r="I194" s="89">
        <f>H193*N(Crédits!$D$5)/12</f>
        <v>0</v>
      </c>
      <c r="J194" s="90">
        <f t="shared" si="17"/>
        <v>0</v>
      </c>
      <c r="K194" s="90">
        <f>J194*N(Crédits!$D$6)/12</f>
        <v>0</v>
      </c>
      <c r="L194" s="90">
        <f>MIN(N(Crédits!$E$6),J194+K194)</f>
        <v>0</v>
      </c>
      <c r="M194" s="90">
        <f t="shared" si="2"/>
        <v>0</v>
      </c>
      <c r="N194" s="91">
        <f>IF(Crédits!$K$6="",0,MAX(0,MIN(M194,Plan!$L$196-(IF(Crédits!$K$5="",0,IF(Crédits!$K$5&lt;Crédits!$K$6,E194,0))+IF(Crédits!$K$7="",0,IF(Crédits!$K$7&lt;Crédits!$K$6,U194,0))+IF(Crédits!$K$8="",0,IF(Crédits!$K$8&lt;Crédits!$K$6,AC194,0))+IF(Crédits!$K$9="",0,IF(Crédits!$K$9&lt;Crédits!$K$6,AK194,0))+IF(Crédits!$K$10="",0,IF(Crédits!$K$10&lt;Crédits!$K$6,AS194,0))))))</f>
        <v>0</v>
      </c>
      <c r="O194" s="92">
        <f t="shared" si="3"/>
        <v>0</v>
      </c>
      <c r="P194" s="88">
        <f>ROUND(P193+Q194-MIN(N(Crédits!$E$6),P193+Q194),2)</f>
        <v>0</v>
      </c>
      <c r="Q194" s="89">
        <f>P193*N(Crédits!$D$6)/12</f>
        <v>0</v>
      </c>
      <c r="R194" s="93">
        <f t="shared" si="18"/>
        <v>0</v>
      </c>
      <c r="S194" s="93">
        <f>R194*N(Crédits!$D$7)/12</f>
        <v>0</v>
      </c>
      <c r="T194" s="93">
        <f>MIN(N(Crédits!$E$7),R194+S194)</f>
        <v>0</v>
      </c>
      <c r="U194" s="93">
        <f t="shared" si="4"/>
        <v>0</v>
      </c>
      <c r="V194" s="94">
        <f>IF(Crédits!$K$7="",0,MAX(0,MIN(U194,Plan!$L$196-(IF(Crédits!$K$5="",0,IF(Crédits!$K$5&lt;Crédits!$K$7,E194,0))+IF(Crédits!$K$6="",0,IF(Crédits!$K$6&lt;Crédits!$K$7,M194,0))+IF(Crédits!$K$8="",0,IF(Crédits!$K$8&lt;Crédits!$K$7,AC194,0))+IF(Crédits!$K$9="",0,IF(Crédits!$K$9&lt;Crédits!$K$7,AK194,0))+IF(Crédits!$K$10="",0,IF(Crédits!$K$10&lt;Crédits!$K$7,AS194,0))))))</f>
        <v>0</v>
      </c>
      <c r="W194" s="95">
        <f t="shared" si="5"/>
        <v>0</v>
      </c>
      <c r="X194" s="88">
        <f>ROUND(X193+Y194-MIN(N(Crédits!$E$7),X193+Y194),2)</f>
        <v>0</v>
      </c>
      <c r="Y194" s="89">
        <f>X193*N(Crédits!$D$7)/12</f>
        <v>0</v>
      </c>
      <c r="Z194" s="96">
        <f t="shared" si="19"/>
        <v>0</v>
      </c>
      <c r="AA194" s="96">
        <f>Z194*N(Crédits!$D$8)/12</f>
        <v>0</v>
      </c>
      <c r="AB194" s="96">
        <f>MIN(N(Crédits!$E$8),Z194+AA194)</f>
        <v>0</v>
      </c>
      <c r="AC194" s="96">
        <f t="shared" si="6"/>
        <v>0</v>
      </c>
      <c r="AD194" s="97">
        <f>IF(Crédits!$K$8="",0,MAX(0,MIN(AC194,Plan!$L$196-(IF(Crédits!$K$5="",0,IF(Crédits!$K$5&lt;Crédits!$K$8,E194,0))+IF(Crédits!$K$6="",0,IF(Crédits!$K$6&lt;Crédits!$K$8,M194,0))+IF(Crédits!$K$7="",0,IF(Crédits!$K$7&lt;Crédits!$K$8,U194,0))+IF(Crédits!$K$9="",0,IF(Crédits!$K$9&lt;Crédits!$K$8,AK194,0))+IF(Crédits!$K$10="",0,IF(Crédits!$K$10&lt;Crédits!$K$8,AS194,0))))))</f>
        <v>0</v>
      </c>
      <c r="AE194" s="98">
        <f t="shared" si="7"/>
        <v>0</v>
      </c>
      <c r="AF194" s="88">
        <f>ROUND(AF193+AG194-MIN(N(Crédits!$E$8),AF193+AG194),2)</f>
        <v>0</v>
      </c>
      <c r="AG194" s="89">
        <f>AF193*N(Crédits!$D$8)/12</f>
        <v>0</v>
      </c>
      <c r="AH194" s="99">
        <f t="shared" si="20"/>
        <v>0</v>
      </c>
      <c r="AI194" s="99">
        <f>AH194*N(Crédits!$D$9)/12</f>
        <v>0</v>
      </c>
      <c r="AJ194" s="99">
        <f>MIN(N(Crédits!$E$9),AH194+AI194)</f>
        <v>0</v>
      </c>
      <c r="AK194" s="99">
        <f t="shared" si="8"/>
        <v>0</v>
      </c>
      <c r="AL194" s="100">
        <f>IF(Crédits!$K$9="",0,MAX(0,MIN(AK194,Plan!$L$196-(IF(Crédits!$K$5="",0,IF(Crédits!$K$5&lt;Crédits!$K$9,E194,0))+IF(Crédits!$K$6="",0,IF(Crédits!$K$6&lt;Crédits!$K$9,M194,0))+IF(Crédits!$K$7="",0,IF(Crédits!$K$7&lt;Crédits!$K$9,U194,0))+IF(Crédits!$K$8="",0,IF(Crédits!$K$8&lt;Crédits!$K$9,AC194,0))+IF(Crédits!$K$10="",0,IF(Crédits!$K$10&lt;Crédits!$K$9,AS194,0))))))</f>
        <v>0</v>
      </c>
      <c r="AM194" s="101">
        <f t="shared" si="9"/>
        <v>0</v>
      </c>
      <c r="AN194" s="88">
        <f>ROUND(AN193+AO194-MIN(N(Crédits!$E$9),AN193+AO194),2)</f>
        <v>0</v>
      </c>
      <c r="AO194" s="89">
        <f>AN193*N(Crédits!$D$9)/12</f>
        <v>0</v>
      </c>
      <c r="AP194" s="102">
        <f t="shared" si="21"/>
        <v>0</v>
      </c>
      <c r="AQ194" s="102">
        <f>AP194*N(Crédits!$D$10)/12</f>
        <v>0</v>
      </c>
      <c r="AR194" s="102">
        <f>MIN(N(Crédits!$E$10),AP194+AQ194)</f>
        <v>0</v>
      </c>
      <c r="AS194" s="102">
        <f t="shared" si="10"/>
        <v>0</v>
      </c>
      <c r="AT194" s="103">
        <f>IF(Crédits!$K$10="",0,MAX(0,MIN(AS194,Plan!$L$196-(IF(Crédits!$K$5="",0,IF(Crédits!$K$5&lt;Crédits!$K$10,E194,0))+IF(Crédits!$K$6="",0,IF(Crédits!$K$6&lt;Crédits!$K$10,M194,0))+IF(Crédits!$K$7="",0,IF(Crédits!$K$7&lt;Crédits!$K$10,U194,0))+IF(Crédits!$K$8="",0,IF(Crédits!$K$8&lt;Crédits!$K$10,AC194,0))+IF(Crédits!$K$9="",0,IF(Crédits!$K$9&lt;Crédits!$K$10,AK194,0))))))</f>
        <v>0</v>
      </c>
      <c r="AU194" s="104">
        <f t="shared" si="11"/>
        <v>0</v>
      </c>
      <c r="AV194" s="88">
        <f>ROUND(AV193+AW194-MIN(N(Crédits!$E$10),AV193+AW194),2)</f>
        <v>0</v>
      </c>
      <c r="AW194" s="89">
        <f>AV193*N(Crédits!$D$10)/12</f>
        <v>0</v>
      </c>
      <c r="AX194" s="105">
        <f t="shared" si="12"/>
        <v>0</v>
      </c>
      <c r="AY194" s="105">
        <f t="shared" ref="AY194:AZ194" si="212">F194+N194+V194+AD194+AL194+AT194</f>
        <v>0</v>
      </c>
      <c r="AZ194" s="105">
        <f t="shared" si="212"/>
        <v>0</v>
      </c>
      <c r="BA194" s="105">
        <f t="shared" si="14"/>
        <v>0</v>
      </c>
      <c r="BB194" s="105">
        <f t="shared" si="15"/>
        <v>0</v>
      </c>
    </row>
    <row r="195" spans="1:54" ht="15" customHeight="1" x14ac:dyDescent="0.25">
      <c r="A195" s="2">
        <v>193</v>
      </c>
      <c r="B195" s="83">
        <f t="shared" si="16"/>
        <v>0</v>
      </c>
      <c r="C195" s="83">
        <f>B195*N(Crédits!$D$5)/12</f>
        <v>0</v>
      </c>
      <c r="D195" s="83">
        <f>MIN(N(Crédits!$E$5),B195+C195)</f>
        <v>0</v>
      </c>
      <c r="E195" s="83">
        <f t="shared" si="0"/>
        <v>0</v>
      </c>
      <c r="F195" s="86">
        <f>IF(Crédits!$K$5="",0,MAX(0,MIN(E195,Plan!$L$197-(IF(Crédits!$K$6="",0,IF(Crédits!$K$6&lt;Crédits!$K$5,M195,0))+IF(Crédits!$K$7="",0,IF(Crédits!$K$7&lt;Crédits!$K$5,U195,0))+IF(Crédits!$K$8="",0,IF(Crédits!$K$8&lt;Crédits!$K$5,AC195,0))+IF(Crédits!$K$9="",0,IF(Crédits!$K$9&lt;Crédits!$K$5,AK195,0))+IF(Crédits!$K$10="",0,IF(Crédits!$K$10&lt;Crédits!$K$5,AS195,0))))))</f>
        <v>0</v>
      </c>
      <c r="G195" s="87">
        <f t="shared" si="1"/>
        <v>0</v>
      </c>
      <c r="H195" s="88">
        <f>ROUND(H194+I195-MIN(N(Crédits!$E$5),H194+I195),2)</f>
        <v>0</v>
      </c>
      <c r="I195" s="89">
        <f>H194*N(Crédits!$D$5)/12</f>
        <v>0</v>
      </c>
      <c r="J195" s="90">
        <f t="shared" si="17"/>
        <v>0</v>
      </c>
      <c r="K195" s="90">
        <f>J195*N(Crédits!$D$6)/12</f>
        <v>0</v>
      </c>
      <c r="L195" s="90">
        <f>MIN(N(Crédits!$E$6),J195+K195)</f>
        <v>0</v>
      </c>
      <c r="M195" s="90">
        <f t="shared" si="2"/>
        <v>0</v>
      </c>
      <c r="N195" s="91">
        <f>IF(Crédits!$K$6="",0,MAX(0,MIN(M195,Plan!$L$197-(IF(Crédits!$K$5="",0,IF(Crédits!$K$5&lt;Crédits!$K$6,E195,0))+IF(Crédits!$K$7="",0,IF(Crédits!$K$7&lt;Crédits!$K$6,U195,0))+IF(Crédits!$K$8="",0,IF(Crédits!$K$8&lt;Crédits!$K$6,AC195,0))+IF(Crédits!$K$9="",0,IF(Crédits!$K$9&lt;Crédits!$K$6,AK195,0))+IF(Crédits!$K$10="",0,IF(Crédits!$K$10&lt;Crédits!$K$6,AS195,0))))))</f>
        <v>0</v>
      </c>
      <c r="O195" s="92">
        <f t="shared" si="3"/>
        <v>0</v>
      </c>
      <c r="P195" s="88">
        <f>ROUND(P194+Q195-MIN(N(Crédits!$E$6),P194+Q195),2)</f>
        <v>0</v>
      </c>
      <c r="Q195" s="89">
        <f>P194*N(Crédits!$D$6)/12</f>
        <v>0</v>
      </c>
      <c r="R195" s="93">
        <f t="shared" si="18"/>
        <v>0</v>
      </c>
      <c r="S195" s="93">
        <f>R195*N(Crédits!$D$7)/12</f>
        <v>0</v>
      </c>
      <c r="T195" s="93">
        <f>MIN(N(Crédits!$E$7),R195+S195)</f>
        <v>0</v>
      </c>
      <c r="U195" s="93">
        <f t="shared" si="4"/>
        <v>0</v>
      </c>
      <c r="V195" s="94">
        <f>IF(Crédits!$K$7="",0,MAX(0,MIN(U195,Plan!$L$197-(IF(Crédits!$K$5="",0,IF(Crédits!$K$5&lt;Crédits!$K$7,E195,0))+IF(Crédits!$K$6="",0,IF(Crédits!$K$6&lt;Crédits!$K$7,M195,0))+IF(Crédits!$K$8="",0,IF(Crédits!$K$8&lt;Crédits!$K$7,AC195,0))+IF(Crédits!$K$9="",0,IF(Crédits!$K$9&lt;Crédits!$K$7,AK195,0))+IF(Crédits!$K$10="",0,IF(Crédits!$K$10&lt;Crédits!$K$7,AS195,0))))))</f>
        <v>0</v>
      </c>
      <c r="W195" s="95">
        <f t="shared" si="5"/>
        <v>0</v>
      </c>
      <c r="X195" s="88">
        <f>ROUND(X194+Y195-MIN(N(Crédits!$E$7),X194+Y195),2)</f>
        <v>0</v>
      </c>
      <c r="Y195" s="89">
        <f>X194*N(Crédits!$D$7)/12</f>
        <v>0</v>
      </c>
      <c r="Z195" s="96">
        <f t="shared" si="19"/>
        <v>0</v>
      </c>
      <c r="AA195" s="96">
        <f>Z195*N(Crédits!$D$8)/12</f>
        <v>0</v>
      </c>
      <c r="AB195" s="96">
        <f>MIN(N(Crédits!$E$8),Z195+AA195)</f>
        <v>0</v>
      </c>
      <c r="AC195" s="96">
        <f t="shared" si="6"/>
        <v>0</v>
      </c>
      <c r="AD195" s="97">
        <f>IF(Crédits!$K$8="",0,MAX(0,MIN(AC195,Plan!$L$197-(IF(Crédits!$K$5="",0,IF(Crédits!$K$5&lt;Crédits!$K$8,E195,0))+IF(Crédits!$K$6="",0,IF(Crédits!$K$6&lt;Crédits!$K$8,M195,0))+IF(Crédits!$K$7="",0,IF(Crédits!$K$7&lt;Crédits!$K$8,U195,0))+IF(Crédits!$K$9="",0,IF(Crédits!$K$9&lt;Crédits!$K$8,AK195,0))+IF(Crédits!$K$10="",0,IF(Crédits!$K$10&lt;Crédits!$K$8,AS195,0))))))</f>
        <v>0</v>
      </c>
      <c r="AE195" s="98">
        <f t="shared" si="7"/>
        <v>0</v>
      </c>
      <c r="AF195" s="88">
        <f>ROUND(AF194+AG195-MIN(N(Crédits!$E$8),AF194+AG195),2)</f>
        <v>0</v>
      </c>
      <c r="AG195" s="89">
        <f>AF194*N(Crédits!$D$8)/12</f>
        <v>0</v>
      </c>
      <c r="AH195" s="99">
        <f t="shared" si="20"/>
        <v>0</v>
      </c>
      <c r="AI195" s="99">
        <f>AH195*N(Crédits!$D$9)/12</f>
        <v>0</v>
      </c>
      <c r="AJ195" s="99">
        <f>MIN(N(Crédits!$E$9),AH195+AI195)</f>
        <v>0</v>
      </c>
      <c r="AK195" s="99">
        <f t="shared" si="8"/>
        <v>0</v>
      </c>
      <c r="AL195" s="100">
        <f>IF(Crédits!$K$9="",0,MAX(0,MIN(AK195,Plan!$L$197-(IF(Crédits!$K$5="",0,IF(Crédits!$K$5&lt;Crédits!$K$9,E195,0))+IF(Crédits!$K$6="",0,IF(Crédits!$K$6&lt;Crédits!$K$9,M195,0))+IF(Crédits!$K$7="",0,IF(Crédits!$K$7&lt;Crédits!$K$9,U195,0))+IF(Crédits!$K$8="",0,IF(Crédits!$K$8&lt;Crédits!$K$9,AC195,0))+IF(Crédits!$K$10="",0,IF(Crédits!$K$10&lt;Crédits!$K$9,AS195,0))))))</f>
        <v>0</v>
      </c>
      <c r="AM195" s="101">
        <f t="shared" si="9"/>
        <v>0</v>
      </c>
      <c r="AN195" s="88">
        <f>ROUND(AN194+AO195-MIN(N(Crédits!$E$9),AN194+AO195),2)</f>
        <v>0</v>
      </c>
      <c r="AO195" s="89">
        <f>AN194*N(Crédits!$D$9)/12</f>
        <v>0</v>
      </c>
      <c r="AP195" s="102">
        <f t="shared" si="21"/>
        <v>0</v>
      </c>
      <c r="AQ195" s="102">
        <f>AP195*N(Crédits!$D$10)/12</f>
        <v>0</v>
      </c>
      <c r="AR195" s="102">
        <f>MIN(N(Crédits!$E$10),AP195+AQ195)</f>
        <v>0</v>
      </c>
      <c r="AS195" s="102">
        <f t="shared" si="10"/>
        <v>0</v>
      </c>
      <c r="AT195" s="103">
        <f>IF(Crédits!$K$10="",0,MAX(0,MIN(AS195,Plan!$L$197-(IF(Crédits!$K$5="",0,IF(Crédits!$K$5&lt;Crédits!$K$10,E195,0))+IF(Crédits!$K$6="",0,IF(Crédits!$K$6&lt;Crédits!$K$10,M195,0))+IF(Crédits!$K$7="",0,IF(Crédits!$K$7&lt;Crédits!$K$10,U195,0))+IF(Crédits!$K$8="",0,IF(Crédits!$K$8&lt;Crédits!$K$10,AC195,0))+IF(Crédits!$K$9="",0,IF(Crédits!$K$9&lt;Crédits!$K$10,AK195,0))))))</f>
        <v>0</v>
      </c>
      <c r="AU195" s="104">
        <f t="shared" si="11"/>
        <v>0</v>
      </c>
      <c r="AV195" s="88">
        <f>ROUND(AV194+AW195-MIN(N(Crédits!$E$10),AV194+AW195),2)</f>
        <v>0</v>
      </c>
      <c r="AW195" s="89">
        <f>AV194*N(Crédits!$D$10)/12</f>
        <v>0</v>
      </c>
      <c r="AX195" s="105">
        <f t="shared" si="12"/>
        <v>0</v>
      </c>
      <c r="AY195" s="105">
        <f t="shared" ref="AY195:AZ195" si="213">F195+N195+V195+AD195+AL195+AT195</f>
        <v>0</v>
      </c>
      <c r="AZ195" s="105">
        <f t="shared" si="213"/>
        <v>0</v>
      </c>
      <c r="BA195" s="105">
        <f t="shared" si="14"/>
        <v>0</v>
      </c>
      <c r="BB195" s="105">
        <f t="shared" si="15"/>
        <v>0</v>
      </c>
    </row>
    <row r="196" spans="1:54" ht="15" customHeight="1" x14ac:dyDescent="0.25">
      <c r="A196" s="2">
        <v>194</v>
      </c>
      <c r="B196" s="83">
        <f t="shared" si="16"/>
        <v>0</v>
      </c>
      <c r="C196" s="83">
        <f>B196*N(Crédits!$D$5)/12</f>
        <v>0</v>
      </c>
      <c r="D196" s="83">
        <f>MIN(N(Crédits!$E$5),B196+C196)</f>
        <v>0</v>
      </c>
      <c r="E196" s="83">
        <f t="shared" si="0"/>
        <v>0</v>
      </c>
      <c r="F196" s="86">
        <f>IF(Crédits!$K$5="",0,MAX(0,MIN(E196,Plan!$L$198-(IF(Crédits!$K$6="",0,IF(Crédits!$K$6&lt;Crédits!$K$5,M196,0))+IF(Crédits!$K$7="",0,IF(Crédits!$K$7&lt;Crédits!$K$5,U196,0))+IF(Crédits!$K$8="",0,IF(Crédits!$K$8&lt;Crédits!$K$5,AC196,0))+IF(Crédits!$K$9="",0,IF(Crédits!$K$9&lt;Crédits!$K$5,AK196,0))+IF(Crédits!$K$10="",0,IF(Crédits!$K$10&lt;Crédits!$K$5,AS196,0))))))</f>
        <v>0</v>
      </c>
      <c r="G196" s="87">
        <f t="shared" si="1"/>
        <v>0</v>
      </c>
      <c r="H196" s="88">
        <f>ROUND(H195+I196-MIN(N(Crédits!$E$5),H195+I196),2)</f>
        <v>0</v>
      </c>
      <c r="I196" s="89">
        <f>H195*N(Crédits!$D$5)/12</f>
        <v>0</v>
      </c>
      <c r="J196" s="90">
        <f t="shared" si="17"/>
        <v>0</v>
      </c>
      <c r="K196" s="90">
        <f>J196*N(Crédits!$D$6)/12</f>
        <v>0</v>
      </c>
      <c r="L196" s="90">
        <f>MIN(N(Crédits!$E$6),J196+K196)</f>
        <v>0</v>
      </c>
      <c r="M196" s="90">
        <f t="shared" si="2"/>
        <v>0</v>
      </c>
      <c r="N196" s="91">
        <f>IF(Crédits!$K$6="",0,MAX(0,MIN(M196,Plan!$L$198-(IF(Crédits!$K$5="",0,IF(Crédits!$K$5&lt;Crédits!$K$6,E196,0))+IF(Crédits!$K$7="",0,IF(Crédits!$K$7&lt;Crédits!$K$6,U196,0))+IF(Crédits!$K$8="",0,IF(Crédits!$K$8&lt;Crédits!$K$6,AC196,0))+IF(Crédits!$K$9="",0,IF(Crédits!$K$9&lt;Crédits!$K$6,AK196,0))+IF(Crédits!$K$10="",0,IF(Crédits!$K$10&lt;Crédits!$K$6,AS196,0))))))</f>
        <v>0</v>
      </c>
      <c r="O196" s="92">
        <f t="shared" si="3"/>
        <v>0</v>
      </c>
      <c r="P196" s="88">
        <f>ROUND(P195+Q196-MIN(N(Crédits!$E$6),P195+Q196),2)</f>
        <v>0</v>
      </c>
      <c r="Q196" s="89">
        <f>P195*N(Crédits!$D$6)/12</f>
        <v>0</v>
      </c>
      <c r="R196" s="93">
        <f t="shared" si="18"/>
        <v>0</v>
      </c>
      <c r="S196" s="93">
        <f>R196*N(Crédits!$D$7)/12</f>
        <v>0</v>
      </c>
      <c r="T196" s="93">
        <f>MIN(N(Crédits!$E$7),R196+S196)</f>
        <v>0</v>
      </c>
      <c r="U196" s="93">
        <f t="shared" si="4"/>
        <v>0</v>
      </c>
      <c r="V196" s="94">
        <f>IF(Crédits!$K$7="",0,MAX(0,MIN(U196,Plan!$L$198-(IF(Crédits!$K$5="",0,IF(Crédits!$K$5&lt;Crédits!$K$7,E196,0))+IF(Crédits!$K$6="",0,IF(Crédits!$K$6&lt;Crédits!$K$7,M196,0))+IF(Crédits!$K$8="",0,IF(Crédits!$K$8&lt;Crédits!$K$7,AC196,0))+IF(Crédits!$K$9="",0,IF(Crédits!$K$9&lt;Crédits!$K$7,AK196,0))+IF(Crédits!$K$10="",0,IF(Crédits!$K$10&lt;Crédits!$K$7,AS196,0))))))</f>
        <v>0</v>
      </c>
      <c r="W196" s="95">
        <f t="shared" si="5"/>
        <v>0</v>
      </c>
      <c r="X196" s="88">
        <f>ROUND(X195+Y196-MIN(N(Crédits!$E$7),X195+Y196),2)</f>
        <v>0</v>
      </c>
      <c r="Y196" s="89">
        <f>X195*N(Crédits!$D$7)/12</f>
        <v>0</v>
      </c>
      <c r="Z196" s="96">
        <f t="shared" si="19"/>
        <v>0</v>
      </c>
      <c r="AA196" s="96">
        <f>Z196*N(Crédits!$D$8)/12</f>
        <v>0</v>
      </c>
      <c r="AB196" s="96">
        <f>MIN(N(Crédits!$E$8),Z196+AA196)</f>
        <v>0</v>
      </c>
      <c r="AC196" s="96">
        <f t="shared" si="6"/>
        <v>0</v>
      </c>
      <c r="AD196" s="97">
        <f>IF(Crédits!$K$8="",0,MAX(0,MIN(AC196,Plan!$L$198-(IF(Crédits!$K$5="",0,IF(Crédits!$K$5&lt;Crédits!$K$8,E196,0))+IF(Crédits!$K$6="",0,IF(Crédits!$K$6&lt;Crédits!$K$8,M196,0))+IF(Crédits!$K$7="",0,IF(Crédits!$K$7&lt;Crédits!$K$8,U196,0))+IF(Crédits!$K$9="",0,IF(Crédits!$K$9&lt;Crédits!$K$8,AK196,0))+IF(Crédits!$K$10="",0,IF(Crédits!$K$10&lt;Crédits!$K$8,AS196,0))))))</f>
        <v>0</v>
      </c>
      <c r="AE196" s="98">
        <f t="shared" si="7"/>
        <v>0</v>
      </c>
      <c r="AF196" s="88">
        <f>ROUND(AF195+AG196-MIN(N(Crédits!$E$8),AF195+AG196),2)</f>
        <v>0</v>
      </c>
      <c r="AG196" s="89">
        <f>AF195*N(Crédits!$D$8)/12</f>
        <v>0</v>
      </c>
      <c r="AH196" s="99">
        <f t="shared" si="20"/>
        <v>0</v>
      </c>
      <c r="AI196" s="99">
        <f>AH196*N(Crédits!$D$9)/12</f>
        <v>0</v>
      </c>
      <c r="AJ196" s="99">
        <f>MIN(N(Crédits!$E$9),AH196+AI196)</f>
        <v>0</v>
      </c>
      <c r="AK196" s="99">
        <f t="shared" si="8"/>
        <v>0</v>
      </c>
      <c r="AL196" s="100">
        <f>IF(Crédits!$K$9="",0,MAX(0,MIN(AK196,Plan!$L$198-(IF(Crédits!$K$5="",0,IF(Crédits!$K$5&lt;Crédits!$K$9,E196,0))+IF(Crédits!$K$6="",0,IF(Crédits!$K$6&lt;Crédits!$K$9,M196,0))+IF(Crédits!$K$7="",0,IF(Crédits!$K$7&lt;Crédits!$K$9,U196,0))+IF(Crédits!$K$8="",0,IF(Crédits!$K$8&lt;Crédits!$K$9,AC196,0))+IF(Crédits!$K$10="",0,IF(Crédits!$K$10&lt;Crédits!$K$9,AS196,0))))))</f>
        <v>0</v>
      </c>
      <c r="AM196" s="101">
        <f t="shared" si="9"/>
        <v>0</v>
      </c>
      <c r="AN196" s="88">
        <f>ROUND(AN195+AO196-MIN(N(Crédits!$E$9),AN195+AO196),2)</f>
        <v>0</v>
      </c>
      <c r="AO196" s="89">
        <f>AN195*N(Crédits!$D$9)/12</f>
        <v>0</v>
      </c>
      <c r="AP196" s="102">
        <f t="shared" si="21"/>
        <v>0</v>
      </c>
      <c r="AQ196" s="102">
        <f>AP196*N(Crédits!$D$10)/12</f>
        <v>0</v>
      </c>
      <c r="AR196" s="102">
        <f>MIN(N(Crédits!$E$10),AP196+AQ196)</f>
        <v>0</v>
      </c>
      <c r="AS196" s="102">
        <f t="shared" si="10"/>
        <v>0</v>
      </c>
      <c r="AT196" s="103">
        <f>IF(Crédits!$K$10="",0,MAX(0,MIN(AS196,Plan!$L$198-(IF(Crédits!$K$5="",0,IF(Crédits!$K$5&lt;Crédits!$K$10,E196,0))+IF(Crédits!$K$6="",0,IF(Crédits!$K$6&lt;Crédits!$K$10,M196,0))+IF(Crédits!$K$7="",0,IF(Crédits!$K$7&lt;Crédits!$K$10,U196,0))+IF(Crédits!$K$8="",0,IF(Crédits!$K$8&lt;Crédits!$K$10,AC196,0))+IF(Crédits!$K$9="",0,IF(Crédits!$K$9&lt;Crédits!$K$10,AK196,0))))))</f>
        <v>0</v>
      </c>
      <c r="AU196" s="104">
        <f t="shared" si="11"/>
        <v>0</v>
      </c>
      <c r="AV196" s="88">
        <f>ROUND(AV195+AW196-MIN(N(Crédits!$E$10),AV195+AW196),2)</f>
        <v>0</v>
      </c>
      <c r="AW196" s="89">
        <f>AV195*N(Crédits!$D$10)/12</f>
        <v>0</v>
      </c>
      <c r="AX196" s="105">
        <f t="shared" si="12"/>
        <v>0</v>
      </c>
      <c r="AY196" s="105">
        <f t="shared" ref="AY196:AZ196" si="214">F196+N196+V196+AD196+AL196+AT196</f>
        <v>0</v>
      </c>
      <c r="AZ196" s="105">
        <f t="shared" si="214"/>
        <v>0</v>
      </c>
      <c r="BA196" s="105">
        <f t="shared" si="14"/>
        <v>0</v>
      </c>
      <c r="BB196" s="105">
        <f t="shared" si="15"/>
        <v>0</v>
      </c>
    </row>
    <row r="197" spans="1:54" ht="15" customHeight="1" x14ac:dyDescent="0.25">
      <c r="A197" s="2">
        <v>195</v>
      </c>
      <c r="B197" s="83">
        <f t="shared" si="16"/>
        <v>0</v>
      </c>
      <c r="C197" s="83">
        <f>B197*N(Crédits!$D$5)/12</f>
        <v>0</v>
      </c>
      <c r="D197" s="83">
        <f>MIN(N(Crédits!$E$5),B197+C197)</f>
        <v>0</v>
      </c>
      <c r="E197" s="83">
        <f t="shared" si="0"/>
        <v>0</v>
      </c>
      <c r="F197" s="86">
        <f>IF(Crédits!$K$5="",0,MAX(0,MIN(E197,Plan!$L$199-(IF(Crédits!$K$6="",0,IF(Crédits!$K$6&lt;Crédits!$K$5,M197,0))+IF(Crédits!$K$7="",0,IF(Crédits!$K$7&lt;Crédits!$K$5,U197,0))+IF(Crédits!$K$8="",0,IF(Crédits!$K$8&lt;Crédits!$K$5,AC197,0))+IF(Crédits!$K$9="",0,IF(Crédits!$K$9&lt;Crédits!$K$5,AK197,0))+IF(Crédits!$K$10="",0,IF(Crédits!$K$10&lt;Crédits!$K$5,AS197,0))))))</f>
        <v>0</v>
      </c>
      <c r="G197" s="87">
        <f t="shared" si="1"/>
        <v>0</v>
      </c>
      <c r="H197" s="88">
        <f>ROUND(H196+I197-MIN(N(Crédits!$E$5),H196+I197),2)</f>
        <v>0</v>
      </c>
      <c r="I197" s="89">
        <f>H196*N(Crédits!$D$5)/12</f>
        <v>0</v>
      </c>
      <c r="J197" s="90">
        <f t="shared" si="17"/>
        <v>0</v>
      </c>
      <c r="K197" s="90">
        <f>J197*N(Crédits!$D$6)/12</f>
        <v>0</v>
      </c>
      <c r="L197" s="90">
        <f>MIN(N(Crédits!$E$6),J197+K197)</f>
        <v>0</v>
      </c>
      <c r="M197" s="90">
        <f t="shared" si="2"/>
        <v>0</v>
      </c>
      <c r="N197" s="91">
        <f>IF(Crédits!$K$6="",0,MAX(0,MIN(M197,Plan!$L$199-(IF(Crédits!$K$5="",0,IF(Crédits!$K$5&lt;Crédits!$K$6,E197,0))+IF(Crédits!$K$7="",0,IF(Crédits!$K$7&lt;Crédits!$K$6,U197,0))+IF(Crédits!$K$8="",0,IF(Crédits!$K$8&lt;Crédits!$K$6,AC197,0))+IF(Crédits!$K$9="",0,IF(Crédits!$K$9&lt;Crédits!$K$6,AK197,0))+IF(Crédits!$K$10="",0,IF(Crédits!$K$10&lt;Crédits!$K$6,AS197,0))))))</f>
        <v>0</v>
      </c>
      <c r="O197" s="92">
        <f t="shared" si="3"/>
        <v>0</v>
      </c>
      <c r="P197" s="88">
        <f>ROUND(P196+Q197-MIN(N(Crédits!$E$6),P196+Q197),2)</f>
        <v>0</v>
      </c>
      <c r="Q197" s="89">
        <f>P196*N(Crédits!$D$6)/12</f>
        <v>0</v>
      </c>
      <c r="R197" s="93">
        <f t="shared" si="18"/>
        <v>0</v>
      </c>
      <c r="S197" s="93">
        <f>R197*N(Crédits!$D$7)/12</f>
        <v>0</v>
      </c>
      <c r="T197" s="93">
        <f>MIN(N(Crédits!$E$7),R197+S197)</f>
        <v>0</v>
      </c>
      <c r="U197" s="93">
        <f t="shared" si="4"/>
        <v>0</v>
      </c>
      <c r="V197" s="94">
        <f>IF(Crédits!$K$7="",0,MAX(0,MIN(U197,Plan!$L$199-(IF(Crédits!$K$5="",0,IF(Crédits!$K$5&lt;Crédits!$K$7,E197,0))+IF(Crédits!$K$6="",0,IF(Crédits!$K$6&lt;Crédits!$K$7,M197,0))+IF(Crédits!$K$8="",0,IF(Crédits!$K$8&lt;Crédits!$K$7,AC197,0))+IF(Crédits!$K$9="",0,IF(Crédits!$K$9&lt;Crédits!$K$7,AK197,0))+IF(Crédits!$K$10="",0,IF(Crédits!$K$10&lt;Crédits!$K$7,AS197,0))))))</f>
        <v>0</v>
      </c>
      <c r="W197" s="95">
        <f t="shared" si="5"/>
        <v>0</v>
      </c>
      <c r="X197" s="88">
        <f>ROUND(X196+Y197-MIN(N(Crédits!$E$7),X196+Y197),2)</f>
        <v>0</v>
      </c>
      <c r="Y197" s="89">
        <f>X196*N(Crédits!$D$7)/12</f>
        <v>0</v>
      </c>
      <c r="Z197" s="96">
        <f t="shared" si="19"/>
        <v>0</v>
      </c>
      <c r="AA197" s="96">
        <f>Z197*N(Crédits!$D$8)/12</f>
        <v>0</v>
      </c>
      <c r="AB197" s="96">
        <f>MIN(N(Crédits!$E$8),Z197+AA197)</f>
        <v>0</v>
      </c>
      <c r="AC197" s="96">
        <f t="shared" si="6"/>
        <v>0</v>
      </c>
      <c r="AD197" s="97">
        <f>IF(Crédits!$K$8="",0,MAX(0,MIN(AC197,Plan!$L$199-(IF(Crédits!$K$5="",0,IF(Crédits!$K$5&lt;Crédits!$K$8,E197,0))+IF(Crédits!$K$6="",0,IF(Crédits!$K$6&lt;Crédits!$K$8,M197,0))+IF(Crédits!$K$7="",0,IF(Crédits!$K$7&lt;Crédits!$K$8,U197,0))+IF(Crédits!$K$9="",0,IF(Crédits!$K$9&lt;Crédits!$K$8,AK197,0))+IF(Crédits!$K$10="",0,IF(Crédits!$K$10&lt;Crédits!$K$8,AS197,0))))))</f>
        <v>0</v>
      </c>
      <c r="AE197" s="98">
        <f t="shared" si="7"/>
        <v>0</v>
      </c>
      <c r="AF197" s="88">
        <f>ROUND(AF196+AG197-MIN(N(Crédits!$E$8),AF196+AG197),2)</f>
        <v>0</v>
      </c>
      <c r="AG197" s="89">
        <f>AF196*N(Crédits!$D$8)/12</f>
        <v>0</v>
      </c>
      <c r="AH197" s="99">
        <f t="shared" si="20"/>
        <v>0</v>
      </c>
      <c r="AI197" s="99">
        <f>AH197*N(Crédits!$D$9)/12</f>
        <v>0</v>
      </c>
      <c r="AJ197" s="99">
        <f>MIN(N(Crédits!$E$9),AH197+AI197)</f>
        <v>0</v>
      </c>
      <c r="AK197" s="99">
        <f t="shared" si="8"/>
        <v>0</v>
      </c>
      <c r="AL197" s="100">
        <f>IF(Crédits!$K$9="",0,MAX(0,MIN(AK197,Plan!$L$199-(IF(Crédits!$K$5="",0,IF(Crédits!$K$5&lt;Crédits!$K$9,E197,0))+IF(Crédits!$K$6="",0,IF(Crédits!$K$6&lt;Crédits!$K$9,M197,0))+IF(Crédits!$K$7="",0,IF(Crédits!$K$7&lt;Crédits!$K$9,U197,0))+IF(Crédits!$K$8="",0,IF(Crédits!$K$8&lt;Crédits!$K$9,AC197,0))+IF(Crédits!$K$10="",0,IF(Crédits!$K$10&lt;Crédits!$K$9,AS197,0))))))</f>
        <v>0</v>
      </c>
      <c r="AM197" s="101">
        <f t="shared" si="9"/>
        <v>0</v>
      </c>
      <c r="AN197" s="88">
        <f>ROUND(AN196+AO197-MIN(N(Crédits!$E$9),AN196+AO197),2)</f>
        <v>0</v>
      </c>
      <c r="AO197" s="89">
        <f>AN196*N(Crédits!$D$9)/12</f>
        <v>0</v>
      </c>
      <c r="AP197" s="102">
        <f t="shared" si="21"/>
        <v>0</v>
      </c>
      <c r="AQ197" s="102">
        <f>AP197*N(Crédits!$D$10)/12</f>
        <v>0</v>
      </c>
      <c r="AR197" s="102">
        <f>MIN(N(Crédits!$E$10),AP197+AQ197)</f>
        <v>0</v>
      </c>
      <c r="AS197" s="102">
        <f t="shared" si="10"/>
        <v>0</v>
      </c>
      <c r="AT197" s="103">
        <f>IF(Crédits!$K$10="",0,MAX(0,MIN(AS197,Plan!$L$199-(IF(Crédits!$K$5="",0,IF(Crédits!$K$5&lt;Crédits!$K$10,E197,0))+IF(Crédits!$K$6="",0,IF(Crédits!$K$6&lt;Crédits!$K$10,M197,0))+IF(Crédits!$K$7="",0,IF(Crédits!$K$7&lt;Crédits!$K$10,U197,0))+IF(Crédits!$K$8="",0,IF(Crédits!$K$8&lt;Crédits!$K$10,AC197,0))+IF(Crédits!$K$9="",0,IF(Crédits!$K$9&lt;Crédits!$K$10,AK197,0))))))</f>
        <v>0</v>
      </c>
      <c r="AU197" s="104">
        <f t="shared" si="11"/>
        <v>0</v>
      </c>
      <c r="AV197" s="88">
        <f>ROUND(AV196+AW197-MIN(N(Crédits!$E$10),AV196+AW197),2)</f>
        <v>0</v>
      </c>
      <c r="AW197" s="89">
        <f>AV196*N(Crédits!$D$10)/12</f>
        <v>0</v>
      </c>
      <c r="AX197" s="105">
        <f t="shared" si="12"/>
        <v>0</v>
      </c>
      <c r="AY197" s="105">
        <f t="shared" ref="AY197:AZ197" si="215">F197+N197+V197+AD197+AL197+AT197</f>
        <v>0</v>
      </c>
      <c r="AZ197" s="105">
        <f t="shared" si="215"/>
        <v>0</v>
      </c>
      <c r="BA197" s="105">
        <f t="shared" si="14"/>
        <v>0</v>
      </c>
      <c r="BB197" s="105">
        <f t="shared" si="15"/>
        <v>0</v>
      </c>
    </row>
    <row r="198" spans="1:54" ht="15" customHeight="1" x14ac:dyDescent="0.25">
      <c r="A198" s="2">
        <v>196</v>
      </c>
      <c r="B198" s="83">
        <f t="shared" si="16"/>
        <v>0</v>
      </c>
      <c r="C198" s="83">
        <f>B198*N(Crédits!$D$5)/12</f>
        <v>0</v>
      </c>
      <c r="D198" s="83">
        <f>MIN(N(Crédits!$E$5),B198+C198)</f>
        <v>0</v>
      </c>
      <c r="E198" s="83">
        <f t="shared" si="0"/>
        <v>0</v>
      </c>
      <c r="F198" s="86">
        <f>IF(Crédits!$K$5="",0,MAX(0,MIN(E198,Plan!$L$200-(IF(Crédits!$K$6="",0,IF(Crédits!$K$6&lt;Crédits!$K$5,M198,0))+IF(Crédits!$K$7="",0,IF(Crédits!$K$7&lt;Crédits!$K$5,U198,0))+IF(Crédits!$K$8="",0,IF(Crédits!$K$8&lt;Crédits!$K$5,AC198,0))+IF(Crédits!$K$9="",0,IF(Crédits!$K$9&lt;Crédits!$K$5,AK198,0))+IF(Crédits!$K$10="",0,IF(Crédits!$K$10&lt;Crédits!$K$5,AS198,0))))))</f>
        <v>0</v>
      </c>
      <c r="G198" s="87">
        <f t="shared" si="1"/>
        <v>0</v>
      </c>
      <c r="H198" s="88">
        <f>ROUND(H197+I198-MIN(N(Crédits!$E$5),H197+I198),2)</f>
        <v>0</v>
      </c>
      <c r="I198" s="89">
        <f>H197*N(Crédits!$D$5)/12</f>
        <v>0</v>
      </c>
      <c r="J198" s="90">
        <f t="shared" si="17"/>
        <v>0</v>
      </c>
      <c r="K198" s="90">
        <f>J198*N(Crédits!$D$6)/12</f>
        <v>0</v>
      </c>
      <c r="L198" s="90">
        <f>MIN(N(Crédits!$E$6),J198+K198)</f>
        <v>0</v>
      </c>
      <c r="M198" s="90">
        <f t="shared" si="2"/>
        <v>0</v>
      </c>
      <c r="N198" s="91">
        <f>IF(Crédits!$K$6="",0,MAX(0,MIN(M198,Plan!$L$200-(IF(Crédits!$K$5="",0,IF(Crédits!$K$5&lt;Crédits!$K$6,E198,0))+IF(Crédits!$K$7="",0,IF(Crédits!$K$7&lt;Crédits!$K$6,U198,0))+IF(Crédits!$K$8="",0,IF(Crédits!$K$8&lt;Crédits!$K$6,AC198,0))+IF(Crédits!$K$9="",0,IF(Crédits!$K$9&lt;Crédits!$K$6,AK198,0))+IF(Crédits!$K$10="",0,IF(Crédits!$K$10&lt;Crédits!$K$6,AS198,0))))))</f>
        <v>0</v>
      </c>
      <c r="O198" s="92">
        <f t="shared" si="3"/>
        <v>0</v>
      </c>
      <c r="P198" s="88">
        <f>ROUND(P197+Q198-MIN(N(Crédits!$E$6),P197+Q198),2)</f>
        <v>0</v>
      </c>
      <c r="Q198" s="89">
        <f>P197*N(Crédits!$D$6)/12</f>
        <v>0</v>
      </c>
      <c r="R198" s="93">
        <f t="shared" si="18"/>
        <v>0</v>
      </c>
      <c r="S198" s="93">
        <f>R198*N(Crédits!$D$7)/12</f>
        <v>0</v>
      </c>
      <c r="T198" s="93">
        <f>MIN(N(Crédits!$E$7),R198+S198)</f>
        <v>0</v>
      </c>
      <c r="U198" s="93">
        <f t="shared" si="4"/>
        <v>0</v>
      </c>
      <c r="V198" s="94">
        <f>IF(Crédits!$K$7="",0,MAX(0,MIN(U198,Plan!$L$200-(IF(Crédits!$K$5="",0,IF(Crédits!$K$5&lt;Crédits!$K$7,E198,0))+IF(Crédits!$K$6="",0,IF(Crédits!$K$6&lt;Crédits!$K$7,M198,0))+IF(Crédits!$K$8="",0,IF(Crédits!$K$8&lt;Crédits!$K$7,AC198,0))+IF(Crédits!$K$9="",0,IF(Crédits!$K$9&lt;Crédits!$K$7,AK198,0))+IF(Crédits!$K$10="",0,IF(Crédits!$K$10&lt;Crédits!$K$7,AS198,0))))))</f>
        <v>0</v>
      </c>
      <c r="W198" s="95">
        <f t="shared" si="5"/>
        <v>0</v>
      </c>
      <c r="X198" s="88">
        <f>ROUND(X197+Y198-MIN(N(Crédits!$E$7),X197+Y198),2)</f>
        <v>0</v>
      </c>
      <c r="Y198" s="89">
        <f>X197*N(Crédits!$D$7)/12</f>
        <v>0</v>
      </c>
      <c r="Z198" s="96">
        <f t="shared" si="19"/>
        <v>0</v>
      </c>
      <c r="AA198" s="96">
        <f>Z198*N(Crédits!$D$8)/12</f>
        <v>0</v>
      </c>
      <c r="AB198" s="96">
        <f>MIN(N(Crédits!$E$8),Z198+AA198)</f>
        <v>0</v>
      </c>
      <c r="AC198" s="96">
        <f t="shared" si="6"/>
        <v>0</v>
      </c>
      <c r="AD198" s="97">
        <f>IF(Crédits!$K$8="",0,MAX(0,MIN(AC198,Plan!$L$200-(IF(Crédits!$K$5="",0,IF(Crédits!$K$5&lt;Crédits!$K$8,E198,0))+IF(Crédits!$K$6="",0,IF(Crédits!$K$6&lt;Crédits!$K$8,M198,0))+IF(Crédits!$K$7="",0,IF(Crédits!$K$7&lt;Crédits!$K$8,U198,0))+IF(Crédits!$K$9="",0,IF(Crédits!$K$9&lt;Crédits!$K$8,AK198,0))+IF(Crédits!$K$10="",0,IF(Crédits!$K$10&lt;Crédits!$K$8,AS198,0))))))</f>
        <v>0</v>
      </c>
      <c r="AE198" s="98">
        <f t="shared" si="7"/>
        <v>0</v>
      </c>
      <c r="AF198" s="88">
        <f>ROUND(AF197+AG198-MIN(N(Crédits!$E$8),AF197+AG198),2)</f>
        <v>0</v>
      </c>
      <c r="AG198" s="89">
        <f>AF197*N(Crédits!$D$8)/12</f>
        <v>0</v>
      </c>
      <c r="AH198" s="99">
        <f t="shared" si="20"/>
        <v>0</v>
      </c>
      <c r="AI198" s="99">
        <f>AH198*N(Crédits!$D$9)/12</f>
        <v>0</v>
      </c>
      <c r="AJ198" s="99">
        <f>MIN(N(Crédits!$E$9),AH198+AI198)</f>
        <v>0</v>
      </c>
      <c r="AK198" s="99">
        <f t="shared" si="8"/>
        <v>0</v>
      </c>
      <c r="AL198" s="100">
        <f>IF(Crédits!$K$9="",0,MAX(0,MIN(AK198,Plan!$L$200-(IF(Crédits!$K$5="",0,IF(Crédits!$K$5&lt;Crédits!$K$9,E198,0))+IF(Crédits!$K$6="",0,IF(Crédits!$K$6&lt;Crédits!$K$9,M198,0))+IF(Crédits!$K$7="",0,IF(Crédits!$K$7&lt;Crédits!$K$9,U198,0))+IF(Crédits!$K$8="",0,IF(Crédits!$K$8&lt;Crédits!$K$9,AC198,0))+IF(Crédits!$K$10="",0,IF(Crédits!$K$10&lt;Crédits!$K$9,AS198,0))))))</f>
        <v>0</v>
      </c>
      <c r="AM198" s="101">
        <f t="shared" si="9"/>
        <v>0</v>
      </c>
      <c r="AN198" s="88">
        <f>ROUND(AN197+AO198-MIN(N(Crédits!$E$9),AN197+AO198),2)</f>
        <v>0</v>
      </c>
      <c r="AO198" s="89">
        <f>AN197*N(Crédits!$D$9)/12</f>
        <v>0</v>
      </c>
      <c r="AP198" s="102">
        <f t="shared" si="21"/>
        <v>0</v>
      </c>
      <c r="AQ198" s="102">
        <f>AP198*N(Crédits!$D$10)/12</f>
        <v>0</v>
      </c>
      <c r="AR198" s="102">
        <f>MIN(N(Crédits!$E$10),AP198+AQ198)</f>
        <v>0</v>
      </c>
      <c r="AS198" s="102">
        <f t="shared" si="10"/>
        <v>0</v>
      </c>
      <c r="AT198" s="103">
        <f>IF(Crédits!$K$10="",0,MAX(0,MIN(AS198,Plan!$L$200-(IF(Crédits!$K$5="",0,IF(Crédits!$K$5&lt;Crédits!$K$10,E198,0))+IF(Crédits!$K$6="",0,IF(Crédits!$K$6&lt;Crédits!$K$10,M198,0))+IF(Crédits!$K$7="",0,IF(Crédits!$K$7&lt;Crédits!$K$10,U198,0))+IF(Crédits!$K$8="",0,IF(Crédits!$K$8&lt;Crédits!$K$10,AC198,0))+IF(Crédits!$K$9="",0,IF(Crédits!$K$9&lt;Crédits!$K$10,AK198,0))))))</f>
        <v>0</v>
      </c>
      <c r="AU198" s="104">
        <f t="shared" si="11"/>
        <v>0</v>
      </c>
      <c r="AV198" s="88">
        <f>ROUND(AV197+AW198-MIN(N(Crédits!$E$10),AV197+AW198),2)</f>
        <v>0</v>
      </c>
      <c r="AW198" s="89">
        <f>AV197*N(Crédits!$D$10)/12</f>
        <v>0</v>
      </c>
      <c r="AX198" s="105">
        <f t="shared" si="12"/>
        <v>0</v>
      </c>
      <c r="AY198" s="105">
        <f t="shared" ref="AY198:AZ198" si="216">F198+N198+V198+AD198+AL198+AT198</f>
        <v>0</v>
      </c>
      <c r="AZ198" s="105">
        <f t="shared" si="216"/>
        <v>0</v>
      </c>
      <c r="BA198" s="105">
        <f t="shared" si="14"/>
        <v>0</v>
      </c>
      <c r="BB198" s="105">
        <f t="shared" si="15"/>
        <v>0</v>
      </c>
    </row>
    <row r="199" spans="1:54" ht="15" customHeight="1" x14ac:dyDescent="0.25">
      <c r="A199" s="2">
        <v>197</v>
      </c>
      <c r="B199" s="83">
        <f t="shared" si="16"/>
        <v>0</v>
      </c>
      <c r="C199" s="83">
        <f>B199*N(Crédits!$D$5)/12</f>
        <v>0</v>
      </c>
      <c r="D199" s="83">
        <f>MIN(N(Crédits!$E$5),B199+C199)</f>
        <v>0</v>
      </c>
      <c r="E199" s="83">
        <f t="shared" si="0"/>
        <v>0</v>
      </c>
      <c r="F199" s="86">
        <f>IF(Crédits!$K$5="",0,MAX(0,MIN(E199,Plan!$L$201-(IF(Crédits!$K$6="",0,IF(Crédits!$K$6&lt;Crédits!$K$5,M199,0))+IF(Crédits!$K$7="",0,IF(Crédits!$K$7&lt;Crédits!$K$5,U199,0))+IF(Crédits!$K$8="",0,IF(Crédits!$K$8&lt;Crédits!$K$5,AC199,0))+IF(Crédits!$K$9="",0,IF(Crédits!$K$9&lt;Crédits!$K$5,AK199,0))+IF(Crédits!$K$10="",0,IF(Crédits!$K$10&lt;Crédits!$K$5,AS199,0))))))</f>
        <v>0</v>
      </c>
      <c r="G199" s="87">
        <f t="shared" si="1"/>
        <v>0</v>
      </c>
      <c r="H199" s="88">
        <f>ROUND(H198+I199-MIN(N(Crédits!$E$5),H198+I199),2)</f>
        <v>0</v>
      </c>
      <c r="I199" s="89">
        <f>H198*N(Crédits!$D$5)/12</f>
        <v>0</v>
      </c>
      <c r="J199" s="90">
        <f t="shared" si="17"/>
        <v>0</v>
      </c>
      <c r="K199" s="90">
        <f>J199*N(Crédits!$D$6)/12</f>
        <v>0</v>
      </c>
      <c r="L199" s="90">
        <f>MIN(N(Crédits!$E$6),J199+K199)</f>
        <v>0</v>
      </c>
      <c r="M199" s="90">
        <f t="shared" si="2"/>
        <v>0</v>
      </c>
      <c r="N199" s="91">
        <f>IF(Crédits!$K$6="",0,MAX(0,MIN(M199,Plan!$L$201-(IF(Crédits!$K$5="",0,IF(Crédits!$K$5&lt;Crédits!$K$6,E199,0))+IF(Crédits!$K$7="",0,IF(Crédits!$K$7&lt;Crédits!$K$6,U199,0))+IF(Crédits!$K$8="",0,IF(Crédits!$K$8&lt;Crédits!$K$6,AC199,0))+IF(Crédits!$K$9="",0,IF(Crédits!$K$9&lt;Crédits!$K$6,AK199,0))+IF(Crédits!$K$10="",0,IF(Crédits!$K$10&lt;Crédits!$K$6,AS199,0))))))</f>
        <v>0</v>
      </c>
      <c r="O199" s="92">
        <f t="shared" si="3"/>
        <v>0</v>
      </c>
      <c r="P199" s="88">
        <f>ROUND(P198+Q199-MIN(N(Crédits!$E$6),P198+Q199),2)</f>
        <v>0</v>
      </c>
      <c r="Q199" s="89">
        <f>P198*N(Crédits!$D$6)/12</f>
        <v>0</v>
      </c>
      <c r="R199" s="93">
        <f t="shared" si="18"/>
        <v>0</v>
      </c>
      <c r="S199" s="93">
        <f>R199*N(Crédits!$D$7)/12</f>
        <v>0</v>
      </c>
      <c r="T199" s="93">
        <f>MIN(N(Crédits!$E$7),R199+S199)</f>
        <v>0</v>
      </c>
      <c r="U199" s="93">
        <f t="shared" si="4"/>
        <v>0</v>
      </c>
      <c r="V199" s="94">
        <f>IF(Crédits!$K$7="",0,MAX(0,MIN(U199,Plan!$L$201-(IF(Crédits!$K$5="",0,IF(Crédits!$K$5&lt;Crédits!$K$7,E199,0))+IF(Crédits!$K$6="",0,IF(Crédits!$K$6&lt;Crédits!$K$7,M199,0))+IF(Crédits!$K$8="",0,IF(Crédits!$K$8&lt;Crédits!$K$7,AC199,0))+IF(Crédits!$K$9="",0,IF(Crédits!$K$9&lt;Crédits!$K$7,AK199,0))+IF(Crédits!$K$10="",0,IF(Crédits!$K$10&lt;Crédits!$K$7,AS199,0))))))</f>
        <v>0</v>
      </c>
      <c r="W199" s="95">
        <f t="shared" si="5"/>
        <v>0</v>
      </c>
      <c r="X199" s="88">
        <f>ROUND(X198+Y199-MIN(N(Crédits!$E$7),X198+Y199),2)</f>
        <v>0</v>
      </c>
      <c r="Y199" s="89">
        <f>X198*N(Crédits!$D$7)/12</f>
        <v>0</v>
      </c>
      <c r="Z199" s="96">
        <f t="shared" si="19"/>
        <v>0</v>
      </c>
      <c r="AA199" s="96">
        <f>Z199*N(Crédits!$D$8)/12</f>
        <v>0</v>
      </c>
      <c r="AB199" s="96">
        <f>MIN(N(Crédits!$E$8),Z199+AA199)</f>
        <v>0</v>
      </c>
      <c r="AC199" s="96">
        <f t="shared" si="6"/>
        <v>0</v>
      </c>
      <c r="AD199" s="97">
        <f>IF(Crédits!$K$8="",0,MAX(0,MIN(AC199,Plan!$L$201-(IF(Crédits!$K$5="",0,IF(Crédits!$K$5&lt;Crédits!$K$8,E199,0))+IF(Crédits!$K$6="",0,IF(Crédits!$K$6&lt;Crédits!$K$8,M199,0))+IF(Crédits!$K$7="",0,IF(Crédits!$K$7&lt;Crédits!$K$8,U199,0))+IF(Crédits!$K$9="",0,IF(Crédits!$K$9&lt;Crédits!$K$8,AK199,0))+IF(Crédits!$K$10="",0,IF(Crédits!$K$10&lt;Crédits!$K$8,AS199,0))))))</f>
        <v>0</v>
      </c>
      <c r="AE199" s="98">
        <f t="shared" si="7"/>
        <v>0</v>
      </c>
      <c r="AF199" s="88">
        <f>ROUND(AF198+AG199-MIN(N(Crédits!$E$8),AF198+AG199),2)</f>
        <v>0</v>
      </c>
      <c r="AG199" s="89">
        <f>AF198*N(Crédits!$D$8)/12</f>
        <v>0</v>
      </c>
      <c r="AH199" s="99">
        <f t="shared" si="20"/>
        <v>0</v>
      </c>
      <c r="AI199" s="99">
        <f>AH199*N(Crédits!$D$9)/12</f>
        <v>0</v>
      </c>
      <c r="AJ199" s="99">
        <f>MIN(N(Crédits!$E$9),AH199+AI199)</f>
        <v>0</v>
      </c>
      <c r="AK199" s="99">
        <f t="shared" si="8"/>
        <v>0</v>
      </c>
      <c r="AL199" s="100">
        <f>IF(Crédits!$K$9="",0,MAX(0,MIN(AK199,Plan!$L$201-(IF(Crédits!$K$5="",0,IF(Crédits!$K$5&lt;Crédits!$K$9,E199,0))+IF(Crédits!$K$6="",0,IF(Crédits!$K$6&lt;Crédits!$K$9,M199,0))+IF(Crédits!$K$7="",0,IF(Crédits!$K$7&lt;Crédits!$K$9,U199,0))+IF(Crédits!$K$8="",0,IF(Crédits!$K$8&lt;Crédits!$K$9,AC199,0))+IF(Crédits!$K$10="",0,IF(Crédits!$K$10&lt;Crédits!$K$9,AS199,0))))))</f>
        <v>0</v>
      </c>
      <c r="AM199" s="101">
        <f t="shared" si="9"/>
        <v>0</v>
      </c>
      <c r="AN199" s="88">
        <f>ROUND(AN198+AO199-MIN(N(Crédits!$E$9),AN198+AO199),2)</f>
        <v>0</v>
      </c>
      <c r="AO199" s="89">
        <f>AN198*N(Crédits!$D$9)/12</f>
        <v>0</v>
      </c>
      <c r="AP199" s="102">
        <f t="shared" si="21"/>
        <v>0</v>
      </c>
      <c r="AQ199" s="102">
        <f>AP199*N(Crédits!$D$10)/12</f>
        <v>0</v>
      </c>
      <c r="AR199" s="102">
        <f>MIN(N(Crédits!$E$10),AP199+AQ199)</f>
        <v>0</v>
      </c>
      <c r="AS199" s="102">
        <f t="shared" si="10"/>
        <v>0</v>
      </c>
      <c r="AT199" s="103">
        <f>IF(Crédits!$K$10="",0,MAX(0,MIN(AS199,Plan!$L$201-(IF(Crédits!$K$5="",0,IF(Crédits!$K$5&lt;Crédits!$K$10,E199,0))+IF(Crédits!$K$6="",0,IF(Crédits!$K$6&lt;Crédits!$K$10,M199,0))+IF(Crédits!$K$7="",0,IF(Crédits!$K$7&lt;Crédits!$K$10,U199,0))+IF(Crédits!$K$8="",0,IF(Crédits!$K$8&lt;Crédits!$K$10,AC199,0))+IF(Crédits!$K$9="",0,IF(Crédits!$K$9&lt;Crédits!$K$10,AK199,0))))))</f>
        <v>0</v>
      </c>
      <c r="AU199" s="104">
        <f t="shared" si="11"/>
        <v>0</v>
      </c>
      <c r="AV199" s="88">
        <f>ROUND(AV198+AW199-MIN(N(Crédits!$E$10),AV198+AW199),2)</f>
        <v>0</v>
      </c>
      <c r="AW199" s="89">
        <f>AV198*N(Crédits!$D$10)/12</f>
        <v>0</v>
      </c>
      <c r="AX199" s="105">
        <f t="shared" si="12"/>
        <v>0</v>
      </c>
      <c r="AY199" s="105">
        <f t="shared" ref="AY199:AZ199" si="217">F199+N199+V199+AD199+AL199+AT199</f>
        <v>0</v>
      </c>
      <c r="AZ199" s="105">
        <f t="shared" si="217"/>
        <v>0</v>
      </c>
      <c r="BA199" s="105">
        <f t="shared" si="14"/>
        <v>0</v>
      </c>
      <c r="BB199" s="105">
        <f t="shared" si="15"/>
        <v>0</v>
      </c>
    </row>
    <row r="200" spans="1:54" ht="15" customHeight="1" x14ac:dyDescent="0.25">
      <c r="A200" s="2">
        <v>198</v>
      </c>
      <c r="B200" s="83">
        <f t="shared" si="16"/>
        <v>0</v>
      </c>
      <c r="C200" s="83">
        <f>B200*N(Crédits!$D$5)/12</f>
        <v>0</v>
      </c>
      <c r="D200" s="83">
        <f>MIN(N(Crédits!$E$5),B200+C200)</f>
        <v>0</v>
      </c>
      <c r="E200" s="83">
        <f t="shared" si="0"/>
        <v>0</v>
      </c>
      <c r="F200" s="86">
        <f>IF(Crédits!$K$5="",0,MAX(0,MIN(E200,Plan!$L$202-(IF(Crédits!$K$6="",0,IF(Crédits!$K$6&lt;Crédits!$K$5,M200,0))+IF(Crédits!$K$7="",0,IF(Crédits!$K$7&lt;Crédits!$K$5,U200,0))+IF(Crédits!$K$8="",0,IF(Crédits!$K$8&lt;Crédits!$K$5,AC200,0))+IF(Crédits!$K$9="",0,IF(Crédits!$K$9&lt;Crédits!$K$5,AK200,0))+IF(Crédits!$K$10="",0,IF(Crédits!$K$10&lt;Crédits!$K$5,AS200,0))))))</f>
        <v>0</v>
      </c>
      <c r="G200" s="87">
        <f t="shared" si="1"/>
        <v>0</v>
      </c>
      <c r="H200" s="88">
        <f>ROUND(H199+I200-MIN(N(Crédits!$E$5),H199+I200),2)</f>
        <v>0</v>
      </c>
      <c r="I200" s="89">
        <f>H199*N(Crédits!$D$5)/12</f>
        <v>0</v>
      </c>
      <c r="J200" s="90">
        <f t="shared" si="17"/>
        <v>0</v>
      </c>
      <c r="K200" s="90">
        <f>J200*N(Crédits!$D$6)/12</f>
        <v>0</v>
      </c>
      <c r="L200" s="90">
        <f>MIN(N(Crédits!$E$6),J200+K200)</f>
        <v>0</v>
      </c>
      <c r="M200" s="90">
        <f t="shared" si="2"/>
        <v>0</v>
      </c>
      <c r="N200" s="91">
        <f>IF(Crédits!$K$6="",0,MAX(0,MIN(M200,Plan!$L$202-(IF(Crédits!$K$5="",0,IF(Crédits!$K$5&lt;Crédits!$K$6,E200,0))+IF(Crédits!$K$7="",0,IF(Crédits!$K$7&lt;Crédits!$K$6,U200,0))+IF(Crédits!$K$8="",0,IF(Crédits!$K$8&lt;Crédits!$K$6,AC200,0))+IF(Crédits!$K$9="",0,IF(Crédits!$K$9&lt;Crédits!$K$6,AK200,0))+IF(Crédits!$K$10="",0,IF(Crédits!$K$10&lt;Crédits!$K$6,AS200,0))))))</f>
        <v>0</v>
      </c>
      <c r="O200" s="92">
        <f t="shared" si="3"/>
        <v>0</v>
      </c>
      <c r="P200" s="88">
        <f>ROUND(P199+Q200-MIN(N(Crédits!$E$6),P199+Q200),2)</f>
        <v>0</v>
      </c>
      <c r="Q200" s="89">
        <f>P199*N(Crédits!$D$6)/12</f>
        <v>0</v>
      </c>
      <c r="R200" s="93">
        <f t="shared" si="18"/>
        <v>0</v>
      </c>
      <c r="S200" s="93">
        <f>R200*N(Crédits!$D$7)/12</f>
        <v>0</v>
      </c>
      <c r="T200" s="93">
        <f>MIN(N(Crédits!$E$7),R200+S200)</f>
        <v>0</v>
      </c>
      <c r="U200" s="93">
        <f t="shared" si="4"/>
        <v>0</v>
      </c>
      <c r="V200" s="94">
        <f>IF(Crédits!$K$7="",0,MAX(0,MIN(U200,Plan!$L$202-(IF(Crédits!$K$5="",0,IF(Crédits!$K$5&lt;Crédits!$K$7,E200,0))+IF(Crédits!$K$6="",0,IF(Crédits!$K$6&lt;Crédits!$K$7,M200,0))+IF(Crédits!$K$8="",0,IF(Crédits!$K$8&lt;Crédits!$K$7,AC200,0))+IF(Crédits!$K$9="",0,IF(Crédits!$K$9&lt;Crédits!$K$7,AK200,0))+IF(Crédits!$K$10="",0,IF(Crédits!$K$10&lt;Crédits!$K$7,AS200,0))))))</f>
        <v>0</v>
      </c>
      <c r="W200" s="95">
        <f t="shared" si="5"/>
        <v>0</v>
      </c>
      <c r="X200" s="88">
        <f>ROUND(X199+Y200-MIN(N(Crédits!$E$7),X199+Y200),2)</f>
        <v>0</v>
      </c>
      <c r="Y200" s="89">
        <f>X199*N(Crédits!$D$7)/12</f>
        <v>0</v>
      </c>
      <c r="Z200" s="96">
        <f t="shared" si="19"/>
        <v>0</v>
      </c>
      <c r="AA200" s="96">
        <f>Z200*N(Crédits!$D$8)/12</f>
        <v>0</v>
      </c>
      <c r="AB200" s="96">
        <f>MIN(N(Crédits!$E$8),Z200+AA200)</f>
        <v>0</v>
      </c>
      <c r="AC200" s="96">
        <f t="shared" si="6"/>
        <v>0</v>
      </c>
      <c r="AD200" s="97">
        <f>IF(Crédits!$K$8="",0,MAX(0,MIN(AC200,Plan!$L$202-(IF(Crédits!$K$5="",0,IF(Crédits!$K$5&lt;Crédits!$K$8,E200,0))+IF(Crédits!$K$6="",0,IF(Crédits!$K$6&lt;Crédits!$K$8,M200,0))+IF(Crédits!$K$7="",0,IF(Crédits!$K$7&lt;Crédits!$K$8,U200,0))+IF(Crédits!$K$9="",0,IF(Crédits!$K$9&lt;Crédits!$K$8,AK200,0))+IF(Crédits!$K$10="",0,IF(Crédits!$K$10&lt;Crédits!$K$8,AS200,0))))))</f>
        <v>0</v>
      </c>
      <c r="AE200" s="98">
        <f t="shared" si="7"/>
        <v>0</v>
      </c>
      <c r="AF200" s="88">
        <f>ROUND(AF199+AG200-MIN(N(Crédits!$E$8),AF199+AG200),2)</f>
        <v>0</v>
      </c>
      <c r="AG200" s="89">
        <f>AF199*N(Crédits!$D$8)/12</f>
        <v>0</v>
      </c>
      <c r="AH200" s="99">
        <f t="shared" si="20"/>
        <v>0</v>
      </c>
      <c r="AI200" s="99">
        <f>AH200*N(Crédits!$D$9)/12</f>
        <v>0</v>
      </c>
      <c r="AJ200" s="99">
        <f>MIN(N(Crédits!$E$9),AH200+AI200)</f>
        <v>0</v>
      </c>
      <c r="AK200" s="99">
        <f t="shared" si="8"/>
        <v>0</v>
      </c>
      <c r="AL200" s="100">
        <f>IF(Crédits!$K$9="",0,MAX(0,MIN(AK200,Plan!$L$202-(IF(Crédits!$K$5="",0,IF(Crédits!$K$5&lt;Crédits!$K$9,E200,0))+IF(Crédits!$K$6="",0,IF(Crédits!$K$6&lt;Crédits!$K$9,M200,0))+IF(Crédits!$K$7="",0,IF(Crédits!$K$7&lt;Crédits!$K$9,U200,0))+IF(Crédits!$K$8="",0,IF(Crédits!$K$8&lt;Crédits!$K$9,AC200,0))+IF(Crédits!$K$10="",0,IF(Crédits!$K$10&lt;Crédits!$K$9,AS200,0))))))</f>
        <v>0</v>
      </c>
      <c r="AM200" s="101">
        <f t="shared" si="9"/>
        <v>0</v>
      </c>
      <c r="AN200" s="88">
        <f>ROUND(AN199+AO200-MIN(N(Crédits!$E$9),AN199+AO200),2)</f>
        <v>0</v>
      </c>
      <c r="AO200" s="89">
        <f>AN199*N(Crédits!$D$9)/12</f>
        <v>0</v>
      </c>
      <c r="AP200" s="102">
        <f t="shared" si="21"/>
        <v>0</v>
      </c>
      <c r="AQ200" s="102">
        <f>AP200*N(Crédits!$D$10)/12</f>
        <v>0</v>
      </c>
      <c r="AR200" s="102">
        <f>MIN(N(Crédits!$E$10),AP200+AQ200)</f>
        <v>0</v>
      </c>
      <c r="AS200" s="102">
        <f t="shared" si="10"/>
        <v>0</v>
      </c>
      <c r="AT200" s="103">
        <f>IF(Crédits!$K$10="",0,MAX(0,MIN(AS200,Plan!$L$202-(IF(Crédits!$K$5="",0,IF(Crédits!$K$5&lt;Crédits!$K$10,E200,0))+IF(Crédits!$K$6="",0,IF(Crédits!$K$6&lt;Crédits!$K$10,M200,0))+IF(Crédits!$K$7="",0,IF(Crédits!$K$7&lt;Crédits!$K$10,U200,0))+IF(Crédits!$K$8="",0,IF(Crédits!$K$8&lt;Crédits!$K$10,AC200,0))+IF(Crédits!$K$9="",0,IF(Crédits!$K$9&lt;Crédits!$K$10,AK200,0))))))</f>
        <v>0</v>
      </c>
      <c r="AU200" s="104">
        <f t="shared" si="11"/>
        <v>0</v>
      </c>
      <c r="AV200" s="88">
        <f>ROUND(AV199+AW200-MIN(N(Crédits!$E$10),AV199+AW200),2)</f>
        <v>0</v>
      </c>
      <c r="AW200" s="89">
        <f>AV199*N(Crédits!$D$10)/12</f>
        <v>0</v>
      </c>
      <c r="AX200" s="105">
        <f t="shared" si="12"/>
        <v>0</v>
      </c>
      <c r="AY200" s="105">
        <f t="shared" ref="AY200:AZ200" si="218">F200+N200+V200+AD200+AL200+AT200</f>
        <v>0</v>
      </c>
      <c r="AZ200" s="105">
        <f t="shared" si="218"/>
        <v>0</v>
      </c>
      <c r="BA200" s="105">
        <f t="shared" si="14"/>
        <v>0</v>
      </c>
      <c r="BB200" s="105">
        <f t="shared" si="15"/>
        <v>0</v>
      </c>
    </row>
    <row r="201" spans="1:54" ht="15" customHeight="1" x14ac:dyDescent="0.25">
      <c r="A201" s="2">
        <v>199</v>
      </c>
      <c r="B201" s="83">
        <f t="shared" si="16"/>
        <v>0</v>
      </c>
      <c r="C201" s="83">
        <f>B201*N(Crédits!$D$5)/12</f>
        <v>0</v>
      </c>
      <c r="D201" s="83">
        <f>MIN(N(Crédits!$E$5),B201+C201)</f>
        <v>0</v>
      </c>
      <c r="E201" s="83">
        <f t="shared" si="0"/>
        <v>0</v>
      </c>
      <c r="F201" s="86">
        <f>IF(Crédits!$K$5="",0,MAX(0,MIN(E201,Plan!$L$203-(IF(Crédits!$K$6="",0,IF(Crédits!$K$6&lt;Crédits!$K$5,M201,0))+IF(Crédits!$K$7="",0,IF(Crédits!$K$7&lt;Crédits!$K$5,U201,0))+IF(Crédits!$K$8="",0,IF(Crédits!$K$8&lt;Crédits!$K$5,AC201,0))+IF(Crédits!$K$9="",0,IF(Crédits!$K$9&lt;Crédits!$K$5,AK201,0))+IF(Crédits!$K$10="",0,IF(Crédits!$K$10&lt;Crédits!$K$5,AS201,0))))))</f>
        <v>0</v>
      </c>
      <c r="G201" s="87">
        <f t="shared" si="1"/>
        <v>0</v>
      </c>
      <c r="H201" s="88">
        <f>ROUND(H200+I201-MIN(N(Crédits!$E$5),H200+I201),2)</f>
        <v>0</v>
      </c>
      <c r="I201" s="89">
        <f>H200*N(Crédits!$D$5)/12</f>
        <v>0</v>
      </c>
      <c r="J201" s="90">
        <f t="shared" si="17"/>
        <v>0</v>
      </c>
      <c r="K201" s="90">
        <f>J201*N(Crédits!$D$6)/12</f>
        <v>0</v>
      </c>
      <c r="L201" s="90">
        <f>MIN(N(Crédits!$E$6),J201+K201)</f>
        <v>0</v>
      </c>
      <c r="M201" s="90">
        <f t="shared" si="2"/>
        <v>0</v>
      </c>
      <c r="N201" s="91">
        <f>IF(Crédits!$K$6="",0,MAX(0,MIN(M201,Plan!$L$203-(IF(Crédits!$K$5="",0,IF(Crédits!$K$5&lt;Crédits!$K$6,E201,0))+IF(Crédits!$K$7="",0,IF(Crédits!$K$7&lt;Crédits!$K$6,U201,0))+IF(Crédits!$K$8="",0,IF(Crédits!$K$8&lt;Crédits!$K$6,AC201,0))+IF(Crédits!$K$9="",0,IF(Crédits!$K$9&lt;Crédits!$K$6,AK201,0))+IF(Crédits!$K$10="",0,IF(Crédits!$K$10&lt;Crédits!$K$6,AS201,0))))))</f>
        <v>0</v>
      </c>
      <c r="O201" s="92">
        <f t="shared" si="3"/>
        <v>0</v>
      </c>
      <c r="P201" s="88">
        <f>ROUND(P200+Q201-MIN(N(Crédits!$E$6),P200+Q201),2)</f>
        <v>0</v>
      </c>
      <c r="Q201" s="89">
        <f>P200*N(Crédits!$D$6)/12</f>
        <v>0</v>
      </c>
      <c r="R201" s="93">
        <f t="shared" si="18"/>
        <v>0</v>
      </c>
      <c r="S201" s="93">
        <f>R201*N(Crédits!$D$7)/12</f>
        <v>0</v>
      </c>
      <c r="T201" s="93">
        <f>MIN(N(Crédits!$E$7),R201+S201)</f>
        <v>0</v>
      </c>
      <c r="U201" s="93">
        <f t="shared" si="4"/>
        <v>0</v>
      </c>
      <c r="V201" s="94">
        <f>IF(Crédits!$K$7="",0,MAX(0,MIN(U201,Plan!$L$203-(IF(Crédits!$K$5="",0,IF(Crédits!$K$5&lt;Crédits!$K$7,E201,0))+IF(Crédits!$K$6="",0,IF(Crédits!$K$6&lt;Crédits!$K$7,M201,0))+IF(Crédits!$K$8="",0,IF(Crédits!$K$8&lt;Crédits!$K$7,AC201,0))+IF(Crédits!$K$9="",0,IF(Crédits!$K$9&lt;Crédits!$K$7,AK201,0))+IF(Crédits!$K$10="",0,IF(Crédits!$K$10&lt;Crédits!$K$7,AS201,0))))))</f>
        <v>0</v>
      </c>
      <c r="W201" s="95">
        <f t="shared" si="5"/>
        <v>0</v>
      </c>
      <c r="X201" s="88">
        <f>ROUND(X200+Y201-MIN(N(Crédits!$E$7),X200+Y201),2)</f>
        <v>0</v>
      </c>
      <c r="Y201" s="89">
        <f>X200*N(Crédits!$D$7)/12</f>
        <v>0</v>
      </c>
      <c r="Z201" s="96">
        <f t="shared" si="19"/>
        <v>0</v>
      </c>
      <c r="AA201" s="96">
        <f>Z201*N(Crédits!$D$8)/12</f>
        <v>0</v>
      </c>
      <c r="AB201" s="96">
        <f>MIN(N(Crédits!$E$8),Z201+AA201)</f>
        <v>0</v>
      </c>
      <c r="AC201" s="96">
        <f t="shared" si="6"/>
        <v>0</v>
      </c>
      <c r="AD201" s="97">
        <f>IF(Crédits!$K$8="",0,MAX(0,MIN(AC201,Plan!$L$203-(IF(Crédits!$K$5="",0,IF(Crédits!$K$5&lt;Crédits!$K$8,E201,0))+IF(Crédits!$K$6="",0,IF(Crédits!$K$6&lt;Crédits!$K$8,M201,0))+IF(Crédits!$K$7="",0,IF(Crédits!$K$7&lt;Crédits!$K$8,U201,0))+IF(Crédits!$K$9="",0,IF(Crédits!$K$9&lt;Crédits!$K$8,AK201,0))+IF(Crédits!$K$10="",0,IF(Crédits!$K$10&lt;Crédits!$K$8,AS201,0))))))</f>
        <v>0</v>
      </c>
      <c r="AE201" s="98">
        <f t="shared" si="7"/>
        <v>0</v>
      </c>
      <c r="AF201" s="88">
        <f>ROUND(AF200+AG201-MIN(N(Crédits!$E$8),AF200+AG201),2)</f>
        <v>0</v>
      </c>
      <c r="AG201" s="89">
        <f>AF200*N(Crédits!$D$8)/12</f>
        <v>0</v>
      </c>
      <c r="AH201" s="99">
        <f t="shared" si="20"/>
        <v>0</v>
      </c>
      <c r="AI201" s="99">
        <f>AH201*N(Crédits!$D$9)/12</f>
        <v>0</v>
      </c>
      <c r="AJ201" s="99">
        <f>MIN(N(Crédits!$E$9),AH201+AI201)</f>
        <v>0</v>
      </c>
      <c r="AK201" s="99">
        <f t="shared" si="8"/>
        <v>0</v>
      </c>
      <c r="AL201" s="100">
        <f>IF(Crédits!$K$9="",0,MAX(0,MIN(AK201,Plan!$L$203-(IF(Crédits!$K$5="",0,IF(Crédits!$K$5&lt;Crédits!$K$9,E201,0))+IF(Crédits!$K$6="",0,IF(Crédits!$K$6&lt;Crédits!$K$9,M201,0))+IF(Crédits!$K$7="",0,IF(Crédits!$K$7&lt;Crédits!$K$9,U201,0))+IF(Crédits!$K$8="",0,IF(Crédits!$K$8&lt;Crédits!$K$9,AC201,0))+IF(Crédits!$K$10="",0,IF(Crédits!$K$10&lt;Crédits!$K$9,AS201,0))))))</f>
        <v>0</v>
      </c>
      <c r="AM201" s="101">
        <f t="shared" si="9"/>
        <v>0</v>
      </c>
      <c r="AN201" s="88">
        <f>ROUND(AN200+AO201-MIN(N(Crédits!$E$9),AN200+AO201),2)</f>
        <v>0</v>
      </c>
      <c r="AO201" s="89">
        <f>AN200*N(Crédits!$D$9)/12</f>
        <v>0</v>
      </c>
      <c r="AP201" s="102">
        <f t="shared" si="21"/>
        <v>0</v>
      </c>
      <c r="AQ201" s="102">
        <f>AP201*N(Crédits!$D$10)/12</f>
        <v>0</v>
      </c>
      <c r="AR201" s="102">
        <f>MIN(N(Crédits!$E$10),AP201+AQ201)</f>
        <v>0</v>
      </c>
      <c r="AS201" s="102">
        <f t="shared" si="10"/>
        <v>0</v>
      </c>
      <c r="AT201" s="103">
        <f>IF(Crédits!$K$10="",0,MAX(0,MIN(AS201,Plan!$L$203-(IF(Crédits!$K$5="",0,IF(Crédits!$K$5&lt;Crédits!$K$10,E201,0))+IF(Crédits!$K$6="",0,IF(Crédits!$K$6&lt;Crédits!$K$10,M201,0))+IF(Crédits!$K$7="",0,IF(Crédits!$K$7&lt;Crédits!$K$10,U201,0))+IF(Crédits!$K$8="",0,IF(Crédits!$K$8&lt;Crédits!$K$10,AC201,0))+IF(Crédits!$K$9="",0,IF(Crédits!$K$9&lt;Crédits!$K$10,AK201,0))))))</f>
        <v>0</v>
      </c>
      <c r="AU201" s="104">
        <f t="shared" si="11"/>
        <v>0</v>
      </c>
      <c r="AV201" s="88">
        <f>ROUND(AV200+AW201-MIN(N(Crédits!$E$10),AV200+AW201),2)</f>
        <v>0</v>
      </c>
      <c r="AW201" s="89">
        <f>AV200*N(Crédits!$D$10)/12</f>
        <v>0</v>
      </c>
      <c r="AX201" s="105">
        <f t="shared" si="12"/>
        <v>0</v>
      </c>
      <c r="AY201" s="105">
        <f t="shared" ref="AY201:AZ201" si="219">F201+N201+V201+AD201+AL201+AT201</f>
        <v>0</v>
      </c>
      <c r="AZ201" s="105">
        <f t="shared" si="219"/>
        <v>0</v>
      </c>
      <c r="BA201" s="105">
        <f t="shared" si="14"/>
        <v>0</v>
      </c>
      <c r="BB201" s="105">
        <f t="shared" si="15"/>
        <v>0</v>
      </c>
    </row>
    <row r="202" spans="1:54" ht="15" customHeight="1" x14ac:dyDescent="0.25">
      <c r="A202" s="2">
        <v>200</v>
      </c>
      <c r="B202" s="83">
        <f t="shared" si="16"/>
        <v>0</v>
      </c>
      <c r="C202" s="83">
        <f>B202*N(Crédits!$D$5)/12</f>
        <v>0</v>
      </c>
      <c r="D202" s="83">
        <f>MIN(N(Crédits!$E$5),B202+C202)</f>
        <v>0</v>
      </c>
      <c r="E202" s="83">
        <f t="shared" si="0"/>
        <v>0</v>
      </c>
      <c r="F202" s="86">
        <f>IF(Crédits!$K$5="",0,MAX(0,MIN(E202,Plan!$L$204-(IF(Crédits!$K$6="",0,IF(Crédits!$K$6&lt;Crédits!$K$5,M202,0))+IF(Crédits!$K$7="",0,IF(Crédits!$K$7&lt;Crédits!$K$5,U202,0))+IF(Crédits!$K$8="",0,IF(Crédits!$K$8&lt;Crédits!$K$5,AC202,0))+IF(Crédits!$K$9="",0,IF(Crédits!$K$9&lt;Crédits!$K$5,AK202,0))+IF(Crédits!$K$10="",0,IF(Crédits!$K$10&lt;Crédits!$K$5,AS202,0))))))</f>
        <v>0</v>
      </c>
      <c r="G202" s="87">
        <f t="shared" si="1"/>
        <v>0</v>
      </c>
      <c r="H202" s="88">
        <f>ROUND(H201+I202-MIN(N(Crédits!$E$5),H201+I202),2)</f>
        <v>0</v>
      </c>
      <c r="I202" s="89">
        <f>H201*N(Crédits!$D$5)/12</f>
        <v>0</v>
      </c>
      <c r="J202" s="90">
        <f t="shared" si="17"/>
        <v>0</v>
      </c>
      <c r="K202" s="90">
        <f>J202*N(Crédits!$D$6)/12</f>
        <v>0</v>
      </c>
      <c r="L202" s="90">
        <f>MIN(N(Crédits!$E$6),J202+K202)</f>
        <v>0</v>
      </c>
      <c r="M202" s="90">
        <f t="shared" si="2"/>
        <v>0</v>
      </c>
      <c r="N202" s="91">
        <f>IF(Crédits!$K$6="",0,MAX(0,MIN(M202,Plan!$L$204-(IF(Crédits!$K$5="",0,IF(Crédits!$K$5&lt;Crédits!$K$6,E202,0))+IF(Crédits!$K$7="",0,IF(Crédits!$K$7&lt;Crédits!$K$6,U202,0))+IF(Crédits!$K$8="",0,IF(Crédits!$K$8&lt;Crédits!$K$6,AC202,0))+IF(Crédits!$K$9="",0,IF(Crédits!$K$9&lt;Crédits!$K$6,AK202,0))+IF(Crédits!$K$10="",0,IF(Crédits!$K$10&lt;Crédits!$K$6,AS202,0))))))</f>
        <v>0</v>
      </c>
      <c r="O202" s="92">
        <f t="shared" si="3"/>
        <v>0</v>
      </c>
      <c r="P202" s="88">
        <f>ROUND(P201+Q202-MIN(N(Crédits!$E$6),P201+Q202),2)</f>
        <v>0</v>
      </c>
      <c r="Q202" s="89">
        <f>P201*N(Crédits!$D$6)/12</f>
        <v>0</v>
      </c>
      <c r="R202" s="93">
        <f t="shared" si="18"/>
        <v>0</v>
      </c>
      <c r="S202" s="93">
        <f>R202*N(Crédits!$D$7)/12</f>
        <v>0</v>
      </c>
      <c r="T202" s="93">
        <f>MIN(N(Crédits!$E$7),R202+S202)</f>
        <v>0</v>
      </c>
      <c r="U202" s="93">
        <f t="shared" si="4"/>
        <v>0</v>
      </c>
      <c r="V202" s="94">
        <f>IF(Crédits!$K$7="",0,MAX(0,MIN(U202,Plan!$L$204-(IF(Crédits!$K$5="",0,IF(Crédits!$K$5&lt;Crédits!$K$7,E202,0))+IF(Crédits!$K$6="",0,IF(Crédits!$K$6&lt;Crédits!$K$7,M202,0))+IF(Crédits!$K$8="",0,IF(Crédits!$K$8&lt;Crédits!$K$7,AC202,0))+IF(Crédits!$K$9="",0,IF(Crédits!$K$9&lt;Crédits!$K$7,AK202,0))+IF(Crédits!$K$10="",0,IF(Crédits!$K$10&lt;Crédits!$K$7,AS202,0))))))</f>
        <v>0</v>
      </c>
      <c r="W202" s="95">
        <f t="shared" si="5"/>
        <v>0</v>
      </c>
      <c r="X202" s="88">
        <f>ROUND(X201+Y202-MIN(N(Crédits!$E$7),X201+Y202),2)</f>
        <v>0</v>
      </c>
      <c r="Y202" s="89">
        <f>X201*N(Crédits!$D$7)/12</f>
        <v>0</v>
      </c>
      <c r="Z202" s="96">
        <f t="shared" si="19"/>
        <v>0</v>
      </c>
      <c r="AA202" s="96">
        <f>Z202*N(Crédits!$D$8)/12</f>
        <v>0</v>
      </c>
      <c r="AB202" s="96">
        <f>MIN(N(Crédits!$E$8),Z202+AA202)</f>
        <v>0</v>
      </c>
      <c r="AC202" s="96">
        <f t="shared" si="6"/>
        <v>0</v>
      </c>
      <c r="AD202" s="97">
        <f>IF(Crédits!$K$8="",0,MAX(0,MIN(AC202,Plan!$L$204-(IF(Crédits!$K$5="",0,IF(Crédits!$K$5&lt;Crédits!$K$8,E202,0))+IF(Crédits!$K$6="",0,IF(Crédits!$K$6&lt;Crédits!$K$8,M202,0))+IF(Crédits!$K$7="",0,IF(Crédits!$K$7&lt;Crédits!$K$8,U202,0))+IF(Crédits!$K$9="",0,IF(Crédits!$K$9&lt;Crédits!$K$8,AK202,0))+IF(Crédits!$K$10="",0,IF(Crédits!$K$10&lt;Crédits!$K$8,AS202,0))))))</f>
        <v>0</v>
      </c>
      <c r="AE202" s="98">
        <f t="shared" si="7"/>
        <v>0</v>
      </c>
      <c r="AF202" s="88">
        <f>ROUND(AF201+AG202-MIN(N(Crédits!$E$8),AF201+AG202),2)</f>
        <v>0</v>
      </c>
      <c r="AG202" s="89">
        <f>AF201*N(Crédits!$D$8)/12</f>
        <v>0</v>
      </c>
      <c r="AH202" s="99">
        <f t="shared" si="20"/>
        <v>0</v>
      </c>
      <c r="AI202" s="99">
        <f>AH202*N(Crédits!$D$9)/12</f>
        <v>0</v>
      </c>
      <c r="AJ202" s="99">
        <f>MIN(N(Crédits!$E$9),AH202+AI202)</f>
        <v>0</v>
      </c>
      <c r="AK202" s="99">
        <f t="shared" si="8"/>
        <v>0</v>
      </c>
      <c r="AL202" s="100">
        <f>IF(Crédits!$K$9="",0,MAX(0,MIN(AK202,Plan!$L$204-(IF(Crédits!$K$5="",0,IF(Crédits!$K$5&lt;Crédits!$K$9,E202,0))+IF(Crédits!$K$6="",0,IF(Crédits!$K$6&lt;Crédits!$K$9,M202,0))+IF(Crédits!$K$7="",0,IF(Crédits!$K$7&lt;Crédits!$K$9,U202,0))+IF(Crédits!$K$8="",0,IF(Crédits!$K$8&lt;Crédits!$K$9,AC202,0))+IF(Crédits!$K$10="",0,IF(Crédits!$K$10&lt;Crédits!$K$9,AS202,0))))))</f>
        <v>0</v>
      </c>
      <c r="AM202" s="101">
        <f t="shared" si="9"/>
        <v>0</v>
      </c>
      <c r="AN202" s="88">
        <f>ROUND(AN201+AO202-MIN(N(Crédits!$E$9),AN201+AO202),2)</f>
        <v>0</v>
      </c>
      <c r="AO202" s="89">
        <f>AN201*N(Crédits!$D$9)/12</f>
        <v>0</v>
      </c>
      <c r="AP202" s="102">
        <f t="shared" si="21"/>
        <v>0</v>
      </c>
      <c r="AQ202" s="102">
        <f>AP202*N(Crédits!$D$10)/12</f>
        <v>0</v>
      </c>
      <c r="AR202" s="102">
        <f>MIN(N(Crédits!$E$10),AP202+AQ202)</f>
        <v>0</v>
      </c>
      <c r="AS202" s="102">
        <f t="shared" si="10"/>
        <v>0</v>
      </c>
      <c r="AT202" s="103">
        <f>IF(Crédits!$K$10="",0,MAX(0,MIN(AS202,Plan!$L$204-(IF(Crédits!$K$5="",0,IF(Crédits!$K$5&lt;Crédits!$K$10,E202,0))+IF(Crédits!$K$6="",0,IF(Crédits!$K$6&lt;Crédits!$K$10,M202,0))+IF(Crédits!$K$7="",0,IF(Crédits!$K$7&lt;Crédits!$K$10,U202,0))+IF(Crédits!$K$8="",0,IF(Crédits!$K$8&lt;Crédits!$K$10,AC202,0))+IF(Crédits!$K$9="",0,IF(Crédits!$K$9&lt;Crédits!$K$10,AK202,0))))))</f>
        <v>0</v>
      </c>
      <c r="AU202" s="104">
        <f t="shared" si="11"/>
        <v>0</v>
      </c>
      <c r="AV202" s="88">
        <f>ROUND(AV201+AW202-MIN(N(Crédits!$E$10),AV201+AW202),2)</f>
        <v>0</v>
      </c>
      <c r="AW202" s="89">
        <f>AV201*N(Crédits!$D$10)/12</f>
        <v>0</v>
      </c>
      <c r="AX202" s="105">
        <f t="shared" si="12"/>
        <v>0</v>
      </c>
      <c r="AY202" s="105">
        <f t="shared" ref="AY202:AZ202" si="220">F202+N202+V202+AD202+AL202+AT202</f>
        <v>0</v>
      </c>
      <c r="AZ202" s="105">
        <f t="shared" si="220"/>
        <v>0</v>
      </c>
      <c r="BA202" s="105">
        <f t="shared" si="14"/>
        <v>0</v>
      </c>
      <c r="BB202" s="105">
        <f t="shared" si="15"/>
        <v>0</v>
      </c>
    </row>
    <row r="203" spans="1:54" ht="15" customHeight="1" x14ac:dyDescent="0.25">
      <c r="A203" s="2">
        <v>201</v>
      </c>
      <c r="B203" s="83">
        <f t="shared" si="16"/>
        <v>0</v>
      </c>
      <c r="C203" s="83">
        <f>B203*N(Crédits!$D$5)/12</f>
        <v>0</v>
      </c>
      <c r="D203" s="83">
        <f>MIN(N(Crédits!$E$5),B203+C203)</f>
        <v>0</v>
      </c>
      <c r="E203" s="83">
        <f t="shared" si="0"/>
        <v>0</v>
      </c>
      <c r="F203" s="86">
        <f>IF(Crédits!$K$5="",0,MAX(0,MIN(E203,Plan!$L$205-(IF(Crédits!$K$6="",0,IF(Crédits!$K$6&lt;Crédits!$K$5,M203,0))+IF(Crédits!$K$7="",0,IF(Crédits!$K$7&lt;Crédits!$K$5,U203,0))+IF(Crédits!$K$8="",0,IF(Crédits!$K$8&lt;Crédits!$K$5,AC203,0))+IF(Crédits!$K$9="",0,IF(Crédits!$K$9&lt;Crédits!$K$5,AK203,0))+IF(Crédits!$K$10="",0,IF(Crédits!$K$10&lt;Crédits!$K$5,AS203,0))))))</f>
        <v>0</v>
      </c>
      <c r="G203" s="87">
        <f t="shared" si="1"/>
        <v>0</v>
      </c>
      <c r="H203" s="88">
        <f>ROUND(H202+I203-MIN(N(Crédits!$E$5),H202+I203),2)</f>
        <v>0</v>
      </c>
      <c r="I203" s="89">
        <f>H202*N(Crédits!$D$5)/12</f>
        <v>0</v>
      </c>
      <c r="J203" s="90">
        <f t="shared" si="17"/>
        <v>0</v>
      </c>
      <c r="K203" s="90">
        <f>J203*N(Crédits!$D$6)/12</f>
        <v>0</v>
      </c>
      <c r="L203" s="90">
        <f>MIN(N(Crédits!$E$6),J203+K203)</f>
        <v>0</v>
      </c>
      <c r="M203" s="90">
        <f t="shared" si="2"/>
        <v>0</v>
      </c>
      <c r="N203" s="91">
        <f>IF(Crédits!$K$6="",0,MAX(0,MIN(M203,Plan!$L$205-(IF(Crédits!$K$5="",0,IF(Crédits!$K$5&lt;Crédits!$K$6,E203,0))+IF(Crédits!$K$7="",0,IF(Crédits!$K$7&lt;Crédits!$K$6,U203,0))+IF(Crédits!$K$8="",0,IF(Crédits!$K$8&lt;Crédits!$K$6,AC203,0))+IF(Crédits!$K$9="",0,IF(Crédits!$K$9&lt;Crédits!$K$6,AK203,0))+IF(Crédits!$K$10="",0,IF(Crédits!$K$10&lt;Crédits!$K$6,AS203,0))))))</f>
        <v>0</v>
      </c>
      <c r="O203" s="92">
        <f t="shared" si="3"/>
        <v>0</v>
      </c>
      <c r="P203" s="88">
        <f>ROUND(P202+Q203-MIN(N(Crédits!$E$6),P202+Q203),2)</f>
        <v>0</v>
      </c>
      <c r="Q203" s="89">
        <f>P202*N(Crédits!$D$6)/12</f>
        <v>0</v>
      </c>
      <c r="R203" s="93">
        <f t="shared" si="18"/>
        <v>0</v>
      </c>
      <c r="S203" s="93">
        <f>R203*N(Crédits!$D$7)/12</f>
        <v>0</v>
      </c>
      <c r="T203" s="93">
        <f>MIN(N(Crédits!$E$7),R203+S203)</f>
        <v>0</v>
      </c>
      <c r="U203" s="93">
        <f t="shared" si="4"/>
        <v>0</v>
      </c>
      <c r="V203" s="94">
        <f>IF(Crédits!$K$7="",0,MAX(0,MIN(U203,Plan!$L$205-(IF(Crédits!$K$5="",0,IF(Crédits!$K$5&lt;Crédits!$K$7,E203,0))+IF(Crédits!$K$6="",0,IF(Crédits!$K$6&lt;Crédits!$K$7,M203,0))+IF(Crédits!$K$8="",0,IF(Crédits!$K$8&lt;Crédits!$K$7,AC203,0))+IF(Crédits!$K$9="",0,IF(Crédits!$K$9&lt;Crédits!$K$7,AK203,0))+IF(Crédits!$K$10="",0,IF(Crédits!$K$10&lt;Crédits!$K$7,AS203,0))))))</f>
        <v>0</v>
      </c>
      <c r="W203" s="95">
        <f t="shared" si="5"/>
        <v>0</v>
      </c>
      <c r="X203" s="88">
        <f>ROUND(X202+Y203-MIN(N(Crédits!$E$7),X202+Y203),2)</f>
        <v>0</v>
      </c>
      <c r="Y203" s="89">
        <f>X202*N(Crédits!$D$7)/12</f>
        <v>0</v>
      </c>
      <c r="Z203" s="96">
        <f t="shared" si="19"/>
        <v>0</v>
      </c>
      <c r="AA203" s="96">
        <f>Z203*N(Crédits!$D$8)/12</f>
        <v>0</v>
      </c>
      <c r="AB203" s="96">
        <f>MIN(N(Crédits!$E$8),Z203+AA203)</f>
        <v>0</v>
      </c>
      <c r="AC203" s="96">
        <f t="shared" si="6"/>
        <v>0</v>
      </c>
      <c r="AD203" s="97">
        <f>IF(Crédits!$K$8="",0,MAX(0,MIN(AC203,Plan!$L$205-(IF(Crédits!$K$5="",0,IF(Crédits!$K$5&lt;Crédits!$K$8,E203,0))+IF(Crédits!$K$6="",0,IF(Crédits!$K$6&lt;Crédits!$K$8,M203,0))+IF(Crédits!$K$7="",0,IF(Crédits!$K$7&lt;Crédits!$K$8,U203,0))+IF(Crédits!$K$9="",0,IF(Crédits!$K$9&lt;Crédits!$K$8,AK203,0))+IF(Crédits!$K$10="",0,IF(Crédits!$K$10&lt;Crédits!$K$8,AS203,0))))))</f>
        <v>0</v>
      </c>
      <c r="AE203" s="98">
        <f t="shared" si="7"/>
        <v>0</v>
      </c>
      <c r="AF203" s="88">
        <f>ROUND(AF202+AG203-MIN(N(Crédits!$E$8),AF202+AG203),2)</f>
        <v>0</v>
      </c>
      <c r="AG203" s="89">
        <f>AF202*N(Crédits!$D$8)/12</f>
        <v>0</v>
      </c>
      <c r="AH203" s="99">
        <f t="shared" si="20"/>
        <v>0</v>
      </c>
      <c r="AI203" s="99">
        <f>AH203*N(Crédits!$D$9)/12</f>
        <v>0</v>
      </c>
      <c r="AJ203" s="99">
        <f>MIN(N(Crédits!$E$9),AH203+AI203)</f>
        <v>0</v>
      </c>
      <c r="AK203" s="99">
        <f t="shared" si="8"/>
        <v>0</v>
      </c>
      <c r="AL203" s="100">
        <f>IF(Crédits!$K$9="",0,MAX(0,MIN(AK203,Plan!$L$205-(IF(Crédits!$K$5="",0,IF(Crédits!$K$5&lt;Crédits!$K$9,E203,0))+IF(Crédits!$K$6="",0,IF(Crédits!$K$6&lt;Crédits!$K$9,M203,0))+IF(Crédits!$K$7="",0,IF(Crédits!$K$7&lt;Crédits!$K$9,U203,0))+IF(Crédits!$K$8="",0,IF(Crédits!$K$8&lt;Crédits!$K$9,AC203,0))+IF(Crédits!$K$10="",0,IF(Crédits!$K$10&lt;Crédits!$K$9,AS203,0))))))</f>
        <v>0</v>
      </c>
      <c r="AM203" s="101">
        <f t="shared" si="9"/>
        <v>0</v>
      </c>
      <c r="AN203" s="88">
        <f>ROUND(AN202+AO203-MIN(N(Crédits!$E$9),AN202+AO203),2)</f>
        <v>0</v>
      </c>
      <c r="AO203" s="89">
        <f>AN202*N(Crédits!$D$9)/12</f>
        <v>0</v>
      </c>
      <c r="AP203" s="102">
        <f t="shared" si="21"/>
        <v>0</v>
      </c>
      <c r="AQ203" s="102">
        <f>AP203*N(Crédits!$D$10)/12</f>
        <v>0</v>
      </c>
      <c r="AR203" s="102">
        <f>MIN(N(Crédits!$E$10),AP203+AQ203)</f>
        <v>0</v>
      </c>
      <c r="AS203" s="102">
        <f t="shared" si="10"/>
        <v>0</v>
      </c>
      <c r="AT203" s="103">
        <f>IF(Crédits!$K$10="",0,MAX(0,MIN(AS203,Plan!$L$205-(IF(Crédits!$K$5="",0,IF(Crédits!$K$5&lt;Crédits!$K$10,E203,0))+IF(Crédits!$K$6="",0,IF(Crédits!$K$6&lt;Crédits!$K$10,M203,0))+IF(Crédits!$K$7="",0,IF(Crédits!$K$7&lt;Crédits!$K$10,U203,0))+IF(Crédits!$K$8="",0,IF(Crédits!$K$8&lt;Crédits!$K$10,AC203,0))+IF(Crédits!$K$9="",0,IF(Crédits!$K$9&lt;Crédits!$K$10,AK203,0))))))</f>
        <v>0</v>
      </c>
      <c r="AU203" s="104">
        <f t="shared" si="11"/>
        <v>0</v>
      </c>
      <c r="AV203" s="88">
        <f>ROUND(AV202+AW203-MIN(N(Crédits!$E$10),AV202+AW203),2)</f>
        <v>0</v>
      </c>
      <c r="AW203" s="89">
        <f>AV202*N(Crédits!$D$10)/12</f>
        <v>0</v>
      </c>
      <c r="AX203" s="105">
        <f t="shared" si="12"/>
        <v>0</v>
      </c>
      <c r="AY203" s="105">
        <f t="shared" ref="AY203:AZ203" si="221">F203+N203+V203+AD203+AL203+AT203</f>
        <v>0</v>
      </c>
      <c r="AZ203" s="105">
        <f t="shared" si="221"/>
        <v>0</v>
      </c>
      <c r="BA203" s="105">
        <f t="shared" si="14"/>
        <v>0</v>
      </c>
      <c r="BB203" s="105">
        <f t="shared" si="15"/>
        <v>0</v>
      </c>
    </row>
    <row r="204" spans="1:54" ht="15" customHeight="1" x14ac:dyDescent="0.25">
      <c r="A204" s="2">
        <v>202</v>
      </c>
      <c r="B204" s="83">
        <f t="shared" si="16"/>
        <v>0</v>
      </c>
      <c r="C204" s="83">
        <f>B204*N(Crédits!$D$5)/12</f>
        <v>0</v>
      </c>
      <c r="D204" s="83">
        <f>MIN(N(Crédits!$E$5),B204+C204)</f>
        <v>0</v>
      </c>
      <c r="E204" s="83">
        <f t="shared" si="0"/>
        <v>0</v>
      </c>
      <c r="F204" s="86">
        <f>IF(Crédits!$K$5="",0,MAX(0,MIN(E204,Plan!$L$206-(IF(Crédits!$K$6="",0,IF(Crédits!$K$6&lt;Crédits!$K$5,M204,0))+IF(Crédits!$K$7="",0,IF(Crédits!$K$7&lt;Crédits!$K$5,U204,0))+IF(Crédits!$K$8="",0,IF(Crédits!$K$8&lt;Crédits!$K$5,AC204,0))+IF(Crédits!$K$9="",0,IF(Crédits!$K$9&lt;Crédits!$K$5,AK204,0))+IF(Crédits!$K$10="",0,IF(Crédits!$K$10&lt;Crédits!$K$5,AS204,0))))))</f>
        <v>0</v>
      </c>
      <c r="G204" s="87">
        <f t="shared" si="1"/>
        <v>0</v>
      </c>
      <c r="H204" s="88">
        <f>ROUND(H203+I204-MIN(N(Crédits!$E$5),H203+I204),2)</f>
        <v>0</v>
      </c>
      <c r="I204" s="89">
        <f>H203*N(Crédits!$D$5)/12</f>
        <v>0</v>
      </c>
      <c r="J204" s="90">
        <f t="shared" si="17"/>
        <v>0</v>
      </c>
      <c r="K204" s="90">
        <f>J204*N(Crédits!$D$6)/12</f>
        <v>0</v>
      </c>
      <c r="L204" s="90">
        <f>MIN(N(Crédits!$E$6),J204+K204)</f>
        <v>0</v>
      </c>
      <c r="M204" s="90">
        <f t="shared" si="2"/>
        <v>0</v>
      </c>
      <c r="N204" s="91">
        <f>IF(Crédits!$K$6="",0,MAX(0,MIN(M204,Plan!$L$206-(IF(Crédits!$K$5="",0,IF(Crédits!$K$5&lt;Crédits!$K$6,E204,0))+IF(Crédits!$K$7="",0,IF(Crédits!$K$7&lt;Crédits!$K$6,U204,0))+IF(Crédits!$K$8="",0,IF(Crédits!$K$8&lt;Crédits!$K$6,AC204,0))+IF(Crédits!$K$9="",0,IF(Crédits!$K$9&lt;Crédits!$K$6,AK204,0))+IF(Crédits!$K$10="",0,IF(Crédits!$K$10&lt;Crédits!$K$6,AS204,0))))))</f>
        <v>0</v>
      </c>
      <c r="O204" s="92">
        <f t="shared" si="3"/>
        <v>0</v>
      </c>
      <c r="P204" s="88">
        <f>ROUND(P203+Q204-MIN(N(Crédits!$E$6),P203+Q204),2)</f>
        <v>0</v>
      </c>
      <c r="Q204" s="89">
        <f>P203*N(Crédits!$D$6)/12</f>
        <v>0</v>
      </c>
      <c r="R204" s="93">
        <f t="shared" si="18"/>
        <v>0</v>
      </c>
      <c r="S204" s="93">
        <f>R204*N(Crédits!$D$7)/12</f>
        <v>0</v>
      </c>
      <c r="T204" s="93">
        <f>MIN(N(Crédits!$E$7),R204+S204)</f>
        <v>0</v>
      </c>
      <c r="U204" s="93">
        <f t="shared" si="4"/>
        <v>0</v>
      </c>
      <c r="V204" s="94">
        <f>IF(Crédits!$K$7="",0,MAX(0,MIN(U204,Plan!$L$206-(IF(Crédits!$K$5="",0,IF(Crédits!$K$5&lt;Crédits!$K$7,E204,0))+IF(Crédits!$K$6="",0,IF(Crédits!$K$6&lt;Crédits!$K$7,M204,0))+IF(Crédits!$K$8="",0,IF(Crédits!$K$8&lt;Crédits!$K$7,AC204,0))+IF(Crédits!$K$9="",0,IF(Crédits!$K$9&lt;Crédits!$K$7,AK204,0))+IF(Crédits!$K$10="",0,IF(Crédits!$K$10&lt;Crédits!$K$7,AS204,0))))))</f>
        <v>0</v>
      </c>
      <c r="W204" s="95">
        <f t="shared" si="5"/>
        <v>0</v>
      </c>
      <c r="X204" s="88">
        <f>ROUND(X203+Y204-MIN(N(Crédits!$E$7),X203+Y204),2)</f>
        <v>0</v>
      </c>
      <c r="Y204" s="89">
        <f>X203*N(Crédits!$D$7)/12</f>
        <v>0</v>
      </c>
      <c r="Z204" s="96">
        <f t="shared" si="19"/>
        <v>0</v>
      </c>
      <c r="AA204" s="96">
        <f>Z204*N(Crédits!$D$8)/12</f>
        <v>0</v>
      </c>
      <c r="AB204" s="96">
        <f>MIN(N(Crédits!$E$8),Z204+AA204)</f>
        <v>0</v>
      </c>
      <c r="AC204" s="96">
        <f t="shared" si="6"/>
        <v>0</v>
      </c>
      <c r="AD204" s="97">
        <f>IF(Crédits!$K$8="",0,MAX(0,MIN(AC204,Plan!$L$206-(IF(Crédits!$K$5="",0,IF(Crédits!$K$5&lt;Crédits!$K$8,E204,0))+IF(Crédits!$K$6="",0,IF(Crédits!$K$6&lt;Crédits!$K$8,M204,0))+IF(Crédits!$K$7="",0,IF(Crédits!$K$7&lt;Crédits!$K$8,U204,0))+IF(Crédits!$K$9="",0,IF(Crédits!$K$9&lt;Crédits!$K$8,AK204,0))+IF(Crédits!$K$10="",0,IF(Crédits!$K$10&lt;Crédits!$K$8,AS204,0))))))</f>
        <v>0</v>
      </c>
      <c r="AE204" s="98">
        <f t="shared" si="7"/>
        <v>0</v>
      </c>
      <c r="AF204" s="88">
        <f>ROUND(AF203+AG204-MIN(N(Crédits!$E$8),AF203+AG204),2)</f>
        <v>0</v>
      </c>
      <c r="AG204" s="89">
        <f>AF203*N(Crédits!$D$8)/12</f>
        <v>0</v>
      </c>
      <c r="AH204" s="99">
        <f t="shared" si="20"/>
        <v>0</v>
      </c>
      <c r="AI204" s="99">
        <f>AH204*N(Crédits!$D$9)/12</f>
        <v>0</v>
      </c>
      <c r="AJ204" s="99">
        <f>MIN(N(Crédits!$E$9),AH204+AI204)</f>
        <v>0</v>
      </c>
      <c r="AK204" s="99">
        <f t="shared" si="8"/>
        <v>0</v>
      </c>
      <c r="AL204" s="100">
        <f>IF(Crédits!$K$9="",0,MAX(0,MIN(AK204,Plan!$L$206-(IF(Crédits!$K$5="",0,IF(Crédits!$K$5&lt;Crédits!$K$9,E204,0))+IF(Crédits!$K$6="",0,IF(Crédits!$K$6&lt;Crédits!$K$9,M204,0))+IF(Crédits!$K$7="",0,IF(Crédits!$K$7&lt;Crédits!$K$9,U204,0))+IF(Crédits!$K$8="",0,IF(Crédits!$K$8&lt;Crédits!$K$9,AC204,0))+IF(Crédits!$K$10="",0,IF(Crédits!$K$10&lt;Crédits!$K$9,AS204,0))))))</f>
        <v>0</v>
      </c>
      <c r="AM204" s="101">
        <f t="shared" si="9"/>
        <v>0</v>
      </c>
      <c r="AN204" s="88">
        <f>ROUND(AN203+AO204-MIN(N(Crédits!$E$9),AN203+AO204),2)</f>
        <v>0</v>
      </c>
      <c r="AO204" s="89">
        <f>AN203*N(Crédits!$D$9)/12</f>
        <v>0</v>
      </c>
      <c r="AP204" s="102">
        <f t="shared" si="21"/>
        <v>0</v>
      </c>
      <c r="AQ204" s="102">
        <f>AP204*N(Crédits!$D$10)/12</f>
        <v>0</v>
      </c>
      <c r="AR204" s="102">
        <f>MIN(N(Crédits!$E$10),AP204+AQ204)</f>
        <v>0</v>
      </c>
      <c r="AS204" s="102">
        <f t="shared" si="10"/>
        <v>0</v>
      </c>
      <c r="AT204" s="103">
        <f>IF(Crédits!$K$10="",0,MAX(0,MIN(AS204,Plan!$L$206-(IF(Crédits!$K$5="",0,IF(Crédits!$K$5&lt;Crédits!$K$10,E204,0))+IF(Crédits!$K$6="",0,IF(Crédits!$K$6&lt;Crédits!$K$10,M204,0))+IF(Crédits!$K$7="",0,IF(Crédits!$K$7&lt;Crédits!$K$10,U204,0))+IF(Crédits!$K$8="",0,IF(Crédits!$K$8&lt;Crédits!$K$10,AC204,0))+IF(Crédits!$K$9="",0,IF(Crédits!$K$9&lt;Crédits!$K$10,AK204,0))))))</f>
        <v>0</v>
      </c>
      <c r="AU204" s="104">
        <f t="shared" si="11"/>
        <v>0</v>
      </c>
      <c r="AV204" s="88">
        <f>ROUND(AV203+AW204-MIN(N(Crédits!$E$10),AV203+AW204),2)</f>
        <v>0</v>
      </c>
      <c r="AW204" s="89">
        <f>AV203*N(Crédits!$D$10)/12</f>
        <v>0</v>
      </c>
      <c r="AX204" s="105">
        <f t="shared" si="12"/>
        <v>0</v>
      </c>
      <c r="AY204" s="105">
        <f t="shared" ref="AY204:AZ204" si="222">F204+N204+V204+AD204+AL204+AT204</f>
        <v>0</v>
      </c>
      <c r="AZ204" s="105">
        <f t="shared" si="222"/>
        <v>0</v>
      </c>
      <c r="BA204" s="105">
        <f t="shared" si="14"/>
        <v>0</v>
      </c>
      <c r="BB204" s="105">
        <f t="shared" si="15"/>
        <v>0</v>
      </c>
    </row>
    <row r="205" spans="1:54" ht="15" customHeight="1" x14ac:dyDescent="0.25">
      <c r="A205" s="2">
        <v>203</v>
      </c>
      <c r="B205" s="83">
        <f t="shared" si="16"/>
        <v>0</v>
      </c>
      <c r="C205" s="83">
        <f>B205*N(Crédits!$D$5)/12</f>
        <v>0</v>
      </c>
      <c r="D205" s="83">
        <f>MIN(N(Crédits!$E$5),B205+C205)</f>
        <v>0</v>
      </c>
      <c r="E205" s="83">
        <f t="shared" si="0"/>
        <v>0</v>
      </c>
      <c r="F205" s="86">
        <f>IF(Crédits!$K$5="",0,MAX(0,MIN(E205,Plan!$L$207-(IF(Crédits!$K$6="",0,IF(Crédits!$K$6&lt;Crédits!$K$5,M205,0))+IF(Crédits!$K$7="",0,IF(Crédits!$K$7&lt;Crédits!$K$5,U205,0))+IF(Crédits!$K$8="",0,IF(Crédits!$K$8&lt;Crédits!$K$5,AC205,0))+IF(Crédits!$K$9="",0,IF(Crédits!$K$9&lt;Crédits!$K$5,AK205,0))+IF(Crédits!$K$10="",0,IF(Crédits!$K$10&lt;Crédits!$K$5,AS205,0))))))</f>
        <v>0</v>
      </c>
      <c r="G205" s="87">
        <f t="shared" si="1"/>
        <v>0</v>
      </c>
      <c r="H205" s="88">
        <f>ROUND(H204+I205-MIN(N(Crédits!$E$5),H204+I205),2)</f>
        <v>0</v>
      </c>
      <c r="I205" s="89">
        <f>H204*N(Crédits!$D$5)/12</f>
        <v>0</v>
      </c>
      <c r="J205" s="90">
        <f t="shared" si="17"/>
        <v>0</v>
      </c>
      <c r="K205" s="90">
        <f>J205*N(Crédits!$D$6)/12</f>
        <v>0</v>
      </c>
      <c r="L205" s="90">
        <f>MIN(N(Crédits!$E$6),J205+K205)</f>
        <v>0</v>
      </c>
      <c r="M205" s="90">
        <f t="shared" si="2"/>
        <v>0</v>
      </c>
      <c r="N205" s="91">
        <f>IF(Crédits!$K$6="",0,MAX(0,MIN(M205,Plan!$L$207-(IF(Crédits!$K$5="",0,IF(Crédits!$K$5&lt;Crédits!$K$6,E205,0))+IF(Crédits!$K$7="",0,IF(Crédits!$K$7&lt;Crédits!$K$6,U205,0))+IF(Crédits!$K$8="",0,IF(Crédits!$K$8&lt;Crédits!$K$6,AC205,0))+IF(Crédits!$K$9="",0,IF(Crédits!$K$9&lt;Crédits!$K$6,AK205,0))+IF(Crédits!$K$10="",0,IF(Crédits!$K$10&lt;Crédits!$K$6,AS205,0))))))</f>
        <v>0</v>
      </c>
      <c r="O205" s="92">
        <f t="shared" si="3"/>
        <v>0</v>
      </c>
      <c r="P205" s="88">
        <f>ROUND(P204+Q205-MIN(N(Crédits!$E$6),P204+Q205),2)</f>
        <v>0</v>
      </c>
      <c r="Q205" s="89">
        <f>P204*N(Crédits!$D$6)/12</f>
        <v>0</v>
      </c>
      <c r="R205" s="93">
        <f t="shared" si="18"/>
        <v>0</v>
      </c>
      <c r="S205" s="93">
        <f>R205*N(Crédits!$D$7)/12</f>
        <v>0</v>
      </c>
      <c r="T205" s="93">
        <f>MIN(N(Crédits!$E$7),R205+S205)</f>
        <v>0</v>
      </c>
      <c r="U205" s="93">
        <f t="shared" si="4"/>
        <v>0</v>
      </c>
      <c r="V205" s="94">
        <f>IF(Crédits!$K$7="",0,MAX(0,MIN(U205,Plan!$L$207-(IF(Crédits!$K$5="",0,IF(Crédits!$K$5&lt;Crédits!$K$7,E205,0))+IF(Crédits!$K$6="",0,IF(Crédits!$K$6&lt;Crédits!$K$7,M205,0))+IF(Crédits!$K$8="",0,IF(Crédits!$K$8&lt;Crédits!$K$7,AC205,0))+IF(Crédits!$K$9="",0,IF(Crédits!$K$9&lt;Crédits!$K$7,AK205,0))+IF(Crédits!$K$10="",0,IF(Crédits!$K$10&lt;Crédits!$K$7,AS205,0))))))</f>
        <v>0</v>
      </c>
      <c r="W205" s="95">
        <f t="shared" si="5"/>
        <v>0</v>
      </c>
      <c r="X205" s="88">
        <f>ROUND(X204+Y205-MIN(N(Crédits!$E$7),X204+Y205),2)</f>
        <v>0</v>
      </c>
      <c r="Y205" s="89">
        <f>X204*N(Crédits!$D$7)/12</f>
        <v>0</v>
      </c>
      <c r="Z205" s="96">
        <f t="shared" si="19"/>
        <v>0</v>
      </c>
      <c r="AA205" s="96">
        <f>Z205*N(Crédits!$D$8)/12</f>
        <v>0</v>
      </c>
      <c r="AB205" s="96">
        <f>MIN(N(Crédits!$E$8),Z205+AA205)</f>
        <v>0</v>
      </c>
      <c r="AC205" s="96">
        <f t="shared" si="6"/>
        <v>0</v>
      </c>
      <c r="AD205" s="97">
        <f>IF(Crédits!$K$8="",0,MAX(0,MIN(AC205,Plan!$L$207-(IF(Crédits!$K$5="",0,IF(Crédits!$K$5&lt;Crédits!$K$8,E205,0))+IF(Crédits!$K$6="",0,IF(Crédits!$K$6&lt;Crédits!$K$8,M205,0))+IF(Crédits!$K$7="",0,IF(Crédits!$K$7&lt;Crédits!$K$8,U205,0))+IF(Crédits!$K$9="",0,IF(Crédits!$K$9&lt;Crédits!$K$8,AK205,0))+IF(Crédits!$K$10="",0,IF(Crédits!$K$10&lt;Crédits!$K$8,AS205,0))))))</f>
        <v>0</v>
      </c>
      <c r="AE205" s="98">
        <f t="shared" si="7"/>
        <v>0</v>
      </c>
      <c r="AF205" s="88">
        <f>ROUND(AF204+AG205-MIN(N(Crédits!$E$8),AF204+AG205),2)</f>
        <v>0</v>
      </c>
      <c r="AG205" s="89">
        <f>AF204*N(Crédits!$D$8)/12</f>
        <v>0</v>
      </c>
      <c r="AH205" s="99">
        <f t="shared" si="20"/>
        <v>0</v>
      </c>
      <c r="AI205" s="99">
        <f>AH205*N(Crédits!$D$9)/12</f>
        <v>0</v>
      </c>
      <c r="AJ205" s="99">
        <f>MIN(N(Crédits!$E$9),AH205+AI205)</f>
        <v>0</v>
      </c>
      <c r="AK205" s="99">
        <f t="shared" si="8"/>
        <v>0</v>
      </c>
      <c r="AL205" s="100">
        <f>IF(Crédits!$K$9="",0,MAX(0,MIN(AK205,Plan!$L$207-(IF(Crédits!$K$5="",0,IF(Crédits!$K$5&lt;Crédits!$K$9,E205,0))+IF(Crédits!$K$6="",0,IF(Crédits!$K$6&lt;Crédits!$K$9,M205,0))+IF(Crédits!$K$7="",0,IF(Crédits!$K$7&lt;Crédits!$K$9,U205,0))+IF(Crédits!$K$8="",0,IF(Crédits!$K$8&lt;Crédits!$K$9,AC205,0))+IF(Crédits!$K$10="",0,IF(Crédits!$K$10&lt;Crédits!$K$9,AS205,0))))))</f>
        <v>0</v>
      </c>
      <c r="AM205" s="101">
        <f t="shared" si="9"/>
        <v>0</v>
      </c>
      <c r="AN205" s="88">
        <f>ROUND(AN204+AO205-MIN(N(Crédits!$E$9),AN204+AO205),2)</f>
        <v>0</v>
      </c>
      <c r="AO205" s="89">
        <f>AN204*N(Crédits!$D$9)/12</f>
        <v>0</v>
      </c>
      <c r="AP205" s="102">
        <f t="shared" si="21"/>
        <v>0</v>
      </c>
      <c r="AQ205" s="102">
        <f>AP205*N(Crédits!$D$10)/12</f>
        <v>0</v>
      </c>
      <c r="AR205" s="102">
        <f>MIN(N(Crédits!$E$10),AP205+AQ205)</f>
        <v>0</v>
      </c>
      <c r="AS205" s="102">
        <f t="shared" si="10"/>
        <v>0</v>
      </c>
      <c r="AT205" s="103">
        <f>IF(Crédits!$K$10="",0,MAX(0,MIN(AS205,Plan!$L$207-(IF(Crédits!$K$5="",0,IF(Crédits!$K$5&lt;Crédits!$K$10,E205,0))+IF(Crédits!$K$6="",0,IF(Crédits!$K$6&lt;Crédits!$K$10,M205,0))+IF(Crédits!$K$7="",0,IF(Crédits!$K$7&lt;Crédits!$K$10,U205,0))+IF(Crédits!$K$8="",0,IF(Crédits!$K$8&lt;Crédits!$K$10,AC205,0))+IF(Crédits!$K$9="",0,IF(Crédits!$K$9&lt;Crédits!$K$10,AK205,0))))))</f>
        <v>0</v>
      </c>
      <c r="AU205" s="104">
        <f t="shared" si="11"/>
        <v>0</v>
      </c>
      <c r="AV205" s="88">
        <f>ROUND(AV204+AW205-MIN(N(Crédits!$E$10),AV204+AW205),2)</f>
        <v>0</v>
      </c>
      <c r="AW205" s="89">
        <f>AV204*N(Crédits!$D$10)/12</f>
        <v>0</v>
      </c>
      <c r="AX205" s="105">
        <f t="shared" si="12"/>
        <v>0</v>
      </c>
      <c r="AY205" s="105">
        <f t="shared" ref="AY205:AZ205" si="223">F205+N205+V205+AD205+AL205+AT205</f>
        <v>0</v>
      </c>
      <c r="AZ205" s="105">
        <f t="shared" si="223"/>
        <v>0</v>
      </c>
      <c r="BA205" s="105">
        <f t="shared" si="14"/>
        <v>0</v>
      </c>
      <c r="BB205" s="105">
        <f t="shared" si="15"/>
        <v>0</v>
      </c>
    </row>
    <row r="206" spans="1:54" ht="15" customHeight="1" x14ac:dyDescent="0.25">
      <c r="A206" s="2">
        <v>204</v>
      </c>
      <c r="B206" s="83">
        <f t="shared" si="16"/>
        <v>0</v>
      </c>
      <c r="C206" s="83">
        <f>B206*N(Crédits!$D$5)/12</f>
        <v>0</v>
      </c>
      <c r="D206" s="83">
        <f>MIN(N(Crédits!$E$5),B206+C206)</f>
        <v>0</v>
      </c>
      <c r="E206" s="83">
        <f t="shared" si="0"/>
        <v>0</v>
      </c>
      <c r="F206" s="86">
        <f>IF(Crédits!$K$5="",0,MAX(0,MIN(E206,Plan!$L$208-(IF(Crédits!$K$6="",0,IF(Crédits!$K$6&lt;Crédits!$K$5,M206,0))+IF(Crédits!$K$7="",0,IF(Crédits!$K$7&lt;Crédits!$K$5,U206,0))+IF(Crédits!$K$8="",0,IF(Crédits!$K$8&lt;Crédits!$K$5,AC206,0))+IF(Crédits!$K$9="",0,IF(Crédits!$K$9&lt;Crédits!$K$5,AK206,0))+IF(Crédits!$K$10="",0,IF(Crédits!$K$10&lt;Crédits!$K$5,AS206,0))))))</f>
        <v>0</v>
      </c>
      <c r="G206" s="87">
        <f t="shared" si="1"/>
        <v>0</v>
      </c>
      <c r="H206" s="88">
        <f>ROUND(H205+I206-MIN(N(Crédits!$E$5),H205+I206),2)</f>
        <v>0</v>
      </c>
      <c r="I206" s="89">
        <f>H205*N(Crédits!$D$5)/12</f>
        <v>0</v>
      </c>
      <c r="J206" s="90">
        <f t="shared" si="17"/>
        <v>0</v>
      </c>
      <c r="K206" s="90">
        <f>J206*N(Crédits!$D$6)/12</f>
        <v>0</v>
      </c>
      <c r="L206" s="90">
        <f>MIN(N(Crédits!$E$6),J206+K206)</f>
        <v>0</v>
      </c>
      <c r="M206" s="90">
        <f t="shared" si="2"/>
        <v>0</v>
      </c>
      <c r="N206" s="91">
        <f>IF(Crédits!$K$6="",0,MAX(0,MIN(M206,Plan!$L$208-(IF(Crédits!$K$5="",0,IF(Crédits!$K$5&lt;Crédits!$K$6,E206,0))+IF(Crédits!$K$7="",0,IF(Crédits!$K$7&lt;Crédits!$K$6,U206,0))+IF(Crédits!$K$8="",0,IF(Crédits!$K$8&lt;Crédits!$K$6,AC206,0))+IF(Crédits!$K$9="",0,IF(Crédits!$K$9&lt;Crédits!$K$6,AK206,0))+IF(Crédits!$K$10="",0,IF(Crédits!$K$10&lt;Crédits!$K$6,AS206,0))))))</f>
        <v>0</v>
      </c>
      <c r="O206" s="92">
        <f t="shared" si="3"/>
        <v>0</v>
      </c>
      <c r="P206" s="88">
        <f>ROUND(P205+Q206-MIN(N(Crédits!$E$6),P205+Q206),2)</f>
        <v>0</v>
      </c>
      <c r="Q206" s="89">
        <f>P205*N(Crédits!$D$6)/12</f>
        <v>0</v>
      </c>
      <c r="R206" s="93">
        <f t="shared" si="18"/>
        <v>0</v>
      </c>
      <c r="S206" s="93">
        <f>R206*N(Crédits!$D$7)/12</f>
        <v>0</v>
      </c>
      <c r="T206" s="93">
        <f>MIN(N(Crédits!$E$7),R206+S206)</f>
        <v>0</v>
      </c>
      <c r="U206" s="93">
        <f t="shared" si="4"/>
        <v>0</v>
      </c>
      <c r="V206" s="94">
        <f>IF(Crédits!$K$7="",0,MAX(0,MIN(U206,Plan!$L$208-(IF(Crédits!$K$5="",0,IF(Crédits!$K$5&lt;Crédits!$K$7,E206,0))+IF(Crédits!$K$6="",0,IF(Crédits!$K$6&lt;Crédits!$K$7,M206,0))+IF(Crédits!$K$8="",0,IF(Crédits!$K$8&lt;Crédits!$K$7,AC206,0))+IF(Crédits!$K$9="",0,IF(Crédits!$K$9&lt;Crédits!$K$7,AK206,0))+IF(Crédits!$K$10="",0,IF(Crédits!$K$10&lt;Crédits!$K$7,AS206,0))))))</f>
        <v>0</v>
      </c>
      <c r="W206" s="95">
        <f t="shared" si="5"/>
        <v>0</v>
      </c>
      <c r="X206" s="88">
        <f>ROUND(X205+Y206-MIN(N(Crédits!$E$7),X205+Y206),2)</f>
        <v>0</v>
      </c>
      <c r="Y206" s="89">
        <f>X205*N(Crédits!$D$7)/12</f>
        <v>0</v>
      </c>
      <c r="Z206" s="96">
        <f t="shared" si="19"/>
        <v>0</v>
      </c>
      <c r="AA206" s="96">
        <f>Z206*N(Crédits!$D$8)/12</f>
        <v>0</v>
      </c>
      <c r="AB206" s="96">
        <f>MIN(N(Crédits!$E$8),Z206+AA206)</f>
        <v>0</v>
      </c>
      <c r="AC206" s="96">
        <f t="shared" si="6"/>
        <v>0</v>
      </c>
      <c r="AD206" s="97">
        <f>IF(Crédits!$K$8="",0,MAX(0,MIN(AC206,Plan!$L$208-(IF(Crédits!$K$5="",0,IF(Crédits!$K$5&lt;Crédits!$K$8,E206,0))+IF(Crédits!$K$6="",0,IF(Crédits!$K$6&lt;Crédits!$K$8,M206,0))+IF(Crédits!$K$7="",0,IF(Crédits!$K$7&lt;Crédits!$K$8,U206,0))+IF(Crédits!$K$9="",0,IF(Crédits!$K$9&lt;Crédits!$K$8,AK206,0))+IF(Crédits!$K$10="",0,IF(Crédits!$K$10&lt;Crédits!$K$8,AS206,0))))))</f>
        <v>0</v>
      </c>
      <c r="AE206" s="98">
        <f t="shared" si="7"/>
        <v>0</v>
      </c>
      <c r="AF206" s="88">
        <f>ROUND(AF205+AG206-MIN(N(Crédits!$E$8),AF205+AG206),2)</f>
        <v>0</v>
      </c>
      <c r="AG206" s="89">
        <f>AF205*N(Crédits!$D$8)/12</f>
        <v>0</v>
      </c>
      <c r="AH206" s="99">
        <f t="shared" si="20"/>
        <v>0</v>
      </c>
      <c r="AI206" s="99">
        <f>AH206*N(Crédits!$D$9)/12</f>
        <v>0</v>
      </c>
      <c r="AJ206" s="99">
        <f>MIN(N(Crédits!$E$9),AH206+AI206)</f>
        <v>0</v>
      </c>
      <c r="AK206" s="99">
        <f t="shared" si="8"/>
        <v>0</v>
      </c>
      <c r="AL206" s="100">
        <f>IF(Crédits!$K$9="",0,MAX(0,MIN(AK206,Plan!$L$208-(IF(Crédits!$K$5="",0,IF(Crédits!$K$5&lt;Crédits!$K$9,E206,0))+IF(Crédits!$K$6="",0,IF(Crédits!$K$6&lt;Crédits!$K$9,M206,0))+IF(Crédits!$K$7="",0,IF(Crédits!$K$7&lt;Crédits!$K$9,U206,0))+IF(Crédits!$K$8="",0,IF(Crédits!$K$8&lt;Crédits!$K$9,AC206,0))+IF(Crédits!$K$10="",0,IF(Crédits!$K$10&lt;Crédits!$K$9,AS206,0))))))</f>
        <v>0</v>
      </c>
      <c r="AM206" s="101">
        <f t="shared" si="9"/>
        <v>0</v>
      </c>
      <c r="AN206" s="88">
        <f>ROUND(AN205+AO206-MIN(N(Crédits!$E$9),AN205+AO206),2)</f>
        <v>0</v>
      </c>
      <c r="AO206" s="89">
        <f>AN205*N(Crédits!$D$9)/12</f>
        <v>0</v>
      </c>
      <c r="AP206" s="102">
        <f t="shared" si="21"/>
        <v>0</v>
      </c>
      <c r="AQ206" s="102">
        <f>AP206*N(Crédits!$D$10)/12</f>
        <v>0</v>
      </c>
      <c r="AR206" s="102">
        <f>MIN(N(Crédits!$E$10),AP206+AQ206)</f>
        <v>0</v>
      </c>
      <c r="AS206" s="102">
        <f t="shared" si="10"/>
        <v>0</v>
      </c>
      <c r="AT206" s="103">
        <f>IF(Crédits!$K$10="",0,MAX(0,MIN(AS206,Plan!$L$208-(IF(Crédits!$K$5="",0,IF(Crédits!$K$5&lt;Crédits!$K$10,E206,0))+IF(Crédits!$K$6="",0,IF(Crédits!$K$6&lt;Crédits!$K$10,M206,0))+IF(Crédits!$K$7="",0,IF(Crédits!$K$7&lt;Crédits!$K$10,U206,0))+IF(Crédits!$K$8="",0,IF(Crédits!$K$8&lt;Crédits!$K$10,AC206,0))+IF(Crédits!$K$9="",0,IF(Crédits!$K$9&lt;Crédits!$K$10,AK206,0))))))</f>
        <v>0</v>
      </c>
      <c r="AU206" s="104">
        <f t="shared" si="11"/>
        <v>0</v>
      </c>
      <c r="AV206" s="88">
        <f>ROUND(AV205+AW206-MIN(N(Crédits!$E$10),AV205+AW206),2)</f>
        <v>0</v>
      </c>
      <c r="AW206" s="89">
        <f>AV205*N(Crédits!$D$10)/12</f>
        <v>0</v>
      </c>
      <c r="AX206" s="105">
        <f t="shared" si="12"/>
        <v>0</v>
      </c>
      <c r="AY206" s="105">
        <f t="shared" ref="AY206:AZ206" si="224">F206+N206+V206+AD206+AL206+AT206</f>
        <v>0</v>
      </c>
      <c r="AZ206" s="105">
        <f t="shared" si="224"/>
        <v>0</v>
      </c>
      <c r="BA206" s="105">
        <f t="shared" si="14"/>
        <v>0</v>
      </c>
      <c r="BB206" s="105">
        <f t="shared" si="15"/>
        <v>0</v>
      </c>
    </row>
    <row r="207" spans="1:54" ht="15" customHeight="1" x14ac:dyDescent="0.25">
      <c r="A207" s="2">
        <v>205</v>
      </c>
      <c r="B207" s="83">
        <f t="shared" si="16"/>
        <v>0</v>
      </c>
      <c r="C207" s="83">
        <f>B207*N(Crédits!$D$5)/12</f>
        <v>0</v>
      </c>
      <c r="D207" s="83">
        <f>MIN(N(Crédits!$E$5),B207+C207)</f>
        <v>0</v>
      </c>
      <c r="E207" s="83">
        <f t="shared" si="0"/>
        <v>0</v>
      </c>
      <c r="F207" s="86">
        <f>IF(Crédits!$K$5="",0,MAX(0,MIN(E207,Plan!$L$209-(IF(Crédits!$K$6="",0,IF(Crédits!$K$6&lt;Crédits!$K$5,M207,0))+IF(Crédits!$K$7="",0,IF(Crédits!$K$7&lt;Crédits!$K$5,U207,0))+IF(Crédits!$K$8="",0,IF(Crédits!$K$8&lt;Crédits!$K$5,AC207,0))+IF(Crédits!$K$9="",0,IF(Crédits!$K$9&lt;Crédits!$K$5,AK207,0))+IF(Crédits!$K$10="",0,IF(Crédits!$K$10&lt;Crédits!$K$5,AS207,0))))))</f>
        <v>0</v>
      </c>
      <c r="G207" s="87">
        <f t="shared" si="1"/>
        <v>0</v>
      </c>
      <c r="H207" s="88">
        <f>ROUND(H206+I207-MIN(N(Crédits!$E$5),H206+I207),2)</f>
        <v>0</v>
      </c>
      <c r="I207" s="89">
        <f>H206*N(Crédits!$D$5)/12</f>
        <v>0</v>
      </c>
      <c r="J207" s="90">
        <f t="shared" si="17"/>
        <v>0</v>
      </c>
      <c r="K207" s="90">
        <f>J207*N(Crédits!$D$6)/12</f>
        <v>0</v>
      </c>
      <c r="L207" s="90">
        <f>MIN(N(Crédits!$E$6),J207+K207)</f>
        <v>0</v>
      </c>
      <c r="M207" s="90">
        <f t="shared" si="2"/>
        <v>0</v>
      </c>
      <c r="N207" s="91">
        <f>IF(Crédits!$K$6="",0,MAX(0,MIN(M207,Plan!$L$209-(IF(Crédits!$K$5="",0,IF(Crédits!$K$5&lt;Crédits!$K$6,E207,0))+IF(Crédits!$K$7="",0,IF(Crédits!$K$7&lt;Crédits!$K$6,U207,0))+IF(Crédits!$K$8="",0,IF(Crédits!$K$8&lt;Crédits!$K$6,AC207,0))+IF(Crédits!$K$9="",0,IF(Crédits!$K$9&lt;Crédits!$K$6,AK207,0))+IF(Crédits!$K$10="",0,IF(Crédits!$K$10&lt;Crédits!$K$6,AS207,0))))))</f>
        <v>0</v>
      </c>
      <c r="O207" s="92">
        <f t="shared" si="3"/>
        <v>0</v>
      </c>
      <c r="P207" s="88">
        <f>ROUND(P206+Q207-MIN(N(Crédits!$E$6),P206+Q207),2)</f>
        <v>0</v>
      </c>
      <c r="Q207" s="89">
        <f>P206*N(Crédits!$D$6)/12</f>
        <v>0</v>
      </c>
      <c r="R207" s="93">
        <f t="shared" si="18"/>
        <v>0</v>
      </c>
      <c r="S207" s="93">
        <f>R207*N(Crédits!$D$7)/12</f>
        <v>0</v>
      </c>
      <c r="T207" s="93">
        <f>MIN(N(Crédits!$E$7),R207+S207)</f>
        <v>0</v>
      </c>
      <c r="U207" s="93">
        <f t="shared" si="4"/>
        <v>0</v>
      </c>
      <c r="V207" s="94">
        <f>IF(Crédits!$K$7="",0,MAX(0,MIN(U207,Plan!$L$209-(IF(Crédits!$K$5="",0,IF(Crédits!$K$5&lt;Crédits!$K$7,E207,0))+IF(Crédits!$K$6="",0,IF(Crédits!$K$6&lt;Crédits!$K$7,M207,0))+IF(Crédits!$K$8="",0,IF(Crédits!$K$8&lt;Crédits!$K$7,AC207,0))+IF(Crédits!$K$9="",0,IF(Crédits!$K$9&lt;Crédits!$K$7,AK207,0))+IF(Crédits!$K$10="",0,IF(Crédits!$K$10&lt;Crédits!$K$7,AS207,0))))))</f>
        <v>0</v>
      </c>
      <c r="W207" s="95">
        <f t="shared" si="5"/>
        <v>0</v>
      </c>
      <c r="X207" s="88">
        <f>ROUND(X206+Y207-MIN(N(Crédits!$E$7),X206+Y207),2)</f>
        <v>0</v>
      </c>
      <c r="Y207" s="89">
        <f>X206*N(Crédits!$D$7)/12</f>
        <v>0</v>
      </c>
      <c r="Z207" s="96">
        <f t="shared" si="19"/>
        <v>0</v>
      </c>
      <c r="AA207" s="96">
        <f>Z207*N(Crédits!$D$8)/12</f>
        <v>0</v>
      </c>
      <c r="AB207" s="96">
        <f>MIN(N(Crédits!$E$8),Z207+AA207)</f>
        <v>0</v>
      </c>
      <c r="AC207" s="96">
        <f t="shared" si="6"/>
        <v>0</v>
      </c>
      <c r="AD207" s="97">
        <f>IF(Crédits!$K$8="",0,MAX(0,MIN(AC207,Plan!$L$209-(IF(Crédits!$K$5="",0,IF(Crédits!$K$5&lt;Crédits!$K$8,E207,0))+IF(Crédits!$K$6="",0,IF(Crédits!$K$6&lt;Crédits!$K$8,M207,0))+IF(Crédits!$K$7="",0,IF(Crédits!$K$7&lt;Crédits!$K$8,U207,0))+IF(Crédits!$K$9="",0,IF(Crédits!$K$9&lt;Crédits!$K$8,AK207,0))+IF(Crédits!$K$10="",0,IF(Crédits!$K$10&lt;Crédits!$K$8,AS207,0))))))</f>
        <v>0</v>
      </c>
      <c r="AE207" s="98">
        <f t="shared" si="7"/>
        <v>0</v>
      </c>
      <c r="AF207" s="88">
        <f>ROUND(AF206+AG207-MIN(N(Crédits!$E$8),AF206+AG207),2)</f>
        <v>0</v>
      </c>
      <c r="AG207" s="89">
        <f>AF206*N(Crédits!$D$8)/12</f>
        <v>0</v>
      </c>
      <c r="AH207" s="99">
        <f t="shared" si="20"/>
        <v>0</v>
      </c>
      <c r="AI207" s="99">
        <f>AH207*N(Crédits!$D$9)/12</f>
        <v>0</v>
      </c>
      <c r="AJ207" s="99">
        <f>MIN(N(Crédits!$E$9),AH207+AI207)</f>
        <v>0</v>
      </c>
      <c r="AK207" s="99">
        <f t="shared" si="8"/>
        <v>0</v>
      </c>
      <c r="AL207" s="100">
        <f>IF(Crédits!$K$9="",0,MAX(0,MIN(AK207,Plan!$L$209-(IF(Crédits!$K$5="",0,IF(Crédits!$K$5&lt;Crédits!$K$9,E207,0))+IF(Crédits!$K$6="",0,IF(Crédits!$K$6&lt;Crédits!$K$9,M207,0))+IF(Crédits!$K$7="",0,IF(Crédits!$K$7&lt;Crédits!$K$9,U207,0))+IF(Crédits!$K$8="",0,IF(Crédits!$K$8&lt;Crédits!$K$9,AC207,0))+IF(Crédits!$K$10="",0,IF(Crédits!$K$10&lt;Crédits!$K$9,AS207,0))))))</f>
        <v>0</v>
      </c>
      <c r="AM207" s="101">
        <f t="shared" si="9"/>
        <v>0</v>
      </c>
      <c r="AN207" s="88">
        <f>ROUND(AN206+AO207-MIN(N(Crédits!$E$9),AN206+AO207),2)</f>
        <v>0</v>
      </c>
      <c r="AO207" s="89">
        <f>AN206*N(Crédits!$D$9)/12</f>
        <v>0</v>
      </c>
      <c r="AP207" s="102">
        <f t="shared" si="21"/>
        <v>0</v>
      </c>
      <c r="AQ207" s="102">
        <f>AP207*N(Crédits!$D$10)/12</f>
        <v>0</v>
      </c>
      <c r="AR207" s="102">
        <f>MIN(N(Crédits!$E$10),AP207+AQ207)</f>
        <v>0</v>
      </c>
      <c r="AS207" s="102">
        <f t="shared" si="10"/>
        <v>0</v>
      </c>
      <c r="AT207" s="103">
        <f>IF(Crédits!$K$10="",0,MAX(0,MIN(AS207,Plan!$L$209-(IF(Crédits!$K$5="",0,IF(Crédits!$K$5&lt;Crédits!$K$10,E207,0))+IF(Crédits!$K$6="",0,IF(Crédits!$K$6&lt;Crédits!$K$10,M207,0))+IF(Crédits!$K$7="",0,IF(Crédits!$K$7&lt;Crédits!$K$10,U207,0))+IF(Crédits!$K$8="",0,IF(Crédits!$K$8&lt;Crédits!$K$10,AC207,0))+IF(Crédits!$K$9="",0,IF(Crédits!$K$9&lt;Crédits!$K$10,AK207,0))))))</f>
        <v>0</v>
      </c>
      <c r="AU207" s="104">
        <f t="shared" si="11"/>
        <v>0</v>
      </c>
      <c r="AV207" s="88">
        <f>ROUND(AV206+AW207-MIN(N(Crédits!$E$10),AV206+AW207),2)</f>
        <v>0</v>
      </c>
      <c r="AW207" s="89">
        <f>AV206*N(Crédits!$D$10)/12</f>
        <v>0</v>
      </c>
      <c r="AX207" s="105">
        <f t="shared" si="12"/>
        <v>0</v>
      </c>
      <c r="AY207" s="105">
        <f t="shared" ref="AY207:AZ207" si="225">F207+N207+V207+AD207+AL207+AT207</f>
        <v>0</v>
      </c>
      <c r="AZ207" s="105">
        <f t="shared" si="225"/>
        <v>0</v>
      </c>
      <c r="BA207" s="105">
        <f t="shared" si="14"/>
        <v>0</v>
      </c>
      <c r="BB207" s="105">
        <f t="shared" si="15"/>
        <v>0</v>
      </c>
    </row>
    <row r="208" spans="1:54" ht="15" customHeight="1" x14ac:dyDescent="0.25">
      <c r="A208" s="2">
        <v>206</v>
      </c>
      <c r="B208" s="83">
        <f t="shared" si="16"/>
        <v>0</v>
      </c>
      <c r="C208" s="83">
        <f>B208*N(Crédits!$D$5)/12</f>
        <v>0</v>
      </c>
      <c r="D208" s="83">
        <f>MIN(N(Crédits!$E$5),B208+C208)</f>
        <v>0</v>
      </c>
      <c r="E208" s="83">
        <f t="shared" si="0"/>
        <v>0</v>
      </c>
      <c r="F208" s="86">
        <f>IF(Crédits!$K$5="",0,MAX(0,MIN(E208,Plan!$L$210-(IF(Crédits!$K$6="",0,IF(Crédits!$K$6&lt;Crédits!$K$5,M208,0))+IF(Crédits!$K$7="",0,IF(Crédits!$K$7&lt;Crédits!$K$5,U208,0))+IF(Crédits!$K$8="",0,IF(Crédits!$K$8&lt;Crédits!$K$5,AC208,0))+IF(Crédits!$K$9="",0,IF(Crédits!$K$9&lt;Crédits!$K$5,AK208,0))+IF(Crédits!$K$10="",0,IF(Crédits!$K$10&lt;Crédits!$K$5,AS208,0))))))</f>
        <v>0</v>
      </c>
      <c r="G208" s="87">
        <f t="shared" si="1"/>
        <v>0</v>
      </c>
      <c r="H208" s="88">
        <f>ROUND(H207+I208-MIN(N(Crédits!$E$5),H207+I208),2)</f>
        <v>0</v>
      </c>
      <c r="I208" s="89">
        <f>H207*N(Crédits!$D$5)/12</f>
        <v>0</v>
      </c>
      <c r="J208" s="90">
        <f t="shared" si="17"/>
        <v>0</v>
      </c>
      <c r="K208" s="90">
        <f>J208*N(Crédits!$D$6)/12</f>
        <v>0</v>
      </c>
      <c r="L208" s="90">
        <f>MIN(N(Crédits!$E$6),J208+K208)</f>
        <v>0</v>
      </c>
      <c r="M208" s="90">
        <f t="shared" si="2"/>
        <v>0</v>
      </c>
      <c r="N208" s="91">
        <f>IF(Crédits!$K$6="",0,MAX(0,MIN(M208,Plan!$L$210-(IF(Crédits!$K$5="",0,IF(Crédits!$K$5&lt;Crédits!$K$6,E208,0))+IF(Crédits!$K$7="",0,IF(Crédits!$K$7&lt;Crédits!$K$6,U208,0))+IF(Crédits!$K$8="",0,IF(Crédits!$K$8&lt;Crédits!$K$6,AC208,0))+IF(Crédits!$K$9="",0,IF(Crédits!$K$9&lt;Crédits!$K$6,AK208,0))+IF(Crédits!$K$10="",0,IF(Crédits!$K$10&lt;Crédits!$K$6,AS208,0))))))</f>
        <v>0</v>
      </c>
      <c r="O208" s="92">
        <f t="shared" si="3"/>
        <v>0</v>
      </c>
      <c r="P208" s="88">
        <f>ROUND(P207+Q208-MIN(N(Crédits!$E$6),P207+Q208),2)</f>
        <v>0</v>
      </c>
      <c r="Q208" s="89">
        <f>P207*N(Crédits!$D$6)/12</f>
        <v>0</v>
      </c>
      <c r="R208" s="93">
        <f t="shared" si="18"/>
        <v>0</v>
      </c>
      <c r="S208" s="93">
        <f>R208*N(Crédits!$D$7)/12</f>
        <v>0</v>
      </c>
      <c r="T208" s="93">
        <f>MIN(N(Crédits!$E$7),R208+S208)</f>
        <v>0</v>
      </c>
      <c r="U208" s="93">
        <f t="shared" si="4"/>
        <v>0</v>
      </c>
      <c r="V208" s="94">
        <f>IF(Crédits!$K$7="",0,MAX(0,MIN(U208,Plan!$L$210-(IF(Crédits!$K$5="",0,IF(Crédits!$K$5&lt;Crédits!$K$7,E208,0))+IF(Crédits!$K$6="",0,IF(Crédits!$K$6&lt;Crédits!$K$7,M208,0))+IF(Crédits!$K$8="",0,IF(Crédits!$K$8&lt;Crédits!$K$7,AC208,0))+IF(Crédits!$K$9="",0,IF(Crédits!$K$9&lt;Crédits!$K$7,AK208,0))+IF(Crédits!$K$10="",0,IF(Crédits!$K$10&lt;Crédits!$K$7,AS208,0))))))</f>
        <v>0</v>
      </c>
      <c r="W208" s="95">
        <f t="shared" si="5"/>
        <v>0</v>
      </c>
      <c r="X208" s="88">
        <f>ROUND(X207+Y208-MIN(N(Crédits!$E$7),X207+Y208),2)</f>
        <v>0</v>
      </c>
      <c r="Y208" s="89">
        <f>X207*N(Crédits!$D$7)/12</f>
        <v>0</v>
      </c>
      <c r="Z208" s="96">
        <f t="shared" si="19"/>
        <v>0</v>
      </c>
      <c r="AA208" s="96">
        <f>Z208*N(Crédits!$D$8)/12</f>
        <v>0</v>
      </c>
      <c r="AB208" s="96">
        <f>MIN(N(Crédits!$E$8),Z208+AA208)</f>
        <v>0</v>
      </c>
      <c r="AC208" s="96">
        <f t="shared" si="6"/>
        <v>0</v>
      </c>
      <c r="AD208" s="97">
        <f>IF(Crédits!$K$8="",0,MAX(0,MIN(AC208,Plan!$L$210-(IF(Crédits!$K$5="",0,IF(Crédits!$K$5&lt;Crédits!$K$8,E208,0))+IF(Crédits!$K$6="",0,IF(Crédits!$K$6&lt;Crédits!$K$8,M208,0))+IF(Crédits!$K$7="",0,IF(Crédits!$K$7&lt;Crédits!$K$8,U208,0))+IF(Crédits!$K$9="",0,IF(Crédits!$K$9&lt;Crédits!$K$8,AK208,0))+IF(Crédits!$K$10="",0,IF(Crédits!$K$10&lt;Crédits!$K$8,AS208,0))))))</f>
        <v>0</v>
      </c>
      <c r="AE208" s="98">
        <f t="shared" si="7"/>
        <v>0</v>
      </c>
      <c r="AF208" s="88">
        <f>ROUND(AF207+AG208-MIN(N(Crédits!$E$8),AF207+AG208),2)</f>
        <v>0</v>
      </c>
      <c r="AG208" s="89">
        <f>AF207*N(Crédits!$D$8)/12</f>
        <v>0</v>
      </c>
      <c r="AH208" s="99">
        <f t="shared" si="20"/>
        <v>0</v>
      </c>
      <c r="AI208" s="99">
        <f>AH208*N(Crédits!$D$9)/12</f>
        <v>0</v>
      </c>
      <c r="AJ208" s="99">
        <f>MIN(N(Crédits!$E$9),AH208+AI208)</f>
        <v>0</v>
      </c>
      <c r="AK208" s="99">
        <f t="shared" si="8"/>
        <v>0</v>
      </c>
      <c r="AL208" s="100">
        <f>IF(Crédits!$K$9="",0,MAX(0,MIN(AK208,Plan!$L$210-(IF(Crédits!$K$5="",0,IF(Crédits!$K$5&lt;Crédits!$K$9,E208,0))+IF(Crédits!$K$6="",0,IF(Crédits!$K$6&lt;Crédits!$K$9,M208,0))+IF(Crédits!$K$7="",0,IF(Crédits!$K$7&lt;Crédits!$K$9,U208,0))+IF(Crédits!$K$8="",0,IF(Crédits!$K$8&lt;Crédits!$K$9,AC208,0))+IF(Crédits!$K$10="",0,IF(Crédits!$K$10&lt;Crédits!$K$9,AS208,0))))))</f>
        <v>0</v>
      </c>
      <c r="AM208" s="101">
        <f t="shared" si="9"/>
        <v>0</v>
      </c>
      <c r="AN208" s="88">
        <f>ROUND(AN207+AO208-MIN(N(Crédits!$E$9),AN207+AO208),2)</f>
        <v>0</v>
      </c>
      <c r="AO208" s="89">
        <f>AN207*N(Crédits!$D$9)/12</f>
        <v>0</v>
      </c>
      <c r="AP208" s="102">
        <f t="shared" si="21"/>
        <v>0</v>
      </c>
      <c r="AQ208" s="102">
        <f>AP208*N(Crédits!$D$10)/12</f>
        <v>0</v>
      </c>
      <c r="AR208" s="102">
        <f>MIN(N(Crédits!$E$10),AP208+AQ208)</f>
        <v>0</v>
      </c>
      <c r="AS208" s="102">
        <f t="shared" si="10"/>
        <v>0</v>
      </c>
      <c r="AT208" s="103">
        <f>IF(Crédits!$K$10="",0,MAX(0,MIN(AS208,Plan!$L$210-(IF(Crédits!$K$5="",0,IF(Crédits!$K$5&lt;Crédits!$K$10,E208,0))+IF(Crédits!$K$6="",0,IF(Crédits!$K$6&lt;Crédits!$K$10,M208,0))+IF(Crédits!$K$7="",0,IF(Crédits!$K$7&lt;Crédits!$K$10,U208,0))+IF(Crédits!$K$8="",0,IF(Crédits!$K$8&lt;Crédits!$K$10,AC208,0))+IF(Crédits!$K$9="",0,IF(Crédits!$K$9&lt;Crédits!$K$10,AK208,0))))))</f>
        <v>0</v>
      </c>
      <c r="AU208" s="104">
        <f t="shared" si="11"/>
        <v>0</v>
      </c>
      <c r="AV208" s="88">
        <f>ROUND(AV207+AW208-MIN(N(Crédits!$E$10),AV207+AW208),2)</f>
        <v>0</v>
      </c>
      <c r="AW208" s="89">
        <f>AV207*N(Crédits!$D$10)/12</f>
        <v>0</v>
      </c>
      <c r="AX208" s="105">
        <f t="shared" si="12"/>
        <v>0</v>
      </c>
      <c r="AY208" s="105">
        <f t="shared" ref="AY208:AZ208" si="226">F208+N208+V208+AD208+AL208+AT208</f>
        <v>0</v>
      </c>
      <c r="AZ208" s="105">
        <f t="shared" si="226"/>
        <v>0</v>
      </c>
      <c r="BA208" s="105">
        <f t="shared" si="14"/>
        <v>0</v>
      </c>
      <c r="BB208" s="105">
        <f t="shared" si="15"/>
        <v>0</v>
      </c>
    </row>
    <row r="209" spans="1:54" ht="15" customHeight="1" x14ac:dyDescent="0.25">
      <c r="A209" s="2">
        <v>207</v>
      </c>
      <c r="B209" s="83">
        <f t="shared" si="16"/>
        <v>0</v>
      </c>
      <c r="C209" s="83">
        <f>B209*N(Crédits!$D$5)/12</f>
        <v>0</v>
      </c>
      <c r="D209" s="83">
        <f>MIN(N(Crédits!$E$5),B209+C209)</f>
        <v>0</v>
      </c>
      <c r="E209" s="83">
        <f t="shared" si="0"/>
        <v>0</v>
      </c>
      <c r="F209" s="86">
        <f>IF(Crédits!$K$5="",0,MAX(0,MIN(E209,Plan!$L$211-(IF(Crédits!$K$6="",0,IF(Crédits!$K$6&lt;Crédits!$K$5,M209,0))+IF(Crédits!$K$7="",0,IF(Crédits!$K$7&lt;Crédits!$K$5,U209,0))+IF(Crédits!$K$8="",0,IF(Crédits!$K$8&lt;Crédits!$K$5,AC209,0))+IF(Crédits!$K$9="",0,IF(Crédits!$K$9&lt;Crédits!$K$5,AK209,0))+IF(Crédits!$K$10="",0,IF(Crédits!$K$10&lt;Crédits!$K$5,AS209,0))))))</f>
        <v>0</v>
      </c>
      <c r="G209" s="87">
        <f t="shared" si="1"/>
        <v>0</v>
      </c>
      <c r="H209" s="88">
        <f>ROUND(H208+I209-MIN(N(Crédits!$E$5),H208+I209),2)</f>
        <v>0</v>
      </c>
      <c r="I209" s="89">
        <f>H208*N(Crédits!$D$5)/12</f>
        <v>0</v>
      </c>
      <c r="J209" s="90">
        <f t="shared" si="17"/>
        <v>0</v>
      </c>
      <c r="K209" s="90">
        <f>J209*N(Crédits!$D$6)/12</f>
        <v>0</v>
      </c>
      <c r="L209" s="90">
        <f>MIN(N(Crédits!$E$6),J209+K209)</f>
        <v>0</v>
      </c>
      <c r="M209" s="90">
        <f t="shared" si="2"/>
        <v>0</v>
      </c>
      <c r="N209" s="91">
        <f>IF(Crédits!$K$6="",0,MAX(0,MIN(M209,Plan!$L$211-(IF(Crédits!$K$5="",0,IF(Crédits!$K$5&lt;Crédits!$K$6,E209,0))+IF(Crédits!$K$7="",0,IF(Crédits!$K$7&lt;Crédits!$K$6,U209,0))+IF(Crédits!$K$8="",0,IF(Crédits!$K$8&lt;Crédits!$K$6,AC209,0))+IF(Crédits!$K$9="",0,IF(Crédits!$K$9&lt;Crédits!$K$6,AK209,0))+IF(Crédits!$K$10="",0,IF(Crédits!$K$10&lt;Crédits!$K$6,AS209,0))))))</f>
        <v>0</v>
      </c>
      <c r="O209" s="92">
        <f t="shared" si="3"/>
        <v>0</v>
      </c>
      <c r="P209" s="88">
        <f>ROUND(P208+Q209-MIN(N(Crédits!$E$6),P208+Q209),2)</f>
        <v>0</v>
      </c>
      <c r="Q209" s="89">
        <f>P208*N(Crédits!$D$6)/12</f>
        <v>0</v>
      </c>
      <c r="R209" s="93">
        <f t="shared" si="18"/>
        <v>0</v>
      </c>
      <c r="S209" s="93">
        <f>R209*N(Crédits!$D$7)/12</f>
        <v>0</v>
      </c>
      <c r="T209" s="93">
        <f>MIN(N(Crédits!$E$7),R209+S209)</f>
        <v>0</v>
      </c>
      <c r="U209" s="93">
        <f t="shared" si="4"/>
        <v>0</v>
      </c>
      <c r="V209" s="94">
        <f>IF(Crédits!$K$7="",0,MAX(0,MIN(U209,Plan!$L$211-(IF(Crédits!$K$5="",0,IF(Crédits!$K$5&lt;Crédits!$K$7,E209,0))+IF(Crédits!$K$6="",0,IF(Crédits!$K$6&lt;Crédits!$K$7,M209,0))+IF(Crédits!$K$8="",0,IF(Crédits!$K$8&lt;Crédits!$K$7,AC209,0))+IF(Crédits!$K$9="",0,IF(Crédits!$K$9&lt;Crédits!$K$7,AK209,0))+IF(Crédits!$K$10="",0,IF(Crédits!$K$10&lt;Crédits!$K$7,AS209,0))))))</f>
        <v>0</v>
      </c>
      <c r="W209" s="95">
        <f t="shared" si="5"/>
        <v>0</v>
      </c>
      <c r="X209" s="88">
        <f>ROUND(X208+Y209-MIN(N(Crédits!$E$7),X208+Y209),2)</f>
        <v>0</v>
      </c>
      <c r="Y209" s="89">
        <f>X208*N(Crédits!$D$7)/12</f>
        <v>0</v>
      </c>
      <c r="Z209" s="96">
        <f t="shared" si="19"/>
        <v>0</v>
      </c>
      <c r="AA209" s="96">
        <f>Z209*N(Crédits!$D$8)/12</f>
        <v>0</v>
      </c>
      <c r="AB209" s="96">
        <f>MIN(N(Crédits!$E$8),Z209+AA209)</f>
        <v>0</v>
      </c>
      <c r="AC209" s="96">
        <f t="shared" si="6"/>
        <v>0</v>
      </c>
      <c r="AD209" s="97">
        <f>IF(Crédits!$K$8="",0,MAX(0,MIN(AC209,Plan!$L$211-(IF(Crédits!$K$5="",0,IF(Crédits!$K$5&lt;Crédits!$K$8,E209,0))+IF(Crédits!$K$6="",0,IF(Crédits!$K$6&lt;Crédits!$K$8,M209,0))+IF(Crédits!$K$7="",0,IF(Crédits!$K$7&lt;Crédits!$K$8,U209,0))+IF(Crédits!$K$9="",0,IF(Crédits!$K$9&lt;Crédits!$K$8,AK209,0))+IF(Crédits!$K$10="",0,IF(Crédits!$K$10&lt;Crédits!$K$8,AS209,0))))))</f>
        <v>0</v>
      </c>
      <c r="AE209" s="98">
        <f t="shared" si="7"/>
        <v>0</v>
      </c>
      <c r="AF209" s="88">
        <f>ROUND(AF208+AG209-MIN(N(Crédits!$E$8),AF208+AG209),2)</f>
        <v>0</v>
      </c>
      <c r="AG209" s="89">
        <f>AF208*N(Crédits!$D$8)/12</f>
        <v>0</v>
      </c>
      <c r="AH209" s="99">
        <f t="shared" si="20"/>
        <v>0</v>
      </c>
      <c r="AI209" s="99">
        <f>AH209*N(Crédits!$D$9)/12</f>
        <v>0</v>
      </c>
      <c r="AJ209" s="99">
        <f>MIN(N(Crédits!$E$9),AH209+AI209)</f>
        <v>0</v>
      </c>
      <c r="AK209" s="99">
        <f t="shared" si="8"/>
        <v>0</v>
      </c>
      <c r="AL209" s="100">
        <f>IF(Crédits!$K$9="",0,MAX(0,MIN(AK209,Plan!$L$211-(IF(Crédits!$K$5="",0,IF(Crédits!$K$5&lt;Crédits!$K$9,E209,0))+IF(Crédits!$K$6="",0,IF(Crédits!$K$6&lt;Crédits!$K$9,M209,0))+IF(Crédits!$K$7="",0,IF(Crédits!$K$7&lt;Crédits!$K$9,U209,0))+IF(Crédits!$K$8="",0,IF(Crédits!$K$8&lt;Crédits!$K$9,AC209,0))+IF(Crédits!$K$10="",0,IF(Crédits!$K$10&lt;Crédits!$K$9,AS209,0))))))</f>
        <v>0</v>
      </c>
      <c r="AM209" s="101">
        <f t="shared" si="9"/>
        <v>0</v>
      </c>
      <c r="AN209" s="88">
        <f>ROUND(AN208+AO209-MIN(N(Crédits!$E$9),AN208+AO209),2)</f>
        <v>0</v>
      </c>
      <c r="AO209" s="89">
        <f>AN208*N(Crédits!$D$9)/12</f>
        <v>0</v>
      </c>
      <c r="AP209" s="102">
        <f t="shared" si="21"/>
        <v>0</v>
      </c>
      <c r="AQ209" s="102">
        <f>AP209*N(Crédits!$D$10)/12</f>
        <v>0</v>
      </c>
      <c r="AR209" s="102">
        <f>MIN(N(Crédits!$E$10),AP209+AQ209)</f>
        <v>0</v>
      </c>
      <c r="AS209" s="102">
        <f t="shared" si="10"/>
        <v>0</v>
      </c>
      <c r="AT209" s="103">
        <f>IF(Crédits!$K$10="",0,MAX(0,MIN(AS209,Plan!$L$211-(IF(Crédits!$K$5="",0,IF(Crédits!$K$5&lt;Crédits!$K$10,E209,0))+IF(Crédits!$K$6="",0,IF(Crédits!$K$6&lt;Crédits!$K$10,M209,0))+IF(Crédits!$K$7="",0,IF(Crédits!$K$7&lt;Crédits!$K$10,U209,0))+IF(Crédits!$K$8="",0,IF(Crédits!$K$8&lt;Crédits!$K$10,AC209,0))+IF(Crédits!$K$9="",0,IF(Crédits!$K$9&lt;Crédits!$K$10,AK209,0))))))</f>
        <v>0</v>
      </c>
      <c r="AU209" s="104">
        <f t="shared" si="11"/>
        <v>0</v>
      </c>
      <c r="AV209" s="88">
        <f>ROUND(AV208+AW209-MIN(N(Crédits!$E$10),AV208+AW209),2)</f>
        <v>0</v>
      </c>
      <c r="AW209" s="89">
        <f>AV208*N(Crédits!$D$10)/12</f>
        <v>0</v>
      </c>
      <c r="AX209" s="105">
        <f t="shared" si="12"/>
        <v>0</v>
      </c>
      <c r="AY209" s="105">
        <f t="shared" ref="AY209:AZ209" si="227">F209+N209+V209+AD209+AL209+AT209</f>
        <v>0</v>
      </c>
      <c r="AZ209" s="105">
        <f t="shared" si="227"/>
        <v>0</v>
      </c>
      <c r="BA209" s="105">
        <f t="shared" si="14"/>
        <v>0</v>
      </c>
      <c r="BB209" s="105">
        <f t="shared" si="15"/>
        <v>0</v>
      </c>
    </row>
    <row r="210" spans="1:54" ht="15" customHeight="1" x14ac:dyDescent="0.25">
      <c r="A210" s="2">
        <v>208</v>
      </c>
      <c r="B210" s="83">
        <f t="shared" si="16"/>
        <v>0</v>
      </c>
      <c r="C210" s="83">
        <f>B210*N(Crédits!$D$5)/12</f>
        <v>0</v>
      </c>
      <c r="D210" s="83">
        <f>MIN(N(Crédits!$E$5),B210+C210)</f>
        <v>0</v>
      </c>
      <c r="E210" s="83">
        <f t="shared" si="0"/>
        <v>0</v>
      </c>
      <c r="F210" s="86">
        <f>IF(Crédits!$K$5="",0,MAX(0,MIN(E210,Plan!$L$212-(IF(Crédits!$K$6="",0,IF(Crédits!$K$6&lt;Crédits!$K$5,M210,0))+IF(Crédits!$K$7="",0,IF(Crédits!$K$7&lt;Crédits!$K$5,U210,0))+IF(Crédits!$K$8="",0,IF(Crédits!$K$8&lt;Crédits!$K$5,AC210,0))+IF(Crédits!$K$9="",0,IF(Crédits!$K$9&lt;Crédits!$K$5,AK210,0))+IF(Crédits!$K$10="",0,IF(Crédits!$K$10&lt;Crédits!$K$5,AS210,0))))))</f>
        <v>0</v>
      </c>
      <c r="G210" s="87">
        <f t="shared" si="1"/>
        <v>0</v>
      </c>
      <c r="H210" s="88">
        <f>ROUND(H209+I210-MIN(N(Crédits!$E$5),H209+I210),2)</f>
        <v>0</v>
      </c>
      <c r="I210" s="89">
        <f>H209*N(Crédits!$D$5)/12</f>
        <v>0</v>
      </c>
      <c r="J210" s="90">
        <f t="shared" si="17"/>
        <v>0</v>
      </c>
      <c r="K210" s="90">
        <f>J210*N(Crédits!$D$6)/12</f>
        <v>0</v>
      </c>
      <c r="L210" s="90">
        <f>MIN(N(Crédits!$E$6),J210+K210)</f>
        <v>0</v>
      </c>
      <c r="M210" s="90">
        <f t="shared" si="2"/>
        <v>0</v>
      </c>
      <c r="N210" s="91">
        <f>IF(Crédits!$K$6="",0,MAX(0,MIN(M210,Plan!$L$212-(IF(Crédits!$K$5="",0,IF(Crédits!$K$5&lt;Crédits!$K$6,E210,0))+IF(Crédits!$K$7="",0,IF(Crédits!$K$7&lt;Crédits!$K$6,U210,0))+IF(Crédits!$K$8="",0,IF(Crédits!$K$8&lt;Crédits!$K$6,AC210,0))+IF(Crédits!$K$9="",0,IF(Crédits!$K$9&lt;Crédits!$K$6,AK210,0))+IF(Crédits!$K$10="",0,IF(Crédits!$K$10&lt;Crédits!$K$6,AS210,0))))))</f>
        <v>0</v>
      </c>
      <c r="O210" s="92">
        <f t="shared" si="3"/>
        <v>0</v>
      </c>
      <c r="P210" s="88">
        <f>ROUND(P209+Q210-MIN(N(Crédits!$E$6),P209+Q210),2)</f>
        <v>0</v>
      </c>
      <c r="Q210" s="89">
        <f>P209*N(Crédits!$D$6)/12</f>
        <v>0</v>
      </c>
      <c r="R210" s="93">
        <f t="shared" si="18"/>
        <v>0</v>
      </c>
      <c r="S210" s="93">
        <f>R210*N(Crédits!$D$7)/12</f>
        <v>0</v>
      </c>
      <c r="T210" s="93">
        <f>MIN(N(Crédits!$E$7),R210+S210)</f>
        <v>0</v>
      </c>
      <c r="U210" s="93">
        <f t="shared" si="4"/>
        <v>0</v>
      </c>
      <c r="V210" s="94">
        <f>IF(Crédits!$K$7="",0,MAX(0,MIN(U210,Plan!$L$212-(IF(Crédits!$K$5="",0,IF(Crédits!$K$5&lt;Crédits!$K$7,E210,0))+IF(Crédits!$K$6="",0,IF(Crédits!$K$6&lt;Crédits!$K$7,M210,0))+IF(Crédits!$K$8="",0,IF(Crédits!$K$8&lt;Crédits!$K$7,AC210,0))+IF(Crédits!$K$9="",0,IF(Crédits!$K$9&lt;Crédits!$K$7,AK210,0))+IF(Crédits!$K$10="",0,IF(Crédits!$K$10&lt;Crédits!$K$7,AS210,0))))))</f>
        <v>0</v>
      </c>
      <c r="W210" s="95">
        <f t="shared" si="5"/>
        <v>0</v>
      </c>
      <c r="X210" s="88">
        <f>ROUND(X209+Y210-MIN(N(Crédits!$E$7),X209+Y210),2)</f>
        <v>0</v>
      </c>
      <c r="Y210" s="89">
        <f>X209*N(Crédits!$D$7)/12</f>
        <v>0</v>
      </c>
      <c r="Z210" s="96">
        <f t="shared" si="19"/>
        <v>0</v>
      </c>
      <c r="AA210" s="96">
        <f>Z210*N(Crédits!$D$8)/12</f>
        <v>0</v>
      </c>
      <c r="AB210" s="96">
        <f>MIN(N(Crédits!$E$8),Z210+AA210)</f>
        <v>0</v>
      </c>
      <c r="AC210" s="96">
        <f t="shared" si="6"/>
        <v>0</v>
      </c>
      <c r="AD210" s="97">
        <f>IF(Crédits!$K$8="",0,MAX(0,MIN(AC210,Plan!$L$212-(IF(Crédits!$K$5="",0,IF(Crédits!$K$5&lt;Crédits!$K$8,E210,0))+IF(Crédits!$K$6="",0,IF(Crédits!$K$6&lt;Crédits!$K$8,M210,0))+IF(Crédits!$K$7="",0,IF(Crédits!$K$7&lt;Crédits!$K$8,U210,0))+IF(Crédits!$K$9="",0,IF(Crédits!$K$9&lt;Crédits!$K$8,AK210,0))+IF(Crédits!$K$10="",0,IF(Crédits!$K$10&lt;Crédits!$K$8,AS210,0))))))</f>
        <v>0</v>
      </c>
      <c r="AE210" s="98">
        <f t="shared" si="7"/>
        <v>0</v>
      </c>
      <c r="AF210" s="88">
        <f>ROUND(AF209+AG210-MIN(N(Crédits!$E$8),AF209+AG210),2)</f>
        <v>0</v>
      </c>
      <c r="AG210" s="89">
        <f>AF209*N(Crédits!$D$8)/12</f>
        <v>0</v>
      </c>
      <c r="AH210" s="99">
        <f t="shared" si="20"/>
        <v>0</v>
      </c>
      <c r="AI210" s="99">
        <f>AH210*N(Crédits!$D$9)/12</f>
        <v>0</v>
      </c>
      <c r="AJ210" s="99">
        <f>MIN(N(Crédits!$E$9),AH210+AI210)</f>
        <v>0</v>
      </c>
      <c r="AK210" s="99">
        <f t="shared" si="8"/>
        <v>0</v>
      </c>
      <c r="AL210" s="100">
        <f>IF(Crédits!$K$9="",0,MAX(0,MIN(AK210,Plan!$L$212-(IF(Crédits!$K$5="",0,IF(Crédits!$K$5&lt;Crédits!$K$9,E210,0))+IF(Crédits!$K$6="",0,IF(Crédits!$K$6&lt;Crédits!$K$9,M210,0))+IF(Crédits!$K$7="",0,IF(Crédits!$K$7&lt;Crédits!$K$9,U210,0))+IF(Crédits!$K$8="",0,IF(Crédits!$K$8&lt;Crédits!$K$9,AC210,0))+IF(Crédits!$K$10="",0,IF(Crédits!$K$10&lt;Crédits!$K$9,AS210,0))))))</f>
        <v>0</v>
      </c>
      <c r="AM210" s="101">
        <f t="shared" si="9"/>
        <v>0</v>
      </c>
      <c r="AN210" s="88">
        <f>ROUND(AN209+AO210-MIN(N(Crédits!$E$9),AN209+AO210),2)</f>
        <v>0</v>
      </c>
      <c r="AO210" s="89">
        <f>AN209*N(Crédits!$D$9)/12</f>
        <v>0</v>
      </c>
      <c r="AP210" s="102">
        <f t="shared" si="21"/>
        <v>0</v>
      </c>
      <c r="AQ210" s="102">
        <f>AP210*N(Crédits!$D$10)/12</f>
        <v>0</v>
      </c>
      <c r="AR210" s="102">
        <f>MIN(N(Crédits!$E$10),AP210+AQ210)</f>
        <v>0</v>
      </c>
      <c r="AS210" s="102">
        <f t="shared" si="10"/>
        <v>0</v>
      </c>
      <c r="AT210" s="103">
        <f>IF(Crédits!$K$10="",0,MAX(0,MIN(AS210,Plan!$L$212-(IF(Crédits!$K$5="",0,IF(Crédits!$K$5&lt;Crédits!$K$10,E210,0))+IF(Crédits!$K$6="",0,IF(Crédits!$K$6&lt;Crédits!$K$10,M210,0))+IF(Crédits!$K$7="",0,IF(Crédits!$K$7&lt;Crédits!$K$10,U210,0))+IF(Crédits!$K$8="",0,IF(Crédits!$K$8&lt;Crédits!$K$10,AC210,0))+IF(Crédits!$K$9="",0,IF(Crédits!$K$9&lt;Crédits!$K$10,AK210,0))))))</f>
        <v>0</v>
      </c>
      <c r="AU210" s="104">
        <f t="shared" si="11"/>
        <v>0</v>
      </c>
      <c r="AV210" s="88">
        <f>ROUND(AV209+AW210-MIN(N(Crédits!$E$10),AV209+AW210),2)</f>
        <v>0</v>
      </c>
      <c r="AW210" s="89">
        <f>AV209*N(Crédits!$D$10)/12</f>
        <v>0</v>
      </c>
      <c r="AX210" s="105">
        <f t="shared" si="12"/>
        <v>0</v>
      </c>
      <c r="AY210" s="105">
        <f t="shared" ref="AY210:AZ210" si="228">F210+N210+V210+AD210+AL210+AT210</f>
        <v>0</v>
      </c>
      <c r="AZ210" s="105">
        <f t="shared" si="228"/>
        <v>0</v>
      </c>
      <c r="BA210" s="105">
        <f t="shared" si="14"/>
        <v>0</v>
      </c>
      <c r="BB210" s="105">
        <f t="shared" si="15"/>
        <v>0</v>
      </c>
    </row>
    <row r="211" spans="1:54" ht="15" customHeight="1" x14ac:dyDescent="0.25">
      <c r="A211" s="2">
        <v>209</v>
      </c>
      <c r="B211" s="83">
        <f t="shared" si="16"/>
        <v>0</v>
      </c>
      <c r="C211" s="83">
        <f>B211*N(Crédits!$D$5)/12</f>
        <v>0</v>
      </c>
      <c r="D211" s="83">
        <f>MIN(N(Crédits!$E$5),B211+C211)</f>
        <v>0</v>
      </c>
      <c r="E211" s="83">
        <f t="shared" si="0"/>
        <v>0</v>
      </c>
      <c r="F211" s="86">
        <f>IF(Crédits!$K$5="",0,MAX(0,MIN(E211,Plan!$L$213-(IF(Crédits!$K$6="",0,IF(Crédits!$K$6&lt;Crédits!$K$5,M211,0))+IF(Crédits!$K$7="",0,IF(Crédits!$K$7&lt;Crédits!$K$5,U211,0))+IF(Crédits!$K$8="",0,IF(Crédits!$K$8&lt;Crédits!$K$5,AC211,0))+IF(Crédits!$K$9="",0,IF(Crédits!$K$9&lt;Crédits!$K$5,AK211,0))+IF(Crédits!$K$10="",0,IF(Crédits!$K$10&lt;Crédits!$K$5,AS211,0))))))</f>
        <v>0</v>
      </c>
      <c r="G211" s="87">
        <f t="shared" si="1"/>
        <v>0</v>
      </c>
      <c r="H211" s="88">
        <f>ROUND(H210+I211-MIN(N(Crédits!$E$5),H210+I211),2)</f>
        <v>0</v>
      </c>
      <c r="I211" s="89">
        <f>H210*N(Crédits!$D$5)/12</f>
        <v>0</v>
      </c>
      <c r="J211" s="90">
        <f t="shared" si="17"/>
        <v>0</v>
      </c>
      <c r="K211" s="90">
        <f>J211*N(Crédits!$D$6)/12</f>
        <v>0</v>
      </c>
      <c r="L211" s="90">
        <f>MIN(N(Crédits!$E$6),J211+K211)</f>
        <v>0</v>
      </c>
      <c r="M211" s="90">
        <f t="shared" si="2"/>
        <v>0</v>
      </c>
      <c r="N211" s="91">
        <f>IF(Crédits!$K$6="",0,MAX(0,MIN(M211,Plan!$L$213-(IF(Crédits!$K$5="",0,IF(Crédits!$K$5&lt;Crédits!$K$6,E211,0))+IF(Crédits!$K$7="",0,IF(Crédits!$K$7&lt;Crédits!$K$6,U211,0))+IF(Crédits!$K$8="",0,IF(Crédits!$K$8&lt;Crédits!$K$6,AC211,0))+IF(Crédits!$K$9="",0,IF(Crédits!$K$9&lt;Crédits!$K$6,AK211,0))+IF(Crédits!$K$10="",0,IF(Crédits!$K$10&lt;Crédits!$K$6,AS211,0))))))</f>
        <v>0</v>
      </c>
      <c r="O211" s="92">
        <f t="shared" si="3"/>
        <v>0</v>
      </c>
      <c r="P211" s="88">
        <f>ROUND(P210+Q211-MIN(N(Crédits!$E$6),P210+Q211),2)</f>
        <v>0</v>
      </c>
      <c r="Q211" s="89">
        <f>P210*N(Crédits!$D$6)/12</f>
        <v>0</v>
      </c>
      <c r="R211" s="93">
        <f t="shared" si="18"/>
        <v>0</v>
      </c>
      <c r="S211" s="93">
        <f>R211*N(Crédits!$D$7)/12</f>
        <v>0</v>
      </c>
      <c r="T211" s="93">
        <f>MIN(N(Crédits!$E$7),R211+S211)</f>
        <v>0</v>
      </c>
      <c r="U211" s="93">
        <f t="shared" si="4"/>
        <v>0</v>
      </c>
      <c r="V211" s="94">
        <f>IF(Crédits!$K$7="",0,MAX(0,MIN(U211,Plan!$L$213-(IF(Crédits!$K$5="",0,IF(Crédits!$K$5&lt;Crédits!$K$7,E211,0))+IF(Crédits!$K$6="",0,IF(Crédits!$K$6&lt;Crédits!$K$7,M211,0))+IF(Crédits!$K$8="",0,IF(Crédits!$K$8&lt;Crédits!$K$7,AC211,0))+IF(Crédits!$K$9="",0,IF(Crédits!$K$9&lt;Crédits!$K$7,AK211,0))+IF(Crédits!$K$10="",0,IF(Crédits!$K$10&lt;Crédits!$K$7,AS211,0))))))</f>
        <v>0</v>
      </c>
      <c r="W211" s="95">
        <f t="shared" si="5"/>
        <v>0</v>
      </c>
      <c r="X211" s="88">
        <f>ROUND(X210+Y211-MIN(N(Crédits!$E$7),X210+Y211),2)</f>
        <v>0</v>
      </c>
      <c r="Y211" s="89">
        <f>X210*N(Crédits!$D$7)/12</f>
        <v>0</v>
      </c>
      <c r="Z211" s="96">
        <f t="shared" si="19"/>
        <v>0</v>
      </c>
      <c r="AA211" s="96">
        <f>Z211*N(Crédits!$D$8)/12</f>
        <v>0</v>
      </c>
      <c r="AB211" s="96">
        <f>MIN(N(Crédits!$E$8),Z211+AA211)</f>
        <v>0</v>
      </c>
      <c r="AC211" s="96">
        <f t="shared" si="6"/>
        <v>0</v>
      </c>
      <c r="AD211" s="97">
        <f>IF(Crédits!$K$8="",0,MAX(0,MIN(AC211,Plan!$L$213-(IF(Crédits!$K$5="",0,IF(Crédits!$K$5&lt;Crédits!$K$8,E211,0))+IF(Crédits!$K$6="",0,IF(Crédits!$K$6&lt;Crédits!$K$8,M211,0))+IF(Crédits!$K$7="",0,IF(Crédits!$K$7&lt;Crédits!$K$8,U211,0))+IF(Crédits!$K$9="",0,IF(Crédits!$K$9&lt;Crédits!$K$8,AK211,0))+IF(Crédits!$K$10="",0,IF(Crédits!$K$10&lt;Crédits!$K$8,AS211,0))))))</f>
        <v>0</v>
      </c>
      <c r="AE211" s="98">
        <f t="shared" si="7"/>
        <v>0</v>
      </c>
      <c r="AF211" s="88">
        <f>ROUND(AF210+AG211-MIN(N(Crédits!$E$8),AF210+AG211),2)</f>
        <v>0</v>
      </c>
      <c r="AG211" s="89">
        <f>AF210*N(Crédits!$D$8)/12</f>
        <v>0</v>
      </c>
      <c r="AH211" s="99">
        <f t="shared" si="20"/>
        <v>0</v>
      </c>
      <c r="AI211" s="99">
        <f>AH211*N(Crédits!$D$9)/12</f>
        <v>0</v>
      </c>
      <c r="AJ211" s="99">
        <f>MIN(N(Crédits!$E$9),AH211+AI211)</f>
        <v>0</v>
      </c>
      <c r="AK211" s="99">
        <f t="shared" si="8"/>
        <v>0</v>
      </c>
      <c r="AL211" s="100">
        <f>IF(Crédits!$K$9="",0,MAX(0,MIN(AK211,Plan!$L$213-(IF(Crédits!$K$5="",0,IF(Crédits!$K$5&lt;Crédits!$K$9,E211,0))+IF(Crédits!$K$6="",0,IF(Crédits!$K$6&lt;Crédits!$K$9,M211,0))+IF(Crédits!$K$7="",0,IF(Crédits!$K$7&lt;Crédits!$K$9,U211,0))+IF(Crédits!$K$8="",0,IF(Crédits!$K$8&lt;Crédits!$K$9,AC211,0))+IF(Crédits!$K$10="",0,IF(Crédits!$K$10&lt;Crédits!$K$9,AS211,0))))))</f>
        <v>0</v>
      </c>
      <c r="AM211" s="101">
        <f t="shared" si="9"/>
        <v>0</v>
      </c>
      <c r="AN211" s="88">
        <f>ROUND(AN210+AO211-MIN(N(Crédits!$E$9),AN210+AO211),2)</f>
        <v>0</v>
      </c>
      <c r="AO211" s="89">
        <f>AN210*N(Crédits!$D$9)/12</f>
        <v>0</v>
      </c>
      <c r="AP211" s="102">
        <f t="shared" si="21"/>
        <v>0</v>
      </c>
      <c r="AQ211" s="102">
        <f>AP211*N(Crédits!$D$10)/12</f>
        <v>0</v>
      </c>
      <c r="AR211" s="102">
        <f>MIN(N(Crédits!$E$10),AP211+AQ211)</f>
        <v>0</v>
      </c>
      <c r="AS211" s="102">
        <f t="shared" si="10"/>
        <v>0</v>
      </c>
      <c r="AT211" s="103">
        <f>IF(Crédits!$K$10="",0,MAX(0,MIN(AS211,Plan!$L$213-(IF(Crédits!$K$5="",0,IF(Crédits!$K$5&lt;Crédits!$K$10,E211,0))+IF(Crédits!$K$6="",0,IF(Crédits!$K$6&lt;Crédits!$K$10,M211,0))+IF(Crédits!$K$7="",0,IF(Crédits!$K$7&lt;Crédits!$K$10,U211,0))+IF(Crédits!$K$8="",0,IF(Crédits!$K$8&lt;Crédits!$K$10,AC211,0))+IF(Crédits!$K$9="",0,IF(Crédits!$K$9&lt;Crédits!$K$10,AK211,0))))))</f>
        <v>0</v>
      </c>
      <c r="AU211" s="104">
        <f t="shared" si="11"/>
        <v>0</v>
      </c>
      <c r="AV211" s="88">
        <f>ROUND(AV210+AW211-MIN(N(Crédits!$E$10),AV210+AW211),2)</f>
        <v>0</v>
      </c>
      <c r="AW211" s="89">
        <f>AV210*N(Crédits!$D$10)/12</f>
        <v>0</v>
      </c>
      <c r="AX211" s="105">
        <f t="shared" si="12"/>
        <v>0</v>
      </c>
      <c r="AY211" s="105">
        <f t="shared" ref="AY211:AZ211" si="229">F211+N211+V211+AD211+AL211+AT211</f>
        <v>0</v>
      </c>
      <c r="AZ211" s="105">
        <f t="shared" si="229"/>
        <v>0</v>
      </c>
      <c r="BA211" s="105">
        <f t="shared" si="14"/>
        <v>0</v>
      </c>
      <c r="BB211" s="105">
        <f t="shared" si="15"/>
        <v>0</v>
      </c>
    </row>
    <row r="212" spans="1:54" ht="15" customHeight="1" x14ac:dyDescent="0.25">
      <c r="A212" s="2">
        <v>210</v>
      </c>
      <c r="B212" s="83">
        <f t="shared" si="16"/>
        <v>0</v>
      </c>
      <c r="C212" s="83">
        <f>B212*N(Crédits!$D$5)/12</f>
        <v>0</v>
      </c>
      <c r="D212" s="83">
        <f>MIN(N(Crédits!$E$5),B212+C212)</f>
        <v>0</v>
      </c>
      <c r="E212" s="83">
        <f t="shared" si="0"/>
        <v>0</v>
      </c>
      <c r="F212" s="86">
        <f>IF(Crédits!$K$5="",0,MAX(0,MIN(E212,Plan!$L$214-(IF(Crédits!$K$6="",0,IF(Crédits!$K$6&lt;Crédits!$K$5,M212,0))+IF(Crédits!$K$7="",0,IF(Crédits!$K$7&lt;Crédits!$K$5,U212,0))+IF(Crédits!$K$8="",0,IF(Crédits!$K$8&lt;Crédits!$K$5,AC212,0))+IF(Crédits!$K$9="",0,IF(Crédits!$K$9&lt;Crédits!$K$5,AK212,0))+IF(Crédits!$K$10="",0,IF(Crédits!$K$10&lt;Crédits!$K$5,AS212,0))))))</f>
        <v>0</v>
      </c>
      <c r="G212" s="87">
        <f t="shared" si="1"/>
        <v>0</v>
      </c>
      <c r="H212" s="88">
        <f>ROUND(H211+I212-MIN(N(Crédits!$E$5),H211+I212),2)</f>
        <v>0</v>
      </c>
      <c r="I212" s="89">
        <f>H211*N(Crédits!$D$5)/12</f>
        <v>0</v>
      </c>
      <c r="J212" s="90">
        <f t="shared" si="17"/>
        <v>0</v>
      </c>
      <c r="K212" s="90">
        <f>J212*N(Crédits!$D$6)/12</f>
        <v>0</v>
      </c>
      <c r="L212" s="90">
        <f>MIN(N(Crédits!$E$6),J212+K212)</f>
        <v>0</v>
      </c>
      <c r="M212" s="90">
        <f t="shared" si="2"/>
        <v>0</v>
      </c>
      <c r="N212" s="91">
        <f>IF(Crédits!$K$6="",0,MAX(0,MIN(M212,Plan!$L$214-(IF(Crédits!$K$5="",0,IF(Crédits!$K$5&lt;Crédits!$K$6,E212,0))+IF(Crédits!$K$7="",0,IF(Crédits!$K$7&lt;Crédits!$K$6,U212,0))+IF(Crédits!$K$8="",0,IF(Crédits!$K$8&lt;Crédits!$K$6,AC212,0))+IF(Crédits!$K$9="",0,IF(Crédits!$K$9&lt;Crédits!$K$6,AK212,0))+IF(Crédits!$K$10="",0,IF(Crédits!$K$10&lt;Crédits!$K$6,AS212,0))))))</f>
        <v>0</v>
      </c>
      <c r="O212" s="92">
        <f t="shared" si="3"/>
        <v>0</v>
      </c>
      <c r="P212" s="88">
        <f>ROUND(P211+Q212-MIN(N(Crédits!$E$6),P211+Q212),2)</f>
        <v>0</v>
      </c>
      <c r="Q212" s="89">
        <f>P211*N(Crédits!$D$6)/12</f>
        <v>0</v>
      </c>
      <c r="R212" s="93">
        <f t="shared" si="18"/>
        <v>0</v>
      </c>
      <c r="S212" s="93">
        <f>R212*N(Crédits!$D$7)/12</f>
        <v>0</v>
      </c>
      <c r="T212" s="93">
        <f>MIN(N(Crédits!$E$7),R212+S212)</f>
        <v>0</v>
      </c>
      <c r="U212" s="93">
        <f t="shared" si="4"/>
        <v>0</v>
      </c>
      <c r="V212" s="94">
        <f>IF(Crédits!$K$7="",0,MAX(0,MIN(U212,Plan!$L$214-(IF(Crédits!$K$5="",0,IF(Crédits!$K$5&lt;Crédits!$K$7,E212,0))+IF(Crédits!$K$6="",0,IF(Crédits!$K$6&lt;Crédits!$K$7,M212,0))+IF(Crédits!$K$8="",0,IF(Crédits!$K$8&lt;Crédits!$K$7,AC212,0))+IF(Crédits!$K$9="",0,IF(Crédits!$K$9&lt;Crédits!$K$7,AK212,0))+IF(Crédits!$K$10="",0,IF(Crédits!$K$10&lt;Crédits!$K$7,AS212,0))))))</f>
        <v>0</v>
      </c>
      <c r="W212" s="95">
        <f t="shared" si="5"/>
        <v>0</v>
      </c>
      <c r="X212" s="88">
        <f>ROUND(X211+Y212-MIN(N(Crédits!$E$7),X211+Y212),2)</f>
        <v>0</v>
      </c>
      <c r="Y212" s="89">
        <f>X211*N(Crédits!$D$7)/12</f>
        <v>0</v>
      </c>
      <c r="Z212" s="96">
        <f t="shared" si="19"/>
        <v>0</v>
      </c>
      <c r="AA212" s="96">
        <f>Z212*N(Crédits!$D$8)/12</f>
        <v>0</v>
      </c>
      <c r="AB212" s="96">
        <f>MIN(N(Crédits!$E$8),Z212+AA212)</f>
        <v>0</v>
      </c>
      <c r="AC212" s="96">
        <f t="shared" si="6"/>
        <v>0</v>
      </c>
      <c r="AD212" s="97">
        <f>IF(Crédits!$K$8="",0,MAX(0,MIN(AC212,Plan!$L$214-(IF(Crédits!$K$5="",0,IF(Crédits!$K$5&lt;Crédits!$K$8,E212,0))+IF(Crédits!$K$6="",0,IF(Crédits!$K$6&lt;Crédits!$K$8,M212,0))+IF(Crédits!$K$7="",0,IF(Crédits!$K$7&lt;Crédits!$K$8,U212,0))+IF(Crédits!$K$9="",0,IF(Crédits!$K$9&lt;Crédits!$K$8,AK212,0))+IF(Crédits!$K$10="",0,IF(Crédits!$K$10&lt;Crédits!$K$8,AS212,0))))))</f>
        <v>0</v>
      </c>
      <c r="AE212" s="98">
        <f t="shared" si="7"/>
        <v>0</v>
      </c>
      <c r="AF212" s="88">
        <f>ROUND(AF211+AG212-MIN(N(Crédits!$E$8),AF211+AG212),2)</f>
        <v>0</v>
      </c>
      <c r="AG212" s="89">
        <f>AF211*N(Crédits!$D$8)/12</f>
        <v>0</v>
      </c>
      <c r="AH212" s="99">
        <f t="shared" si="20"/>
        <v>0</v>
      </c>
      <c r="AI212" s="99">
        <f>AH212*N(Crédits!$D$9)/12</f>
        <v>0</v>
      </c>
      <c r="AJ212" s="99">
        <f>MIN(N(Crédits!$E$9),AH212+AI212)</f>
        <v>0</v>
      </c>
      <c r="AK212" s="99">
        <f t="shared" si="8"/>
        <v>0</v>
      </c>
      <c r="AL212" s="100">
        <f>IF(Crédits!$K$9="",0,MAX(0,MIN(AK212,Plan!$L$214-(IF(Crédits!$K$5="",0,IF(Crédits!$K$5&lt;Crédits!$K$9,E212,0))+IF(Crédits!$K$6="",0,IF(Crédits!$K$6&lt;Crédits!$K$9,M212,0))+IF(Crédits!$K$7="",0,IF(Crédits!$K$7&lt;Crédits!$K$9,U212,0))+IF(Crédits!$K$8="",0,IF(Crédits!$K$8&lt;Crédits!$K$9,AC212,0))+IF(Crédits!$K$10="",0,IF(Crédits!$K$10&lt;Crédits!$K$9,AS212,0))))))</f>
        <v>0</v>
      </c>
      <c r="AM212" s="101">
        <f t="shared" si="9"/>
        <v>0</v>
      </c>
      <c r="AN212" s="88">
        <f>ROUND(AN211+AO212-MIN(N(Crédits!$E$9),AN211+AO212),2)</f>
        <v>0</v>
      </c>
      <c r="AO212" s="89">
        <f>AN211*N(Crédits!$D$9)/12</f>
        <v>0</v>
      </c>
      <c r="AP212" s="102">
        <f t="shared" si="21"/>
        <v>0</v>
      </c>
      <c r="AQ212" s="102">
        <f>AP212*N(Crédits!$D$10)/12</f>
        <v>0</v>
      </c>
      <c r="AR212" s="102">
        <f>MIN(N(Crédits!$E$10),AP212+AQ212)</f>
        <v>0</v>
      </c>
      <c r="AS212" s="102">
        <f t="shared" si="10"/>
        <v>0</v>
      </c>
      <c r="AT212" s="103">
        <f>IF(Crédits!$K$10="",0,MAX(0,MIN(AS212,Plan!$L$214-(IF(Crédits!$K$5="",0,IF(Crédits!$K$5&lt;Crédits!$K$10,E212,0))+IF(Crédits!$K$6="",0,IF(Crédits!$K$6&lt;Crédits!$K$10,M212,0))+IF(Crédits!$K$7="",0,IF(Crédits!$K$7&lt;Crédits!$K$10,U212,0))+IF(Crédits!$K$8="",0,IF(Crédits!$K$8&lt;Crédits!$K$10,AC212,0))+IF(Crédits!$K$9="",0,IF(Crédits!$K$9&lt;Crédits!$K$10,AK212,0))))))</f>
        <v>0</v>
      </c>
      <c r="AU212" s="104">
        <f t="shared" si="11"/>
        <v>0</v>
      </c>
      <c r="AV212" s="88">
        <f>ROUND(AV211+AW212-MIN(N(Crédits!$E$10),AV211+AW212),2)</f>
        <v>0</v>
      </c>
      <c r="AW212" s="89">
        <f>AV211*N(Crédits!$D$10)/12</f>
        <v>0</v>
      </c>
      <c r="AX212" s="105">
        <f t="shared" si="12"/>
        <v>0</v>
      </c>
      <c r="AY212" s="105">
        <f t="shared" ref="AY212:AZ212" si="230">F212+N212+V212+AD212+AL212+AT212</f>
        <v>0</v>
      </c>
      <c r="AZ212" s="105">
        <f t="shared" si="230"/>
        <v>0</v>
      </c>
      <c r="BA212" s="105">
        <f t="shared" si="14"/>
        <v>0</v>
      </c>
      <c r="BB212" s="105">
        <f t="shared" si="15"/>
        <v>0</v>
      </c>
    </row>
    <row r="213" spans="1:54" ht="15" customHeight="1" x14ac:dyDescent="0.25">
      <c r="A213" s="2">
        <v>211</v>
      </c>
      <c r="B213" s="83">
        <f t="shared" si="16"/>
        <v>0</v>
      </c>
      <c r="C213" s="83">
        <f>B213*N(Crédits!$D$5)/12</f>
        <v>0</v>
      </c>
      <c r="D213" s="83">
        <f>MIN(N(Crédits!$E$5),B213+C213)</f>
        <v>0</v>
      </c>
      <c r="E213" s="83">
        <f t="shared" si="0"/>
        <v>0</v>
      </c>
      <c r="F213" s="86">
        <f>IF(Crédits!$K$5="",0,MAX(0,MIN(E213,Plan!$L$215-(IF(Crédits!$K$6="",0,IF(Crédits!$K$6&lt;Crédits!$K$5,M213,0))+IF(Crédits!$K$7="",0,IF(Crédits!$K$7&lt;Crédits!$K$5,U213,0))+IF(Crédits!$K$8="",0,IF(Crédits!$K$8&lt;Crédits!$K$5,AC213,0))+IF(Crédits!$K$9="",0,IF(Crédits!$K$9&lt;Crédits!$K$5,AK213,0))+IF(Crédits!$K$10="",0,IF(Crédits!$K$10&lt;Crédits!$K$5,AS213,0))))))</f>
        <v>0</v>
      </c>
      <c r="G213" s="87">
        <f t="shared" si="1"/>
        <v>0</v>
      </c>
      <c r="H213" s="88">
        <f>ROUND(H212+I213-MIN(N(Crédits!$E$5),H212+I213),2)</f>
        <v>0</v>
      </c>
      <c r="I213" s="89">
        <f>H212*N(Crédits!$D$5)/12</f>
        <v>0</v>
      </c>
      <c r="J213" s="90">
        <f t="shared" si="17"/>
        <v>0</v>
      </c>
      <c r="K213" s="90">
        <f>J213*N(Crédits!$D$6)/12</f>
        <v>0</v>
      </c>
      <c r="L213" s="90">
        <f>MIN(N(Crédits!$E$6),J213+K213)</f>
        <v>0</v>
      </c>
      <c r="M213" s="90">
        <f t="shared" si="2"/>
        <v>0</v>
      </c>
      <c r="N213" s="91">
        <f>IF(Crédits!$K$6="",0,MAX(0,MIN(M213,Plan!$L$215-(IF(Crédits!$K$5="",0,IF(Crédits!$K$5&lt;Crédits!$K$6,E213,0))+IF(Crédits!$K$7="",0,IF(Crédits!$K$7&lt;Crédits!$K$6,U213,0))+IF(Crédits!$K$8="",0,IF(Crédits!$K$8&lt;Crédits!$K$6,AC213,0))+IF(Crédits!$K$9="",0,IF(Crédits!$K$9&lt;Crédits!$K$6,AK213,0))+IF(Crédits!$K$10="",0,IF(Crédits!$K$10&lt;Crédits!$K$6,AS213,0))))))</f>
        <v>0</v>
      </c>
      <c r="O213" s="92">
        <f t="shared" si="3"/>
        <v>0</v>
      </c>
      <c r="P213" s="88">
        <f>ROUND(P212+Q213-MIN(N(Crédits!$E$6),P212+Q213),2)</f>
        <v>0</v>
      </c>
      <c r="Q213" s="89">
        <f>P212*N(Crédits!$D$6)/12</f>
        <v>0</v>
      </c>
      <c r="R213" s="93">
        <f t="shared" si="18"/>
        <v>0</v>
      </c>
      <c r="S213" s="93">
        <f>R213*N(Crédits!$D$7)/12</f>
        <v>0</v>
      </c>
      <c r="T213" s="93">
        <f>MIN(N(Crédits!$E$7),R213+S213)</f>
        <v>0</v>
      </c>
      <c r="U213" s="93">
        <f t="shared" si="4"/>
        <v>0</v>
      </c>
      <c r="V213" s="94">
        <f>IF(Crédits!$K$7="",0,MAX(0,MIN(U213,Plan!$L$215-(IF(Crédits!$K$5="",0,IF(Crédits!$K$5&lt;Crédits!$K$7,E213,0))+IF(Crédits!$K$6="",0,IF(Crédits!$K$6&lt;Crédits!$K$7,M213,0))+IF(Crédits!$K$8="",0,IF(Crédits!$K$8&lt;Crédits!$K$7,AC213,0))+IF(Crédits!$K$9="",0,IF(Crédits!$K$9&lt;Crédits!$K$7,AK213,0))+IF(Crédits!$K$10="",0,IF(Crédits!$K$10&lt;Crédits!$K$7,AS213,0))))))</f>
        <v>0</v>
      </c>
      <c r="W213" s="95">
        <f t="shared" si="5"/>
        <v>0</v>
      </c>
      <c r="X213" s="88">
        <f>ROUND(X212+Y213-MIN(N(Crédits!$E$7),X212+Y213),2)</f>
        <v>0</v>
      </c>
      <c r="Y213" s="89">
        <f>X212*N(Crédits!$D$7)/12</f>
        <v>0</v>
      </c>
      <c r="Z213" s="96">
        <f t="shared" si="19"/>
        <v>0</v>
      </c>
      <c r="AA213" s="96">
        <f>Z213*N(Crédits!$D$8)/12</f>
        <v>0</v>
      </c>
      <c r="AB213" s="96">
        <f>MIN(N(Crédits!$E$8),Z213+AA213)</f>
        <v>0</v>
      </c>
      <c r="AC213" s="96">
        <f t="shared" si="6"/>
        <v>0</v>
      </c>
      <c r="AD213" s="97">
        <f>IF(Crédits!$K$8="",0,MAX(0,MIN(AC213,Plan!$L$215-(IF(Crédits!$K$5="",0,IF(Crédits!$K$5&lt;Crédits!$K$8,E213,0))+IF(Crédits!$K$6="",0,IF(Crédits!$K$6&lt;Crédits!$K$8,M213,0))+IF(Crédits!$K$7="",0,IF(Crédits!$K$7&lt;Crédits!$K$8,U213,0))+IF(Crédits!$K$9="",0,IF(Crédits!$K$9&lt;Crédits!$K$8,AK213,0))+IF(Crédits!$K$10="",0,IF(Crédits!$K$10&lt;Crédits!$K$8,AS213,0))))))</f>
        <v>0</v>
      </c>
      <c r="AE213" s="98">
        <f t="shared" si="7"/>
        <v>0</v>
      </c>
      <c r="AF213" s="88">
        <f>ROUND(AF212+AG213-MIN(N(Crédits!$E$8),AF212+AG213),2)</f>
        <v>0</v>
      </c>
      <c r="AG213" s="89">
        <f>AF212*N(Crédits!$D$8)/12</f>
        <v>0</v>
      </c>
      <c r="AH213" s="99">
        <f t="shared" si="20"/>
        <v>0</v>
      </c>
      <c r="AI213" s="99">
        <f>AH213*N(Crédits!$D$9)/12</f>
        <v>0</v>
      </c>
      <c r="AJ213" s="99">
        <f>MIN(N(Crédits!$E$9),AH213+AI213)</f>
        <v>0</v>
      </c>
      <c r="AK213" s="99">
        <f t="shared" si="8"/>
        <v>0</v>
      </c>
      <c r="AL213" s="100">
        <f>IF(Crédits!$K$9="",0,MAX(0,MIN(AK213,Plan!$L$215-(IF(Crédits!$K$5="",0,IF(Crédits!$K$5&lt;Crédits!$K$9,E213,0))+IF(Crédits!$K$6="",0,IF(Crédits!$K$6&lt;Crédits!$K$9,M213,0))+IF(Crédits!$K$7="",0,IF(Crédits!$K$7&lt;Crédits!$K$9,U213,0))+IF(Crédits!$K$8="",0,IF(Crédits!$K$8&lt;Crédits!$K$9,AC213,0))+IF(Crédits!$K$10="",0,IF(Crédits!$K$10&lt;Crédits!$K$9,AS213,0))))))</f>
        <v>0</v>
      </c>
      <c r="AM213" s="101">
        <f t="shared" si="9"/>
        <v>0</v>
      </c>
      <c r="AN213" s="88">
        <f>ROUND(AN212+AO213-MIN(N(Crédits!$E$9),AN212+AO213),2)</f>
        <v>0</v>
      </c>
      <c r="AO213" s="89">
        <f>AN212*N(Crédits!$D$9)/12</f>
        <v>0</v>
      </c>
      <c r="AP213" s="102">
        <f t="shared" si="21"/>
        <v>0</v>
      </c>
      <c r="AQ213" s="102">
        <f>AP213*N(Crédits!$D$10)/12</f>
        <v>0</v>
      </c>
      <c r="AR213" s="102">
        <f>MIN(N(Crédits!$E$10),AP213+AQ213)</f>
        <v>0</v>
      </c>
      <c r="AS213" s="102">
        <f t="shared" si="10"/>
        <v>0</v>
      </c>
      <c r="AT213" s="103">
        <f>IF(Crédits!$K$10="",0,MAX(0,MIN(AS213,Plan!$L$215-(IF(Crédits!$K$5="",0,IF(Crédits!$K$5&lt;Crédits!$K$10,E213,0))+IF(Crédits!$K$6="",0,IF(Crédits!$K$6&lt;Crédits!$K$10,M213,0))+IF(Crédits!$K$7="",0,IF(Crédits!$K$7&lt;Crédits!$K$10,U213,0))+IF(Crédits!$K$8="",0,IF(Crédits!$K$8&lt;Crédits!$K$10,AC213,0))+IF(Crédits!$K$9="",0,IF(Crédits!$K$9&lt;Crédits!$K$10,AK213,0))))))</f>
        <v>0</v>
      </c>
      <c r="AU213" s="104">
        <f t="shared" si="11"/>
        <v>0</v>
      </c>
      <c r="AV213" s="88">
        <f>ROUND(AV212+AW213-MIN(N(Crédits!$E$10),AV212+AW213),2)</f>
        <v>0</v>
      </c>
      <c r="AW213" s="89">
        <f>AV212*N(Crédits!$D$10)/12</f>
        <v>0</v>
      </c>
      <c r="AX213" s="105">
        <f t="shared" si="12"/>
        <v>0</v>
      </c>
      <c r="AY213" s="105">
        <f t="shared" ref="AY213:AZ213" si="231">F213+N213+V213+AD213+AL213+AT213</f>
        <v>0</v>
      </c>
      <c r="AZ213" s="105">
        <f t="shared" si="231"/>
        <v>0</v>
      </c>
      <c r="BA213" s="105">
        <f t="shared" si="14"/>
        <v>0</v>
      </c>
      <c r="BB213" s="105">
        <f t="shared" si="15"/>
        <v>0</v>
      </c>
    </row>
    <row r="214" spans="1:54" ht="15" customHeight="1" x14ac:dyDescent="0.25">
      <c r="A214" s="2">
        <v>212</v>
      </c>
      <c r="B214" s="83">
        <f t="shared" si="16"/>
        <v>0</v>
      </c>
      <c r="C214" s="83">
        <f>B214*N(Crédits!$D$5)/12</f>
        <v>0</v>
      </c>
      <c r="D214" s="83">
        <f>MIN(N(Crédits!$E$5),B214+C214)</f>
        <v>0</v>
      </c>
      <c r="E214" s="83">
        <f t="shared" si="0"/>
        <v>0</v>
      </c>
      <c r="F214" s="86">
        <f>IF(Crédits!$K$5="",0,MAX(0,MIN(E214,Plan!$L$216-(IF(Crédits!$K$6="",0,IF(Crédits!$K$6&lt;Crédits!$K$5,M214,0))+IF(Crédits!$K$7="",0,IF(Crédits!$K$7&lt;Crédits!$K$5,U214,0))+IF(Crédits!$K$8="",0,IF(Crédits!$K$8&lt;Crédits!$K$5,AC214,0))+IF(Crédits!$K$9="",0,IF(Crédits!$K$9&lt;Crédits!$K$5,AK214,0))+IF(Crédits!$K$10="",0,IF(Crédits!$K$10&lt;Crédits!$K$5,AS214,0))))))</f>
        <v>0</v>
      </c>
      <c r="G214" s="87">
        <f t="shared" si="1"/>
        <v>0</v>
      </c>
      <c r="H214" s="88">
        <f>ROUND(H213+I214-MIN(N(Crédits!$E$5),H213+I214),2)</f>
        <v>0</v>
      </c>
      <c r="I214" s="89">
        <f>H213*N(Crédits!$D$5)/12</f>
        <v>0</v>
      </c>
      <c r="J214" s="90">
        <f t="shared" si="17"/>
        <v>0</v>
      </c>
      <c r="K214" s="90">
        <f>J214*N(Crédits!$D$6)/12</f>
        <v>0</v>
      </c>
      <c r="L214" s="90">
        <f>MIN(N(Crédits!$E$6),J214+K214)</f>
        <v>0</v>
      </c>
      <c r="M214" s="90">
        <f t="shared" si="2"/>
        <v>0</v>
      </c>
      <c r="N214" s="91">
        <f>IF(Crédits!$K$6="",0,MAX(0,MIN(M214,Plan!$L$216-(IF(Crédits!$K$5="",0,IF(Crédits!$K$5&lt;Crédits!$K$6,E214,0))+IF(Crédits!$K$7="",0,IF(Crédits!$K$7&lt;Crédits!$K$6,U214,0))+IF(Crédits!$K$8="",0,IF(Crédits!$K$8&lt;Crédits!$K$6,AC214,0))+IF(Crédits!$K$9="",0,IF(Crédits!$K$9&lt;Crédits!$K$6,AK214,0))+IF(Crédits!$K$10="",0,IF(Crédits!$K$10&lt;Crédits!$K$6,AS214,0))))))</f>
        <v>0</v>
      </c>
      <c r="O214" s="92">
        <f t="shared" si="3"/>
        <v>0</v>
      </c>
      <c r="P214" s="88">
        <f>ROUND(P213+Q214-MIN(N(Crédits!$E$6),P213+Q214),2)</f>
        <v>0</v>
      </c>
      <c r="Q214" s="89">
        <f>P213*N(Crédits!$D$6)/12</f>
        <v>0</v>
      </c>
      <c r="R214" s="93">
        <f t="shared" si="18"/>
        <v>0</v>
      </c>
      <c r="S214" s="93">
        <f>R214*N(Crédits!$D$7)/12</f>
        <v>0</v>
      </c>
      <c r="T214" s="93">
        <f>MIN(N(Crédits!$E$7),R214+S214)</f>
        <v>0</v>
      </c>
      <c r="U214" s="93">
        <f t="shared" si="4"/>
        <v>0</v>
      </c>
      <c r="V214" s="94">
        <f>IF(Crédits!$K$7="",0,MAX(0,MIN(U214,Plan!$L$216-(IF(Crédits!$K$5="",0,IF(Crédits!$K$5&lt;Crédits!$K$7,E214,0))+IF(Crédits!$K$6="",0,IF(Crédits!$K$6&lt;Crédits!$K$7,M214,0))+IF(Crédits!$K$8="",0,IF(Crédits!$K$8&lt;Crédits!$K$7,AC214,0))+IF(Crédits!$K$9="",0,IF(Crédits!$K$9&lt;Crédits!$K$7,AK214,0))+IF(Crédits!$K$10="",0,IF(Crédits!$K$10&lt;Crédits!$K$7,AS214,0))))))</f>
        <v>0</v>
      </c>
      <c r="W214" s="95">
        <f t="shared" si="5"/>
        <v>0</v>
      </c>
      <c r="X214" s="88">
        <f>ROUND(X213+Y214-MIN(N(Crédits!$E$7),X213+Y214),2)</f>
        <v>0</v>
      </c>
      <c r="Y214" s="89">
        <f>X213*N(Crédits!$D$7)/12</f>
        <v>0</v>
      </c>
      <c r="Z214" s="96">
        <f t="shared" si="19"/>
        <v>0</v>
      </c>
      <c r="AA214" s="96">
        <f>Z214*N(Crédits!$D$8)/12</f>
        <v>0</v>
      </c>
      <c r="AB214" s="96">
        <f>MIN(N(Crédits!$E$8),Z214+AA214)</f>
        <v>0</v>
      </c>
      <c r="AC214" s="96">
        <f t="shared" si="6"/>
        <v>0</v>
      </c>
      <c r="AD214" s="97">
        <f>IF(Crédits!$K$8="",0,MAX(0,MIN(AC214,Plan!$L$216-(IF(Crédits!$K$5="",0,IF(Crédits!$K$5&lt;Crédits!$K$8,E214,0))+IF(Crédits!$K$6="",0,IF(Crédits!$K$6&lt;Crédits!$K$8,M214,0))+IF(Crédits!$K$7="",0,IF(Crédits!$K$7&lt;Crédits!$K$8,U214,0))+IF(Crédits!$K$9="",0,IF(Crédits!$K$9&lt;Crédits!$K$8,AK214,0))+IF(Crédits!$K$10="",0,IF(Crédits!$K$10&lt;Crédits!$K$8,AS214,0))))))</f>
        <v>0</v>
      </c>
      <c r="AE214" s="98">
        <f t="shared" si="7"/>
        <v>0</v>
      </c>
      <c r="AF214" s="88">
        <f>ROUND(AF213+AG214-MIN(N(Crédits!$E$8),AF213+AG214),2)</f>
        <v>0</v>
      </c>
      <c r="AG214" s="89">
        <f>AF213*N(Crédits!$D$8)/12</f>
        <v>0</v>
      </c>
      <c r="AH214" s="99">
        <f t="shared" si="20"/>
        <v>0</v>
      </c>
      <c r="AI214" s="99">
        <f>AH214*N(Crédits!$D$9)/12</f>
        <v>0</v>
      </c>
      <c r="AJ214" s="99">
        <f>MIN(N(Crédits!$E$9),AH214+AI214)</f>
        <v>0</v>
      </c>
      <c r="AK214" s="99">
        <f t="shared" si="8"/>
        <v>0</v>
      </c>
      <c r="AL214" s="100">
        <f>IF(Crédits!$K$9="",0,MAX(0,MIN(AK214,Plan!$L$216-(IF(Crédits!$K$5="",0,IF(Crédits!$K$5&lt;Crédits!$K$9,E214,0))+IF(Crédits!$K$6="",0,IF(Crédits!$K$6&lt;Crédits!$K$9,M214,0))+IF(Crédits!$K$7="",0,IF(Crédits!$K$7&lt;Crédits!$K$9,U214,0))+IF(Crédits!$K$8="",0,IF(Crédits!$K$8&lt;Crédits!$K$9,AC214,0))+IF(Crédits!$K$10="",0,IF(Crédits!$K$10&lt;Crédits!$K$9,AS214,0))))))</f>
        <v>0</v>
      </c>
      <c r="AM214" s="101">
        <f t="shared" si="9"/>
        <v>0</v>
      </c>
      <c r="AN214" s="88">
        <f>ROUND(AN213+AO214-MIN(N(Crédits!$E$9),AN213+AO214),2)</f>
        <v>0</v>
      </c>
      <c r="AO214" s="89">
        <f>AN213*N(Crédits!$D$9)/12</f>
        <v>0</v>
      </c>
      <c r="AP214" s="102">
        <f t="shared" si="21"/>
        <v>0</v>
      </c>
      <c r="AQ214" s="102">
        <f>AP214*N(Crédits!$D$10)/12</f>
        <v>0</v>
      </c>
      <c r="AR214" s="102">
        <f>MIN(N(Crédits!$E$10),AP214+AQ214)</f>
        <v>0</v>
      </c>
      <c r="AS214" s="102">
        <f t="shared" si="10"/>
        <v>0</v>
      </c>
      <c r="AT214" s="103">
        <f>IF(Crédits!$K$10="",0,MAX(0,MIN(AS214,Plan!$L$216-(IF(Crédits!$K$5="",0,IF(Crédits!$K$5&lt;Crédits!$K$10,E214,0))+IF(Crédits!$K$6="",0,IF(Crédits!$K$6&lt;Crédits!$K$10,M214,0))+IF(Crédits!$K$7="",0,IF(Crédits!$K$7&lt;Crédits!$K$10,U214,0))+IF(Crédits!$K$8="",0,IF(Crédits!$K$8&lt;Crédits!$K$10,AC214,0))+IF(Crédits!$K$9="",0,IF(Crédits!$K$9&lt;Crédits!$K$10,AK214,0))))))</f>
        <v>0</v>
      </c>
      <c r="AU214" s="104">
        <f t="shared" si="11"/>
        <v>0</v>
      </c>
      <c r="AV214" s="88">
        <f>ROUND(AV213+AW214-MIN(N(Crédits!$E$10),AV213+AW214),2)</f>
        <v>0</v>
      </c>
      <c r="AW214" s="89">
        <f>AV213*N(Crédits!$D$10)/12</f>
        <v>0</v>
      </c>
      <c r="AX214" s="105">
        <f t="shared" si="12"/>
        <v>0</v>
      </c>
      <c r="AY214" s="105">
        <f t="shared" ref="AY214:AZ214" si="232">F214+N214+V214+AD214+AL214+AT214</f>
        <v>0</v>
      </c>
      <c r="AZ214" s="105">
        <f t="shared" si="232"/>
        <v>0</v>
      </c>
      <c r="BA214" s="105">
        <f t="shared" si="14"/>
        <v>0</v>
      </c>
      <c r="BB214" s="105">
        <f t="shared" si="15"/>
        <v>0</v>
      </c>
    </row>
    <row r="215" spans="1:54" ht="15" customHeight="1" x14ac:dyDescent="0.25">
      <c r="A215" s="2">
        <v>213</v>
      </c>
      <c r="B215" s="83">
        <f t="shared" si="16"/>
        <v>0</v>
      </c>
      <c r="C215" s="83">
        <f>B215*N(Crédits!$D$5)/12</f>
        <v>0</v>
      </c>
      <c r="D215" s="83">
        <f>MIN(N(Crédits!$E$5),B215+C215)</f>
        <v>0</v>
      </c>
      <c r="E215" s="83">
        <f t="shared" si="0"/>
        <v>0</v>
      </c>
      <c r="F215" s="86">
        <f>IF(Crédits!$K$5="",0,MAX(0,MIN(E215,Plan!$L$217-(IF(Crédits!$K$6="",0,IF(Crédits!$K$6&lt;Crédits!$K$5,M215,0))+IF(Crédits!$K$7="",0,IF(Crédits!$K$7&lt;Crédits!$K$5,U215,0))+IF(Crédits!$K$8="",0,IF(Crédits!$K$8&lt;Crédits!$K$5,AC215,0))+IF(Crédits!$K$9="",0,IF(Crédits!$K$9&lt;Crédits!$K$5,AK215,0))+IF(Crédits!$K$10="",0,IF(Crédits!$K$10&lt;Crédits!$K$5,AS215,0))))))</f>
        <v>0</v>
      </c>
      <c r="G215" s="87">
        <f t="shared" si="1"/>
        <v>0</v>
      </c>
      <c r="H215" s="88">
        <f>ROUND(H214+I215-MIN(N(Crédits!$E$5),H214+I215),2)</f>
        <v>0</v>
      </c>
      <c r="I215" s="89">
        <f>H214*N(Crédits!$D$5)/12</f>
        <v>0</v>
      </c>
      <c r="J215" s="90">
        <f t="shared" si="17"/>
        <v>0</v>
      </c>
      <c r="K215" s="90">
        <f>J215*N(Crédits!$D$6)/12</f>
        <v>0</v>
      </c>
      <c r="L215" s="90">
        <f>MIN(N(Crédits!$E$6),J215+K215)</f>
        <v>0</v>
      </c>
      <c r="M215" s="90">
        <f t="shared" si="2"/>
        <v>0</v>
      </c>
      <c r="N215" s="91">
        <f>IF(Crédits!$K$6="",0,MAX(0,MIN(M215,Plan!$L$217-(IF(Crédits!$K$5="",0,IF(Crédits!$K$5&lt;Crédits!$K$6,E215,0))+IF(Crédits!$K$7="",0,IF(Crédits!$K$7&lt;Crédits!$K$6,U215,0))+IF(Crédits!$K$8="",0,IF(Crédits!$K$8&lt;Crédits!$K$6,AC215,0))+IF(Crédits!$K$9="",0,IF(Crédits!$K$9&lt;Crédits!$K$6,AK215,0))+IF(Crédits!$K$10="",0,IF(Crédits!$K$10&lt;Crédits!$K$6,AS215,0))))))</f>
        <v>0</v>
      </c>
      <c r="O215" s="92">
        <f t="shared" si="3"/>
        <v>0</v>
      </c>
      <c r="P215" s="88">
        <f>ROUND(P214+Q215-MIN(N(Crédits!$E$6),P214+Q215),2)</f>
        <v>0</v>
      </c>
      <c r="Q215" s="89">
        <f>P214*N(Crédits!$D$6)/12</f>
        <v>0</v>
      </c>
      <c r="R215" s="93">
        <f t="shared" si="18"/>
        <v>0</v>
      </c>
      <c r="S215" s="93">
        <f>R215*N(Crédits!$D$7)/12</f>
        <v>0</v>
      </c>
      <c r="T215" s="93">
        <f>MIN(N(Crédits!$E$7),R215+S215)</f>
        <v>0</v>
      </c>
      <c r="U215" s="93">
        <f t="shared" si="4"/>
        <v>0</v>
      </c>
      <c r="V215" s="94">
        <f>IF(Crédits!$K$7="",0,MAX(0,MIN(U215,Plan!$L$217-(IF(Crédits!$K$5="",0,IF(Crédits!$K$5&lt;Crédits!$K$7,E215,0))+IF(Crédits!$K$6="",0,IF(Crédits!$K$6&lt;Crédits!$K$7,M215,0))+IF(Crédits!$K$8="",0,IF(Crédits!$K$8&lt;Crédits!$K$7,AC215,0))+IF(Crédits!$K$9="",0,IF(Crédits!$K$9&lt;Crédits!$K$7,AK215,0))+IF(Crédits!$K$10="",0,IF(Crédits!$K$10&lt;Crédits!$K$7,AS215,0))))))</f>
        <v>0</v>
      </c>
      <c r="W215" s="95">
        <f t="shared" si="5"/>
        <v>0</v>
      </c>
      <c r="X215" s="88">
        <f>ROUND(X214+Y215-MIN(N(Crédits!$E$7),X214+Y215),2)</f>
        <v>0</v>
      </c>
      <c r="Y215" s="89">
        <f>X214*N(Crédits!$D$7)/12</f>
        <v>0</v>
      </c>
      <c r="Z215" s="96">
        <f t="shared" si="19"/>
        <v>0</v>
      </c>
      <c r="AA215" s="96">
        <f>Z215*N(Crédits!$D$8)/12</f>
        <v>0</v>
      </c>
      <c r="AB215" s="96">
        <f>MIN(N(Crédits!$E$8),Z215+AA215)</f>
        <v>0</v>
      </c>
      <c r="AC215" s="96">
        <f t="shared" si="6"/>
        <v>0</v>
      </c>
      <c r="AD215" s="97">
        <f>IF(Crédits!$K$8="",0,MAX(0,MIN(AC215,Plan!$L$217-(IF(Crédits!$K$5="",0,IF(Crédits!$K$5&lt;Crédits!$K$8,E215,0))+IF(Crédits!$K$6="",0,IF(Crédits!$K$6&lt;Crédits!$K$8,M215,0))+IF(Crédits!$K$7="",0,IF(Crédits!$K$7&lt;Crédits!$K$8,U215,0))+IF(Crédits!$K$9="",0,IF(Crédits!$K$9&lt;Crédits!$K$8,AK215,0))+IF(Crédits!$K$10="",0,IF(Crédits!$K$10&lt;Crédits!$K$8,AS215,0))))))</f>
        <v>0</v>
      </c>
      <c r="AE215" s="98">
        <f t="shared" si="7"/>
        <v>0</v>
      </c>
      <c r="AF215" s="88">
        <f>ROUND(AF214+AG215-MIN(N(Crédits!$E$8),AF214+AG215),2)</f>
        <v>0</v>
      </c>
      <c r="AG215" s="89">
        <f>AF214*N(Crédits!$D$8)/12</f>
        <v>0</v>
      </c>
      <c r="AH215" s="99">
        <f t="shared" si="20"/>
        <v>0</v>
      </c>
      <c r="AI215" s="99">
        <f>AH215*N(Crédits!$D$9)/12</f>
        <v>0</v>
      </c>
      <c r="AJ215" s="99">
        <f>MIN(N(Crédits!$E$9),AH215+AI215)</f>
        <v>0</v>
      </c>
      <c r="AK215" s="99">
        <f t="shared" si="8"/>
        <v>0</v>
      </c>
      <c r="AL215" s="100">
        <f>IF(Crédits!$K$9="",0,MAX(0,MIN(AK215,Plan!$L$217-(IF(Crédits!$K$5="",0,IF(Crédits!$K$5&lt;Crédits!$K$9,E215,0))+IF(Crédits!$K$6="",0,IF(Crédits!$K$6&lt;Crédits!$K$9,M215,0))+IF(Crédits!$K$7="",0,IF(Crédits!$K$7&lt;Crédits!$K$9,U215,0))+IF(Crédits!$K$8="",0,IF(Crédits!$K$8&lt;Crédits!$K$9,AC215,0))+IF(Crédits!$K$10="",0,IF(Crédits!$K$10&lt;Crédits!$K$9,AS215,0))))))</f>
        <v>0</v>
      </c>
      <c r="AM215" s="101">
        <f t="shared" si="9"/>
        <v>0</v>
      </c>
      <c r="AN215" s="88">
        <f>ROUND(AN214+AO215-MIN(N(Crédits!$E$9),AN214+AO215),2)</f>
        <v>0</v>
      </c>
      <c r="AO215" s="89">
        <f>AN214*N(Crédits!$D$9)/12</f>
        <v>0</v>
      </c>
      <c r="AP215" s="102">
        <f t="shared" si="21"/>
        <v>0</v>
      </c>
      <c r="AQ215" s="102">
        <f>AP215*N(Crédits!$D$10)/12</f>
        <v>0</v>
      </c>
      <c r="AR215" s="102">
        <f>MIN(N(Crédits!$E$10),AP215+AQ215)</f>
        <v>0</v>
      </c>
      <c r="AS215" s="102">
        <f t="shared" si="10"/>
        <v>0</v>
      </c>
      <c r="AT215" s="103">
        <f>IF(Crédits!$K$10="",0,MAX(0,MIN(AS215,Plan!$L$217-(IF(Crédits!$K$5="",0,IF(Crédits!$K$5&lt;Crédits!$K$10,E215,0))+IF(Crédits!$K$6="",0,IF(Crédits!$K$6&lt;Crédits!$K$10,M215,0))+IF(Crédits!$K$7="",0,IF(Crédits!$K$7&lt;Crédits!$K$10,U215,0))+IF(Crédits!$K$8="",0,IF(Crédits!$K$8&lt;Crédits!$K$10,AC215,0))+IF(Crédits!$K$9="",0,IF(Crédits!$K$9&lt;Crédits!$K$10,AK215,0))))))</f>
        <v>0</v>
      </c>
      <c r="AU215" s="104">
        <f t="shared" si="11"/>
        <v>0</v>
      </c>
      <c r="AV215" s="88">
        <f>ROUND(AV214+AW215-MIN(N(Crédits!$E$10),AV214+AW215),2)</f>
        <v>0</v>
      </c>
      <c r="AW215" s="89">
        <f>AV214*N(Crédits!$D$10)/12</f>
        <v>0</v>
      </c>
      <c r="AX215" s="105">
        <f t="shared" si="12"/>
        <v>0</v>
      </c>
      <c r="AY215" s="105">
        <f t="shared" ref="AY215:AZ215" si="233">F215+N215+V215+AD215+AL215+AT215</f>
        <v>0</v>
      </c>
      <c r="AZ215" s="105">
        <f t="shared" si="233"/>
        <v>0</v>
      </c>
      <c r="BA215" s="105">
        <f t="shared" si="14"/>
        <v>0</v>
      </c>
      <c r="BB215" s="105">
        <f t="shared" si="15"/>
        <v>0</v>
      </c>
    </row>
    <row r="216" spans="1:54" ht="15" customHeight="1" x14ac:dyDescent="0.25">
      <c r="A216" s="2">
        <v>214</v>
      </c>
      <c r="B216" s="83">
        <f t="shared" si="16"/>
        <v>0</v>
      </c>
      <c r="C216" s="83">
        <f>B216*N(Crédits!$D$5)/12</f>
        <v>0</v>
      </c>
      <c r="D216" s="83">
        <f>MIN(N(Crédits!$E$5),B216+C216)</f>
        <v>0</v>
      </c>
      <c r="E216" s="83">
        <f t="shared" si="0"/>
        <v>0</v>
      </c>
      <c r="F216" s="86">
        <f>IF(Crédits!$K$5="",0,MAX(0,MIN(E216,Plan!$L$218-(IF(Crédits!$K$6="",0,IF(Crédits!$K$6&lt;Crédits!$K$5,M216,0))+IF(Crédits!$K$7="",0,IF(Crédits!$K$7&lt;Crédits!$K$5,U216,0))+IF(Crédits!$K$8="",0,IF(Crédits!$K$8&lt;Crédits!$K$5,AC216,0))+IF(Crédits!$K$9="",0,IF(Crédits!$K$9&lt;Crédits!$K$5,AK216,0))+IF(Crédits!$K$10="",0,IF(Crédits!$K$10&lt;Crédits!$K$5,AS216,0))))))</f>
        <v>0</v>
      </c>
      <c r="G216" s="87">
        <f t="shared" si="1"/>
        <v>0</v>
      </c>
      <c r="H216" s="88">
        <f>ROUND(H215+I216-MIN(N(Crédits!$E$5),H215+I216),2)</f>
        <v>0</v>
      </c>
      <c r="I216" s="89">
        <f>H215*N(Crédits!$D$5)/12</f>
        <v>0</v>
      </c>
      <c r="J216" s="90">
        <f t="shared" si="17"/>
        <v>0</v>
      </c>
      <c r="K216" s="90">
        <f>J216*N(Crédits!$D$6)/12</f>
        <v>0</v>
      </c>
      <c r="L216" s="90">
        <f>MIN(N(Crédits!$E$6),J216+K216)</f>
        <v>0</v>
      </c>
      <c r="M216" s="90">
        <f t="shared" si="2"/>
        <v>0</v>
      </c>
      <c r="N216" s="91">
        <f>IF(Crédits!$K$6="",0,MAX(0,MIN(M216,Plan!$L$218-(IF(Crédits!$K$5="",0,IF(Crédits!$K$5&lt;Crédits!$K$6,E216,0))+IF(Crédits!$K$7="",0,IF(Crédits!$K$7&lt;Crédits!$K$6,U216,0))+IF(Crédits!$K$8="",0,IF(Crédits!$K$8&lt;Crédits!$K$6,AC216,0))+IF(Crédits!$K$9="",0,IF(Crédits!$K$9&lt;Crédits!$K$6,AK216,0))+IF(Crédits!$K$10="",0,IF(Crédits!$K$10&lt;Crédits!$K$6,AS216,0))))))</f>
        <v>0</v>
      </c>
      <c r="O216" s="92">
        <f t="shared" si="3"/>
        <v>0</v>
      </c>
      <c r="P216" s="88">
        <f>ROUND(P215+Q216-MIN(N(Crédits!$E$6),P215+Q216),2)</f>
        <v>0</v>
      </c>
      <c r="Q216" s="89">
        <f>P215*N(Crédits!$D$6)/12</f>
        <v>0</v>
      </c>
      <c r="R216" s="93">
        <f t="shared" si="18"/>
        <v>0</v>
      </c>
      <c r="S216" s="93">
        <f>R216*N(Crédits!$D$7)/12</f>
        <v>0</v>
      </c>
      <c r="T216" s="93">
        <f>MIN(N(Crédits!$E$7),R216+S216)</f>
        <v>0</v>
      </c>
      <c r="U216" s="93">
        <f t="shared" si="4"/>
        <v>0</v>
      </c>
      <c r="V216" s="94">
        <f>IF(Crédits!$K$7="",0,MAX(0,MIN(U216,Plan!$L$218-(IF(Crédits!$K$5="",0,IF(Crédits!$K$5&lt;Crédits!$K$7,E216,0))+IF(Crédits!$K$6="",0,IF(Crédits!$K$6&lt;Crédits!$K$7,M216,0))+IF(Crédits!$K$8="",0,IF(Crédits!$K$8&lt;Crédits!$K$7,AC216,0))+IF(Crédits!$K$9="",0,IF(Crédits!$K$9&lt;Crédits!$K$7,AK216,0))+IF(Crédits!$K$10="",0,IF(Crédits!$K$10&lt;Crédits!$K$7,AS216,0))))))</f>
        <v>0</v>
      </c>
      <c r="W216" s="95">
        <f t="shared" si="5"/>
        <v>0</v>
      </c>
      <c r="X216" s="88">
        <f>ROUND(X215+Y216-MIN(N(Crédits!$E$7),X215+Y216),2)</f>
        <v>0</v>
      </c>
      <c r="Y216" s="89">
        <f>X215*N(Crédits!$D$7)/12</f>
        <v>0</v>
      </c>
      <c r="Z216" s="96">
        <f t="shared" si="19"/>
        <v>0</v>
      </c>
      <c r="AA216" s="96">
        <f>Z216*N(Crédits!$D$8)/12</f>
        <v>0</v>
      </c>
      <c r="AB216" s="96">
        <f>MIN(N(Crédits!$E$8),Z216+AA216)</f>
        <v>0</v>
      </c>
      <c r="AC216" s="96">
        <f t="shared" si="6"/>
        <v>0</v>
      </c>
      <c r="AD216" s="97">
        <f>IF(Crédits!$K$8="",0,MAX(0,MIN(AC216,Plan!$L$218-(IF(Crédits!$K$5="",0,IF(Crédits!$K$5&lt;Crédits!$K$8,E216,0))+IF(Crédits!$K$6="",0,IF(Crédits!$K$6&lt;Crédits!$K$8,M216,0))+IF(Crédits!$K$7="",0,IF(Crédits!$K$7&lt;Crédits!$K$8,U216,0))+IF(Crédits!$K$9="",0,IF(Crédits!$K$9&lt;Crédits!$K$8,AK216,0))+IF(Crédits!$K$10="",0,IF(Crédits!$K$10&lt;Crédits!$K$8,AS216,0))))))</f>
        <v>0</v>
      </c>
      <c r="AE216" s="98">
        <f t="shared" si="7"/>
        <v>0</v>
      </c>
      <c r="AF216" s="88">
        <f>ROUND(AF215+AG216-MIN(N(Crédits!$E$8),AF215+AG216),2)</f>
        <v>0</v>
      </c>
      <c r="AG216" s="89">
        <f>AF215*N(Crédits!$D$8)/12</f>
        <v>0</v>
      </c>
      <c r="AH216" s="99">
        <f t="shared" si="20"/>
        <v>0</v>
      </c>
      <c r="AI216" s="99">
        <f>AH216*N(Crédits!$D$9)/12</f>
        <v>0</v>
      </c>
      <c r="AJ216" s="99">
        <f>MIN(N(Crédits!$E$9),AH216+AI216)</f>
        <v>0</v>
      </c>
      <c r="AK216" s="99">
        <f t="shared" si="8"/>
        <v>0</v>
      </c>
      <c r="AL216" s="100">
        <f>IF(Crédits!$K$9="",0,MAX(0,MIN(AK216,Plan!$L$218-(IF(Crédits!$K$5="",0,IF(Crédits!$K$5&lt;Crédits!$K$9,E216,0))+IF(Crédits!$K$6="",0,IF(Crédits!$K$6&lt;Crédits!$K$9,M216,0))+IF(Crédits!$K$7="",0,IF(Crédits!$K$7&lt;Crédits!$K$9,U216,0))+IF(Crédits!$K$8="",0,IF(Crédits!$K$8&lt;Crédits!$K$9,AC216,0))+IF(Crédits!$K$10="",0,IF(Crédits!$K$10&lt;Crédits!$K$9,AS216,0))))))</f>
        <v>0</v>
      </c>
      <c r="AM216" s="101">
        <f t="shared" si="9"/>
        <v>0</v>
      </c>
      <c r="AN216" s="88">
        <f>ROUND(AN215+AO216-MIN(N(Crédits!$E$9),AN215+AO216),2)</f>
        <v>0</v>
      </c>
      <c r="AO216" s="89">
        <f>AN215*N(Crédits!$D$9)/12</f>
        <v>0</v>
      </c>
      <c r="AP216" s="102">
        <f t="shared" si="21"/>
        <v>0</v>
      </c>
      <c r="AQ216" s="102">
        <f>AP216*N(Crédits!$D$10)/12</f>
        <v>0</v>
      </c>
      <c r="AR216" s="102">
        <f>MIN(N(Crédits!$E$10),AP216+AQ216)</f>
        <v>0</v>
      </c>
      <c r="AS216" s="102">
        <f t="shared" si="10"/>
        <v>0</v>
      </c>
      <c r="AT216" s="103">
        <f>IF(Crédits!$K$10="",0,MAX(0,MIN(AS216,Plan!$L$218-(IF(Crédits!$K$5="",0,IF(Crédits!$K$5&lt;Crédits!$K$10,E216,0))+IF(Crédits!$K$6="",0,IF(Crédits!$K$6&lt;Crédits!$K$10,M216,0))+IF(Crédits!$K$7="",0,IF(Crédits!$K$7&lt;Crédits!$K$10,U216,0))+IF(Crédits!$K$8="",0,IF(Crédits!$K$8&lt;Crédits!$K$10,AC216,0))+IF(Crédits!$K$9="",0,IF(Crédits!$K$9&lt;Crédits!$K$10,AK216,0))))))</f>
        <v>0</v>
      </c>
      <c r="AU216" s="104">
        <f t="shared" si="11"/>
        <v>0</v>
      </c>
      <c r="AV216" s="88">
        <f>ROUND(AV215+AW216-MIN(N(Crédits!$E$10),AV215+AW216),2)</f>
        <v>0</v>
      </c>
      <c r="AW216" s="89">
        <f>AV215*N(Crédits!$D$10)/12</f>
        <v>0</v>
      </c>
      <c r="AX216" s="105">
        <f t="shared" si="12"/>
        <v>0</v>
      </c>
      <c r="AY216" s="105">
        <f t="shared" ref="AY216:AZ216" si="234">F216+N216+V216+AD216+AL216+AT216</f>
        <v>0</v>
      </c>
      <c r="AZ216" s="105">
        <f t="shared" si="234"/>
        <v>0</v>
      </c>
      <c r="BA216" s="105">
        <f t="shared" si="14"/>
        <v>0</v>
      </c>
      <c r="BB216" s="105">
        <f t="shared" si="15"/>
        <v>0</v>
      </c>
    </row>
    <row r="217" spans="1:54" ht="15" customHeight="1" x14ac:dyDescent="0.25">
      <c r="A217" s="2">
        <v>215</v>
      </c>
      <c r="B217" s="83">
        <f t="shared" si="16"/>
        <v>0</v>
      </c>
      <c r="C217" s="83">
        <f>B217*N(Crédits!$D$5)/12</f>
        <v>0</v>
      </c>
      <c r="D217" s="83">
        <f>MIN(N(Crédits!$E$5),B217+C217)</f>
        <v>0</v>
      </c>
      <c r="E217" s="83">
        <f t="shared" si="0"/>
        <v>0</v>
      </c>
      <c r="F217" s="86">
        <f>IF(Crédits!$K$5="",0,MAX(0,MIN(E217,Plan!$L$219-(IF(Crédits!$K$6="",0,IF(Crédits!$K$6&lt;Crédits!$K$5,M217,0))+IF(Crédits!$K$7="",0,IF(Crédits!$K$7&lt;Crédits!$K$5,U217,0))+IF(Crédits!$K$8="",0,IF(Crédits!$K$8&lt;Crédits!$K$5,AC217,0))+IF(Crédits!$K$9="",0,IF(Crédits!$K$9&lt;Crédits!$K$5,AK217,0))+IF(Crédits!$K$10="",0,IF(Crédits!$K$10&lt;Crédits!$K$5,AS217,0))))))</f>
        <v>0</v>
      </c>
      <c r="G217" s="87">
        <f t="shared" si="1"/>
        <v>0</v>
      </c>
      <c r="H217" s="88">
        <f>ROUND(H216+I217-MIN(N(Crédits!$E$5),H216+I217),2)</f>
        <v>0</v>
      </c>
      <c r="I217" s="89">
        <f>H216*N(Crédits!$D$5)/12</f>
        <v>0</v>
      </c>
      <c r="J217" s="90">
        <f t="shared" si="17"/>
        <v>0</v>
      </c>
      <c r="K217" s="90">
        <f>J217*N(Crédits!$D$6)/12</f>
        <v>0</v>
      </c>
      <c r="L217" s="90">
        <f>MIN(N(Crédits!$E$6),J217+K217)</f>
        <v>0</v>
      </c>
      <c r="M217" s="90">
        <f t="shared" si="2"/>
        <v>0</v>
      </c>
      <c r="N217" s="91">
        <f>IF(Crédits!$K$6="",0,MAX(0,MIN(M217,Plan!$L$219-(IF(Crédits!$K$5="",0,IF(Crédits!$K$5&lt;Crédits!$K$6,E217,0))+IF(Crédits!$K$7="",0,IF(Crédits!$K$7&lt;Crédits!$K$6,U217,0))+IF(Crédits!$K$8="",0,IF(Crédits!$K$8&lt;Crédits!$K$6,AC217,0))+IF(Crédits!$K$9="",0,IF(Crédits!$K$9&lt;Crédits!$K$6,AK217,0))+IF(Crédits!$K$10="",0,IF(Crédits!$K$10&lt;Crédits!$K$6,AS217,0))))))</f>
        <v>0</v>
      </c>
      <c r="O217" s="92">
        <f t="shared" si="3"/>
        <v>0</v>
      </c>
      <c r="P217" s="88">
        <f>ROUND(P216+Q217-MIN(N(Crédits!$E$6),P216+Q217),2)</f>
        <v>0</v>
      </c>
      <c r="Q217" s="89">
        <f>P216*N(Crédits!$D$6)/12</f>
        <v>0</v>
      </c>
      <c r="R217" s="93">
        <f t="shared" si="18"/>
        <v>0</v>
      </c>
      <c r="S217" s="93">
        <f>R217*N(Crédits!$D$7)/12</f>
        <v>0</v>
      </c>
      <c r="T217" s="93">
        <f>MIN(N(Crédits!$E$7),R217+S217)</f>
        <v>0</v>
      </c>
      <c r="U217" s="93">
        <f t="shared" si="4"/>
        <v>0</v>
      </c>
      <c r="V217" s="94">
        <f>IF(Crédits!$K$7="",0,MAX(0,MIN(U217,Plan!$L$219-(IF(Crédits!$K$5="",0,IF(Crédits!$K$5&lt;Crédits!$K$7,E217,0))+IF(Crédits!$K$6="",0,IF(Crédits!$K$6&lt;Crédits!$K$7,M217,0))+IF(Crédits!$K$8="",0,IF(Crédits!$K$8&lt;Crédits!$K$7,AC217,0))+IF(Crédits!$K$9="",0,IF(Crédits!$K$9&lt;Crédits!$K$7,AK217,0))+IF(Crédits!$K$10="",0,IF(Crédits!$K$10&lt;Crédits!$K$7,AS217,0))))))</f>
        <v>0</v>
      </c>
      <c r="W217" s="95">
        <f t="shared" si="5"/>
        <v>0</v>
      </c>
      <c r="X217" s="88">
        <f>ROUND(X216+Y217-MIN(N(Crédits!$E$7),X216+Y217),2)</f>
        <v>0</v>
      </c>
      <c r="Y217" s="89">
        <f>X216*N(Crédits!$D$7)/12</f>
        <v>0</v>
      </c>
      <c r="Z217" s="96">
        <f t="shared" si="19"/>
        <v>0</v>
      </c>
      <c r="AA217" s="96">
        <f>Z217*N(Crédits!$D$8)/12</f>
        <v>0</v>
      </c>
      <c r="AB217" s="96">
        <f>MIN(N(Crédits!$E$8),Z217+AA217)</f>
        <v>0</v>
      </c>
      <c r="AC217" s="96">
        <f t="shared" si="6"/>
        <v>0</v>
      </c>
      <c r="AD217" s="97">
        <f>IF(Crédits!$K$8="",0,MAX(0,MIN(AC217,Plan!$L$219-(IF(Crédits!$K$5="",0,IF(Crédits!$K$5&lt;Crédits!$K$8,E217,0))+IF(Crédits!$K$6="",0,IF(Crédits!$K$6&lt;Crédits!$K$8,M217,0))+IF(Crédits!$K$7="",0,IF(Crédits!$K$7&lt;Crédits!$K$8,U217,0))+IF(Crédits!$K$9="",0,IF(Crédits!$K$9&lt;Crédits!$K$8,AK217,0))+IF(Crédits!$K$10="",0,IF(Crédits!$K$10&lt;Crédits!$K$8,AS217,0))))))</f>
        <v>0</v>
      </c>
      <c r="AE217" s="98">
        <f t="shared" si="7"/>
        <v>0</v>
      </c>
      <c r="AF217" s="88">
        <f>ROUND(AF216+AG217-MIN(N(Crédits!$E$8),AF216+AG217),2)</f>
        <v>0</v>
      </c>
      <c r="AG217" s="89">
        <f>AF216*N(Crédits!$D$8)/12</f>
        <v>0</v>
      </c>
      <c r="AH217" s="99">
        <f t="shared" si="20"/>
        <v>0</v>
      </c>
      <c r="AI217" s="99">
        <f>AH217*N(Crédits!$D$9)/12</f>
        <v>0</v>
      </c>
      <c r="AJ217" s="99">
        <f>MIN(N(Crédits!$E$9),AH217+AI217)</f>
        <v>0</v>
      </c>
      <c r="AK217" s="99">
        <f t="shared" si="8"/>
        <v>0</v>
      </c>
      <c r="AL217" s="100">
        <f>IF(Crédits!$K$9="",0,MAX(0,MIN(AK217,Plan!$L$219-(IF(Crédits!$K$5="",0,IF(Crédits!$K$5&lt;Crédits!$K$9,E217,0))+IF(Crédits!$K$6="",0,IF(Crédits!$K$6&lt;Crédits!$K$9,M217,0))+IF(Crédits!$K$7="",0,IF(Crédits!$K$7&lt;Crédits!$K$9,U217,0))+IF(Crédits!$K$8="",0,IF(Crédits!$K$8&lt;Crédits!$K$9,AC217,0))+IF(Crédits!$K$10="",0,IF(Crédits!$K$10&lt;Crédits!$K$9,AS217,0))))))</f>
        <v>0</v>
      </c>
      <c r="AM217" s="101">
        <f t="shared" si="9"/>
        <v>0</v>
      </c>
      <c r="AN217" s="88">
        <f>ROUND(AN216+AO217-MIN(N(Crédits!$E$9),AN216+AO217),2)</f>
        <v>0</v>
      </c>
      <c r="AO217" s="89">
        <f>AN216*N(Crédits!$D$9)/12</f>
        <v>0</v>
      </c>
      <c r="AP217" s="102">
        <f t="shared" si="21"/>
        <v>0</v>
      </c>
      <c r="AQ217" s="102">
        <f>AP217*N(Crédits!$D$10)/12</f>
        <v>0</v>
      </c>
      <c r="AR217" s="102">
        <f>MIN(N(Crédits!$E$10),AP217+AQ217)</f>
        <v>0</v>
      </c>
      <c r="AS217" s="102">
        <f t="shared" si="10"/>
        <v>0</v>
      </c>
      <c r="AT217" s="103">
        <f>IF(Crédits!$K$10="",0,MAX(0,MIN(AS217,Plan!$L$219-(IF(Crédits!$K$5="",0,IF(Crédits!$K$5&lt;Crédits!$K$10,E217,0))+IF(Crédits!$K$6="",0,IF(Crédits!$K$6&lt;Crédits!$K$10,M217,0))+IF(Crédits!$K$7="",0,IF(Crédits!$K$7&lt;Crédits!$K$10,U217,0))+IF(Crédits!$K$8="",0,IF(Crédits!$K$8&lt;Crédits!$K$10,AC217,0))+IF(Crédits!$K$9="",0,IF(Crédits!$K$9&lt;Crédits!$K$10,AK217,0))))))</f>
        <v>0</v>
      </c>
      <c r="AU217" s="104">
        <f t="shared" si="11"/>
        <v>0</v>
      </c>
      <c r="AV217" s="88">
        <f>ROUND(AV216+AW217-MIN(N(Crédits!$E$10),AV216+AW217),2)</f>
        <v>0</v>
      </c>
      <c r="AW217" s="89">
        <f>AV216*N(Crédits!$D$10)/12</f>
        <v>0</v>
      </c>
      <c r="AX217" s="105">
        <f t="shared" si="12"/>
        <v>0</v>
      </c>
      <c r="AY217" s="105">
        <f t="shared" ref="AY217:AZ217" si="235">F217+N217+V217+AD217+AL217+AT217</f>
        <v>0</v>
      </c>
      <c r="AZ217" s="105">
        <f t="shared" si="235"/>
        <v>0</v>
      </c>
      <c r="BA217" s="105">
        <f t="shared" si="14"/>
        <v>0</v>
      </c>
      <c r="BB217" s="105">
        <f t="shared" si="15"/>
        <v>0</v>
      </c>
    </row>
    <row r="218" spans="1:54" ht="15" customHeight="1" x14ac:dyDescent="0.25">
      <c r="A218" s="2">
        <v>216</v>
      </c>
      <c r="B218" s="83">
        <f t="shared" si="16"/>
        <v>0</v>
      </c>
      <c r="C218" s="83">
        <f>B218*N(Crédits!$D$5)/12</f>
        <v>0</v>
      </c>
      <c r="D218" s="83">
        <f>MIN(N(Crédits!$E$5),B218+C218)</f>
        <v>0</v>
      </c>
      <c r="E218" s="83">
        <f t="shared" si="0"/>
        <v>0</v>
      </c>
      <c r="F218" s="86">
        <f>IF(Crédits!$K$5="",0,MAX(0,MIN(E218,Plan!$L$220-(IF(Crédits!$K$6="",0,IF(Crédits!$K$6&lt;Crédits!$K$5,M218,0))+IF(Crédits!$K$7="",0,IF(Crédits!$K$7&lt;Crédits!$K$5,U218,0))+IF(Crédits!$K$8="",0,IF(Crédits!$K$8&lt;Crédits!$K$5,AC218,0))+IF(Crédits!$K$9="",0,IF(Crédits!$K$9&lt;Crédits!$K$5,AK218,0))+IF(Crédits!$K$10="",0,IF(Crédits!$K$10&lt;Crédits!$K$5,AS218,0))))))</f>
        <v>0</v>
      </c>
      <c r="G218" s="87">
        <f t="shared" si="1"/>
        <v>0</v>
      </c>
      <c r="H218" s="88">
        <f>ROUND(H217+I218-MIN(N(Crédits!$E$5),H217+I218),2)</f>
        <v>0</v>
      </c>
      <c r="I218" s="89">
        <f>H217*N(Crédits!$D$5)/12</f>
        <v>0</v>
      </c>
      <c r="J218" s="90">
        <f t="shared" si="17"/>
        <v>0</v>
      </c>
      <c r="K218" s="90">
        <f>J218*N(Crédits!$D$6)/12</f>
        <v>0</v>
      </c>
      <c r="L218" s="90">
        <f>MIN(N(Crédits!$E$6),J218+K218)</f>
        <v>0</v>
      </c>
      <c r="M218" s="90">
        <f t="shared" si="2"/>
        <v>0</v>
      </c>
      <c r="N218" s="91">
        <f>IF(Crédits!$K$6="",0,MAX(0,MIN(M218,Plan!$L$220-(IF(Crédits!$K$5="",0,IF(Crédits!$K$5&lt;Crédits!$K$6,E218,0))+IF(Crédits!$K$7="",0,IF(Crédits!$K$7&lt;Crédits!$K$6,U218,0))+IF(Crédits!$K$8="",0,IF(Crédits!$K$8&lt;Crédits!$K$6,AC218,0))+IF(Crédits!$K$9="",0,IF(Crédits!$K$9&lt;Crédits!$K$6,AK218,0))+IF(Crédits!$K$10="",0,IF(Crédits!$K$10&lt;Crédits!$K$6,AS218,0))))))</f>
        <v>0</v>
      </c>
      <c r="O218" s="92">
        <f t="shared" si="3"/>
        <v>0</v>
      </c>
      <c r="P218" s="88">
        <f>ROUND(P217+Q218-MIN(N(Crédits!$E$6),P217+Q218),2)</f>
        <v>0</v>
      </c>
      <c r="Q218" s="89">
        <f>P217*N(Crédits!$D$6)/12</f>
        <v>0</v>
      </c>
      <c r="R218" s="93">
        <f t="shared" si="18"/>
        <v>0</v>
      </c>
      <c r="S218" s="93">
        <f>R218*N(Crédits!$D$7)/12</f>
        <v>0</v>
      </c>
      <c r="T218" s="93">
        <f>MIN(N(Crédits!$E$7),R218+S218)</f>
        <v>0</v>
      </c>
      <c r="U218" s="93">
        <f t="shared" si="4"/>
        <v>0</v>
      </c>
      <c r="V218" s="94">
        <f>IF(Crédits!$K$7="",0,MAX(0,MIN(U218,Plan!$L$220-(IF(Crédits!$K$5="",0,IF(Crédits!$K$5&lt;Crédits!$K$7,E218,0))+IF(Crédits!$K$6="",0,IF(Crédits!$K$6&lt;Crédits!$K$7,M218,0))+IF(Crédits!$K$8="",0,IF(Crédits!$K$8&lt;Crédits!$K$7,AC218,0))+IF(Crédits!$K$9="",0,IF(Crédits!$K$9&lt;Crédits!$K$7,AK218,0))+IF(Crédits!$K$10="",0,IF(Crédits!$K$10&lt;Crédits!$K$7,AS218,0))))))</f>
        <v>0</v>
      </c>
      <c r="W218" s="95">
        <f t="shared" si="5"/>
        <v>0</v>
      </c>
      <c r="X218" s="88">
        <f>ROUND(X217+Y218-MIN(N(Crédits!$E$7),X217+Y218),2)</f>
        <v>0</v>
      </c>
      <c r="Y218" s="89">
        <f>X217*N(Crédits!$D$7)/12</f>
        <v>0</v>
      </c>
      <c r="Z218" s="96">
        <f t="shared" si="19"/>
        <v>0</v>
      </c>
      <c r="AA218" s="96">
        <f>Z218*N(Crédits!$D$8)/12</f>
        <v>0</v>
      </c>
      <c r="AB218" s="96">
        <f>MIN(N(Crédits!$E$8),Z218+AA218)</f>
        <v>0</v>
      </c>
      <c r="AC218" s="96">
        <f t="shared" si="6"/>
        <v>0</v>
      </c>
      <c r="AD218" s="97">
        <f>IF(Crédits!$K$8="",0,MAX(0,MIN(AC218,Plan!$L$220-(IF(Crédits!$K$5="",0,IF(Crédits!$K$5&lt;Crédits!$K$8,E218,0))+IF(Crédits!$K$6="",0,IF(Crédits!$K$6&lt;Crédits!$K$8,M218,0))+IF(Crédits!$K$7="",0,IF(Crédits!$K$7&lt;Crédits!$K$8,U218,0))+IF(Crédits!$K$9="",0,IF(Crédits!$K$9&lt;Crédits!$K$8,AK218,0))+IF(Crédits!$K$10="",0,IF(Crédits!$K$10&lt;Crédits!$K$8,AS218,0))))))</f>
        <v>0</v>
      </c>
      <c r="AE218" s="98">
        <f t="shared" si="7"/>
        <v>0</v>
      </c>
      <c r="AF218" s="88">
        <f>ROUND(AF217+AG218-MIN(N(Crédits!$E$8),AF217+AG218),2)</f>
        <v>0</v>
      </c>
      <c r="AG218" s="89">
        <f>AF217*N(Crédits!$D$8)/12</f>
        <v>0</v>
      </c>
      <c r="AH218" s="99">
        <f t="shared" si="20"/>
        <v>0</v>
      </c>
      <c r="AI218" s="99">
        <f>AH218*N(Crédits!$D$9)/12</f>
        <v>0</v>
      </c>
      <c r="AJ218" s="99">
        <f>MIN(N(Crédits!$E$9),AH218+AI218)</f>
        <v>0</v>
      </c>
      <c r="AK218" s="99">
        <f t="shared" si="8"/>
        <v>0</v>
      </c>
      <c r="AL218" s="100">
        <f>IF(Crédits!$K$9="",0,MAX(0,MIN(AK218,Plan!$L$220-(IF(Crédits!$K$5="",0,IF(Crédits!$K$5&lt;Crédits!$K$9,E218,0))+IF(Crédits!$K$6="",0,IF(Crédits!$K$6&lt;Crédits!$K$9,M218,0))+IF(Crédits!$K$7="",0,IF(Crédits!$K$7&lt;Crédits!$K$9,U218,0))+IF(Crédits!$K$8="",0,IF(Crédits!$K$8&lt;Crédits!$K$9,AC218,0))+IF(Crédits!$K$10="",0,IF(Crédits!$K$10&lt;Crédits!$K$9,AS218,0))))))</f>
        <v>0</v>
      </c>
      <c r="AM218" s="101">
        <f t="shared" si="9"/>
        <v>0</v>
      </c>
      <c r="AN218" s="88">
        <f>ROUND(AN217+AO218-MIN(N(Crédits!$E$9),AN217+AO218),2)</f>
        <v>0</v>
      </c>
      <c r="AO218" s="89">
        <f>AN217*N(Crédits!$D$9)/12</f>
        <v>0</v>
      </c>
      <c r="AP218" s="102">
        <f t="shared" si="21"/>
        <v>0</v>
      </c>
      <c r="AQ218" s="102">
        <f>AP218*N(Crédits!$D$10)/12</f>
        <v>0</v>
      </c>
      <c r="AR218" s="102">
        <f>MIN(N(Crédits!$E$10),AP218+AQ218)</f>
        <v>0</v>
      </c>
      <c r="AS218" s="102">
        <f t="shared" si="10"/>
        <v>0</v>
      </c>
      <c r="AT218" s="103">
        <f>IF(Crédits!$K$10="",0,MAX(0,MIN(AS218,Plan!$L$220-(IF(Crédits!$K$5="",0,IF(Crédits!$K$5&lt;Crédits!$K$10,E218,0))+IF(Crédits!$K$6="",0,IF(Crédits!$K$6&lt;Crédits!$K$10,M218,0))+IF(Crédits!$K$7="",0,IF(Crédits!$K$7&lt;Crédits!$K$10,U218,0))+IF(Crédits!$K$8="",0,IF(Crédits!$K$8&lt;Crédits!$K$10,AC218,0))+IF(Crédits!$K$9="",0,IF(Crédits!$K$9&lt;Crédits!$K$10,AK218,0))))))</f>
        <v>0</v>
      </c>
      <c r="AU218" s="104">
        <f t="shared" si="11"/>
        <v>0</v>
      </c>
      <c r="AV218" s="88">
        <f>ROUND(AV217+AW218-MIN(N(Crédits!$E$10),AV217+AW218),2)</f>
        <v>0</v>
      </c>
      <c r="AW218" s="89">
        <f>AV217*N(Crédits!$D$10)/12</f>
        <v>0</v>
      </c>
      <c r="AX218" s="105">
        <f t="shared" si="12"/>
        <v>0</v>
      </c>
      <c r="AY218" s="105">
        <f t="shared" ref="AY218:AZ218" si="236">F218+N218+V218+AD218+AL218+AT218</f>
        <v>0</v>
      </c>
      <c r="AZ218" s="105">
        <f t="shared" si="236"/>
        <v>0</v>
      </c>
      <c r="BA218" s="105">
        <f t="shared" si="14"/>
        <v>0</v>
      </c>
      <c r="BB218" s="105">
        <f t="shared" si="15"/>
        <v>0</v>
      </c>
    </row>
    <row r="219" spans="1:54" ht="15" customHeight="1" x14ac:dyDescent="0.25">
      <c r="A219" s="2">
        <v>217</v>
      </c>
      <c r="B219" s="83">
        <f t="shared" si="16"/>
        <v>0</v>
      </c>
      <c r="C219" s="83">
        <f>B219*N(Crédits!$D$5)/12</f>
        <v>0</v>
      </c>
      <c r="D219" s="83">
        <f>MIN(N(Crédits!$E$5),B219+C219)</f>
        <v>0</v>
      </c>
      <c r="E219" s="83">
        <f t="shared" si="0"/>
        <v>0</v>
      </c>
      <c r="F219" s="86">
        <f>IF(Crédits!$K$5="",0,MAX(0,MIN(E219,Plan!$L$221-(IF(Crédits!$K$6="",0,IF(Crédits!$K$6&lt;Crédits!$K$5,M219,0))+IF(Crédits!$K$7="",0,IF(Crédits!$K$7&lt;Crédits!$K$5,U219,0))+IF(Crédits!$K$8="",0,IF(Crédits!$K$8&lt;Crédits!$K$5,AC219,0))+IF(Crédits!$K$9="",0,IF(Crédits!$K$9&lt;Crédits!$K$5,AK219,0))+IF(Crédits!$K$10="",0,IF(Crédits!$K$10&lt;Crédits!$K$5,AS219,0))))))</f>
        <v>0</v>
      </c>
      <c r="G219" s="87">
        <f t="shared" si="1"/>
        <v>0</v>
      </c>
      <c r="H219" s="88">
        <f>ROUND(H218+I219-MIN(N(Crédits!$E$5),H218+I219),2)</f>
        <v>0</v>
      </c>
      <c r="I219" s="89">
        <f>H218*N(Crédits!$D$5)/12</f>
        <v>0</v>
      </c>
      <c r="J219" s="90">
        <f t="shared" si="17"/>
        <v>0</v>
      </c>
      <c r="K219" s="90">
        <f>J219*N(Crédits!$D$6)/12</f>
        <v>0</v>
      </c>
      <c r="L219" s="90">
        <f>MIN(N(Crédits!$E$6),J219+K219)</f>
        <v>0</v>
      </c>
      <c r="M219" s="90">
        <f t="shared" si="2"/>
        <v>0</v>
      </c>
      <c r="N219" s="91">
        <f>IF(Crédits!$K$6="",0,MAX(0,MIN(M219,Plan!$L$221-(IF(Crédits!$K$5="",0,IF(Crédits!$K$5&lt;Crédits!$K$6,E219,0))+IF(Crédits!$K$7="",0,IF(Crédits!$K$7&lt;Crédits!$K$6,U219,0))+IF(Crédits!$K$8="",0,IF(Crédits!$K$8&lt;Crédits!$K$6,AC219,0))+IF(Crédits!$K$9="",0,IF(Crédits!$K$9&lt;Crédits!$K$6,AK219,0))+IF(Crédits!$K$10="",0,IF(Crédits!$K$10&lt;Crédits!$K$6,AS219,0))))))</f>
        <v>0</v>
      </c>
      <c r="O219" s="92">
        <f t="shared" si="3"/>
        <v>0</v>
      </c>
      <c r="P219" s="88">
        <f>ROUND(P218+Q219-MIN(N(Crédits!$E$6),P218+Q219),2)</f>
        <v>0</v>
      </c>
      <c r="Q219" s="89">
        <f>P218*N(Crédits!$D$6)/12</f>
        <v>0</v>
      </c>
      <c r="R219" s="93">
        <f t="shared" si="18"/>
        <v>0</v>
      </c>
      <c r="S219" s="93">
        <f>R219*N(Crédits!$D$7)/12</f>
        <v>0</v>
      </c>
      <c r="T219" s="93">
        <f>MIN(N(Crédits!$E$7),R219+S219)</f>
        <v>0</v>
      </c>
      <c r="U219" s="93">
        <f t="shared" si="4"/>
        <v>0</v>
      </c>
      <c r="V219" s="94">
        <f>IF(Crédits!$K$7="",0,MAX(0,MIN(U219,Plan!$L$221-(IF(Crédits!$K$5="",0,IF(Crédits!$K$5&lt;Crédits!$K$7,E219,0))+IF(Crédits!$K$6="",0,IF(Crédits!$K$6&lt;Crédits!$K$7,M219,0))+IF(Crédits!$K$8="",0,IF(Crédits!$K$8&lt;Crédits!$K$7,AC219,0))+IF(Crédits!$K$9="",0,IF(Crédits!$K$9&lt;Crédits!$K$7,AK219,0))+IF(Crédits!$K$10="",0,IF(Crédits!$K$10&lt;Crédits!$K$7,AS219,0))))))</f>
        <v>0</v>
      </c>
      <c r="W219" s="95">
        <f t="shared" si="5"/>
        <v>0</v>
      </c>
      <c r="X219" s="88">
        <f>ROUND(X218+Y219-MIN(N(Crédits!$E$7),X218+Y219),2)</f>
        <v>0</v>
      </c>
      <c r="Y219" s="89">
        <f>X218*N(Crédits!$D$7)/12</f>
        <v>0</v>
      </c>
      <c r="Z219" s="96">
        <f t="shared" si="19"/>
        <v>0</v>
      </c>
      <c r="AA219" s="96">
        <f>Z219*N(Crédits!$D$8)/12</f>
        <v>0</v>
      </c>
      <c r="AB219" s="96">
        <f>MIN(N(Crédits!$E$8),Z219+AA219)</f>
        <v>0</v>
      </c>
      <c r="AC219" s="96">
        <f t="shared" si="6"/>
        <v>0</v>
      </c>
      <c r="AD219" s="97">
        <f>IF(Crédits!$K$8="",0,MAX(0,MIN(AC219,Plan!$L$221-(IF(Crédits!$K$5="",0,IF(Crédits!$K$5&lt;Crédits!$K$8,E219,0))+IF(Crédits!$K$6="",0,IF(Crédits!$K$6&lt;Crédits!$K$8,M219,0))+IF(Crédits!$K$7="",0,IF(Crédits!$K$7&lt;Crédits!$K$8,U219,0))+IF(Crédits!$K$9="",0,IF(Crédits!$K$9&lt;Crédits!$K$8,AK219,0))+IF(Crédits!$K$10="",0,IF(Crédits!$K$10&lt;Crédits!$K$8,AS219,0))))))</f>
        <v>0</v>
      </c>
      <c r="AE219" s="98">
        <f t="shared" si="7"/>
        <v>0</v>
      </c>
      <c r="AF219" s="88">
        <f>ROUND(AF218+AG219-MIN(N(Crédits!$E$8),AF218+AG219),2)</f>
        <v>0</v>
      </c>
      <c r="AG219" s="89">
        <f>AF218*N(Crédits!$D$8)/12</f>
        <v>0</v>
      </c>
      <c r="AH219" s="99">
        <f t="shared" si="20"/>
        <v>0</v>
      </c>
      <c r="AI219" s="99">
        <f>AH219*N(Crédits!$D$9)/12</f>
        <v>0</v>
      </c>
      <c r="AJ219" s="99">
        <f>MIN(N(Crédits!$E$9),AH219+AI219)</f>
        <v>0</v>
      </c>
      <c r="AK219" s="99">
        <f t="shared" si="8"/>
        <v>0</v>
      </c>
      <c r="AL219" s="100">
        <f>IF(Crédits!$K$9="",0,MAX(0,MIN(AK219,Plan!$L$221-(IF(Crédits!$K$5="",0,IF(Crédits!$K$5&lt;Crédits!$K$9,E219,0))+IF(Crédits!$K$6="",0,IF(Crédits!$K$6&lt;Crédits!$K$9,M219,0))+IF(Crédits!$K$7="",0,IF(Crédits!$K$7&lt;Crédits!$K$9,U219,0))+IF(Crédits!$K$8="",0,IF(Crédits!$K$8&lt;Crédits!$K$9,AC219,0))+IF(Crédits!$K$10="",0,IF(Crédits!$K$10&lt;Crédits!$K$9,AS219,0))))))</f>
        <v>0</v>
      </c>
      <c r="AM219" s="101">
        <f t="shared" si="9"/>
        <v>0</v>
      </c>
      <c r="AN219" s="88">
        <f>ROUND(AN218+AO219-MIN(N(Crédits!$E$9),AN218+AO219),2)</f>
        <v>0</v>
      </c>
      <c r="AO219" s="89">
        <f>AN218*N(Crédits!$D$9)/12</f>
        <v>0</v>
      </c>
      <c r="AP219" s="102">
        <f t="shared" si="21"/>
        <v>0</v>
      </c>
      <c r="AQ219" s="102">
        <f>AP219*N(Crédits!$D$10)/12</f>
        <v>0</v>
      </c>
      <c r="AR219" s="102">
        <f>MIN(N(Crédits!$E$10),AP219+AQ219)</f>
        <v>0</v>
      </c>
      <c r="AS219" s="102">
        <f t="shared" si="10"/>
        <v>0</v>
      </c>
      <c r="AT219" s="103">
        <f>IF(Crédits!$K$10="",0,MAX(0,MIN(AS219,Plan!$L$221-(IF(Crédits!$K$5="",0,IF(Crédits!$K$5&lt;Crédits!$K$10,E219,0))+IF(Crédits!$K$6="",0,IF(Crédits!$K$6&lt;Crédits!$K$10,M219,0))+IF(Crédits!$K$7="",0,IF(Crédits!$K$7&lt;Crédits!$K$10,U219,0))+IF(Crédits!$K$8="",0,IF(Crédits!$K$8&lt;Crédits!$K$10,AC219,0))+IF(Crédits!$K$9="",0,IF(Crédits!$K$9&lt;Crédits!$K$10,AK219,0))))))</f>
        <v>0</v>
      </c>
      <c r="AU219" s="104">
        <f t="shared" si="11"/>
        <v>0</v>
      </c>
      <c r="AV219" s="88">
        <f>ROUND(AV218+AW219-MIN(N(Crédits!$E$10),AV218+AW219),2)</f>
        <v>0</v>
      </c>
      <c r="AW219" s="89">
        <f>AV218*N(Crédits!$D$10)/12</f>
        <v>0</v>
      </c>
      <c r="AX219" s="105">
        <f t="shared" si="12"/>
        <v>0</v>
      </c>
      <c r="AY219" s="105">
        <f t="shared" ref="AY219:AZ219" si="237">F219+N219+V219+AD219+AL219+AT219</f>
        <v>0</v>
      </c>
      <c r="AZ219" s="105">
        <f t="shared" si="237"/>
        <v>0</v>
      </c>
      <c r="BA219" s="105">
        <f t="shared" si="14"/>
        <v>0</v>
      </c>
      <c r="BB219" s="105">
        <f t="shared" si="15"/>
        <v>0</v>
      </c>
    </row>
    <row r="220" spans="1:54" ht="15" customHeight="1" x14ac:dyDescent="0.25">
      <c r="A220" s="2">
        <v>218</v>
      </c>
      <c r="B220" s="83">
        <f t="shared" si="16"/>
        <v>0</v>
      </c>
      <c r="C220" s="83">
        <f>B220*N(Crédits!$D$5)/12</f>
        <v>0</v>
      </c>
      <c r="D220" s="83">
        <f>MIN(N(Crédits!$E$5),B220+C220)</f>
        <v>0</v>
      </c>
      <c r="E220" s="83">
        <f t="shared" si="0"/>
        <v>0</v>
      </c>
      <c r="F220" s="86">
        <f>IF(Crédits!$K$5="",0,MAX(0,MIN(E220,Plan!$L$222-(IF(Crédits!$K$6="",0,IF(Crédits!$K$6&lt;Crédits!$K$5,M220,0))+IF(Crédits!$K$7="",0,IF(Crédits!$K$7&lt;Crédits!$K$5,U220,0))+IF(Crédits!$K$8="",0,IF(Crédits!$K$8&lt;Crédits!$K$5,AC220,0))+IF(Crédits!$K$9="",0,IF(Crédits!$K$9&lt;Crédits!$K$5,AK220,0))+IF(Crédits!$K$10="",0,IF(Crédits!$K$10&lt;Crédits!$K$5,AS220,0))))))</f>
        <v>0</v>
      </c>
      <c r="G220" s="87">
        <f t="shared" si="1"/>
        <v>0</v>
      </c>
      <c r="H220" s="88">
        <f>ROUND(H219+I220-MIN(N(Crédits!$E$5),H219+I220),2)</f>
        <v>0</v>
      </c>
      <c r="I220" s="89">
        <f>H219*N(Crédits!$D$5)/12</f>
        <v>0</v>
      </c>
      <c r="J220" s="90">
        <f t="shared" si="17"/>
        <v>0</v>
      </c>
      <c r="K220" s="90">
        <f>J220*N(Crédits!$D$6)/12</f>
        <v>0</v>
      </c>
      <c r="L220" s="90">
        <f>MIN(N(Crédits!$E$6),J220+K220)</f>
        <v>0</v>
      </c>
      <c r="M220" s="90">
        <f t="shared" si="2"/>
        <v>0</v>
      </c>
      <c r="N220" s="91">
        <f>IF(Crédits!$K$6="",0,MAX(0,MIN(M220,Plan!$L$222-(IF(Crédits!$K$5="",0,IF(Crédits!$K$5&lt;Crédits!$K$6,E220,0))+IF(Crédits!$K$7="",0,IF(Crédits!$K$7&lt;Crédits!$K$6,U220,0))+IF(Crédits!$K$8="",0,IF(Crédits!$K$8&lt;Crédits!$K$6,AC220,0))+IF(Crédits!$K$9="",0,IF(Crédits!$K$9&lt;Crédits!$K$6,AK220,0))+IF(Crédits!$K$10="",0,IF(Crédits!$K$10&lt;Crédits!$K$6,AS220,0))))))</f>
        <v>0</v>
      </c>
      <c r="O220" s="92">
        <f t="shared" si="3"/>
        <v>0</v>
      </c>
      <c r="P220" s="88">
        <f>ROUND(P219+Q220-MIN(N(Crédits!$E$6),P219+Q220),2)</f>
        <v>0</v>
      </c>
      <c r="Q220" s="89">
        <f>P219*N(Crédits!$D$6)/12</f>
        <v>0</v>
      </c>
      <c r="R220" s="93">
        <f t="shared" si="18"/>
        <v>0</v>
      </c>
      <c r="S220" s="93">
        <f>R220*N(Crédits!$D$7)/12</f>
        <v>0</v>
      </c>
      <c r="T220" s="93">
        <f>MIN(N(Crédits!$E$7),R220+S220)</f>
        <v>0</v>
      </c>
      <c r="U220" s="93">
        <f t="shared" si="4"/>
        <v>0</v>
      </c>
      <c r="V220" s="94">
        <f>IF(Crédits!$K$7="",0,MAX(0,MIN(U220,Plan!$L$222-(IF(Crédits!$K$5="",0,IF(Crédits!$K$5&lt;Crédits!$K$7,E220,0))+IF(Crédits!$K$6="",0,IF(Crédits!$K$6&lt;Crédits!$K$7,M220,0))+IF(Crédits!$K$8="",0,IF(Crédits!$K$8&lt;Crédits!$K$7,AC220,0))+IF(Crédits!$K$9="",0,IF(Crédits!$K$9&lt;Crédits!$K$7,AK220,0))+IF(Crédits!$K$10="",0,IF(Crédits!$K$10&lt;Crédits!$K$7,AS220,0))))))</f>
        <v>0</v>
      </c>
      <c r="W220" s="95">
        <f t="shared" si="5"/>
        <v>0</v>
      </c>
      <c r="X220" s="88">
        <f>ROUND(X219+Y220-MIN(N(Crédits!$E$7),X219+Y220),2)</f>
        <v>0</v>
      </c>
      <c r="Y220" s="89">
        <f>X219*N(Crédits!$D$7)/12</f>
        <v>0</v>
      </c>
      <c r="Z220" s="96">
        <f t="shared" si="19"/>
        <v>0</v>
      </c>
      <c r="AA220" s="96">
        <f>Z220*N(Crédits!$D$8)/12</f>
        <v>0</v>
      </c>
      <c r="AB220" s="96">
        <f>MIN(N(Crédits!$E$8),Z220+AA220)</f>
        <v>0</v>
      </c>
      <c r="AC220" s="96">
        <f t="shared" si="6"/>
        <v>0</v>
      </c>
      <c r="AD220" s="97">
        <f>IF(Crédits!$K$8="",0,MAX(0,MIN(AC220,Plan!$L$222-(IF(Crédits!$K$5="",0,IF(Crédits!$K$5&lt;Crédits!$K$8,E220,0))+IF(Crédits!$K$6="",0,IF(Crédits!$K$6&lt;Crédits!$K$8,M220,0))+IF(Crédits!$K$7="",0,IF(Crédits!$K$7&lt;Crédits!$K$8,U220,0))+IF(Crédits!$K$9="",0,IF(Crédits!$K$9&lt;Crédits!$K$8,AK220,0))+IF(Crédits!$K$10="",0,IF(Crédits!$K$10&lt;Crédits!$K$8,AS220,0))))))</f>
        <v>0</v>
      </c>
      <c r="AE220" s="98">
        <f t="shared" si="7"/>
        <v>0</v>
      </c>
      <c r="AF220" s="88">
        <f>ROUND(AF219+AG220-MIN(N(Crédits!$E$8),AF219+AG220),2)</f>
        <v>0</v>
      </c>
      <c r="AG220" s="89">
        <f>AF219*N(Crédits!$D$8)/12</f>
        <v>0</v>
      </c>
      <c r="AH220" s="99">
        <f t="shared" si="20"/>
        <v>0</v>
      </c>
      <c r="AI220" s="99">
        <f>AH220*N(Crédits!$D$9)/12</f>
        <v>0</v>
      </c>
      <c r="AJ220" s="99">
        <f>MIN(N(Crédits!$E$9),AH220+AI220)</f>
        <v>0</v>
      </c>
      <c r="AK220" s="99">
        <f t="shared" si="8"/>
        <v>0</v>
      </c>
      <c r="AL220" s="100">
        <f>IF(Crédits!$K$9="",0,MAX(0,MIN(AK220,Plan!$L$222-(IF(Crédits!$K$5="",0,IF(Crédits!$K$5&lt;Crédits!$K$9,E220,0))+IF(Crédits!$K$6="",0,IF(Crédits!$K$6&lt;Crédits!$K$9,M220,0))+IF(Crédits!$K$7="",0,IF(Crédits!$K$7&lt;Crédits!$K$9,U220,0))+IF(Crédits!$K$8="",0,IF(Crédits!$K$8&lt;Crédits!$K$9,AC220,0))+IF(Crédits!$K$10="",0,IF(Crédits!$K$10&lt;Crédits!$K$9,AS220,0))))))</f>
        <v>0</v>
      </c>
      <c r="AM220" s="101">
        <f t="shared" si="9"/>
        <v>0</v>
      </c>
      <c r="AN220" s="88">
        <f>ROUND(AN219+AO220-MIN(N(Crédits!$E$9),AN219+AO220),2)</f>
        <v>0</v>
      </c>
      <c r="AO220" s="89">
        <f>AN219*N(Crédits!$D$9)/12</f>
        <v>0</v>
      </c>
      <c r="AP220" s="102">
        <f t="shared" si="21"/>
        <v>0</v>
      </c>
      <c r="AQ220" s="102">
        <f>AP220*N(Crédits!$D$10)/12</f>
        <v>0</v>
      </c>
      <c r="AR220" s="102">
        <f>MIN(N(Crédits!$E$10),AP220+AQ220)</f>
        <v>0</v>
      </c>
      <c r="AS220" s="102">
        <f t="shared" si="10"/>
        <v>0</v>
      </c>
      <c r="AT220" s="103">
        <f>IF(Crédits!$K$10="",0,MAX(0,MIN(AS220,Plan!$L$222-(IF(Crédits!$K$5="",0,IF(Crédits!$K$5&lt;Crédits!$K$10,E220,0))+IF(Crédits!$K$6="",0,IF(Crédits!$K$6&lt;Crédits!$K$10,M220,0))+IF(Crédits!$K$7="",0,IF(Crédits!$K$7&lt;Crédits!$K$10,U220,0))+IF(Crédits!$K$8="",0,IF(Crédits!$K$8&lt;Crédits!$K$10,AC220,0))+IF(Crédits!$K$9="",0,IF(Crédits!$K$9&lt;Crédits!$K$10,AK220,0))))))</f>
        <v>0</v>
      </c>
      <c r="AU220" s="104">
        <f t="shared" si="11"/>
        <v>0</v>
      </c>
      <c r="AV220" s="88">
        <f>ROUND(AV219+AW220-MIN(N(Crédits!$E$10),AV219+AW220),2)</f>
        <v>0</v>
      </c>
      <c r="AW220" s="89">
        <f>AV219*N(Crédits!$D$10)/12</f>
        <v>0</v>
      </c>
      <c r="AX220" s="105">
        <f t="shared" si="12"/>
        <v>0</v>
      </c>
      <c r="AY220" s="105">
        <f t="shared" ref="AY220:AZ220" si="238">F220+N220+V220+AD220+AL220+AT220</f>
        <v>0</v>
      </c>
      <c r="AZ220" s="105">
        <f t="shared" si="238"/>
        <v>0</v>
      </c>
      <c r="BA220" s="105">
        <f t="shared" si="14"/>
        <v>0</v>
      </c>
      <c r="BB220" s="105">
        <f t="shared" si="15"/>
        <v>0</v>
      </c>
    </row>
    <row r="221" spans="1:54" ht="15" customHeight="1" x14ac:dyDescent="0.25">
      <c r="A221" s="2">
        <v>219</v>
      </c>
      <c r="B221" s="83">
        <f t="shared" si="16"/>
        <v>0</v>
      </c>
      <c r="C221" s="83">
        <f>B221*N(Crédits!$D$5)/12</f>
        <v>0</v>
      </c>
      <c r="D221" s="83">
        <f>MIN(N(Crédits!$E$5),B221+C221)</f>
        <v>0</v>
      </c>
      <c r="E221" s="83">
        <f t="shared" si="0"/>
        <v>0</v>
      </c>
      <c r="F221" s="86">
        <f>IF(Crédits!$K$5="",0,MAX(0,MIN(E221,Plan!$L$223-(IF(Crédits!$K$6="",0,IF(Crédits!$K$6&lt;Crédits!$K$5,M221,0))+IF(Crédits!$K$7="",0,IF(Crédits!$K$7&lt;Crédits!$K$5,U221,0))+IF(Crédits!$K$8="",0,IF(Crédits!$K$8&lt;Crédits!$K$5,AC221,0))+IF(Crédits!$K$9="",0,IF(Crédits!$K$9&lt;Crédits!$K$5,AK221,0))+IF(Crédits!$K$10="",0,IF(Crédits!$K$10&lt;Crédits!$K$5,AS221,0))))))</f>
        <v>0</v>
      </c>
      <c r="G221" s="87">
        <f t="shared" si="1"/>
        <v>0</v>
      </c>
      <c r="H221" s="88">
        <f>ROUND(H220+I221-MIN(N(Crédits!$E$5),H220+I221),2)</f>
        <v>0</v>
      </c>
      <c r="I221" s="89">
        <f>H220*N(Crédits!$D$5)/12</f>
        <v>0</v>
      </c>
      <c r="J221" s="90">
        <f t="shared" si="17"/>
        <v>0</v>
      </c>
      <c r="K221" s="90">
        <f>J221*N(Crédits!$D$6)/12</f>
        <v>0</v>
      </c>
      <c r="L221" s="90">
        <f>MIN(N(Crédits!$E$6),J221+K221)</f>
        <v>0</v>
      </c>
      <c r="M221" s="90">
        <f t="shared" si="2"/>
        <v>0</v>
      </c>
      <c r="N221" s="91">
        <f>IF(Crédits!$K$6="",0,MAX(0,MIN(M221,Plan!$L$223-(IF(Crédits!$K$5="",0,IF(Crédits!$K$5&lt;Crédits!$K$6,E221,0))+IF(Crédits!$K$7="",0,IF(Crédits!$K$7&lt;Crédits!$K$6,U221,0))+IF(Crédits!$K$8="",0,IF(Crédits!$K$8&lt;Crédits!$K$6,AC221,0))+IF(Crédits!$K$9="",0,IF(Crédits!$K$9&lt;Crédits!$K$6,AK221,0))+IF(Crédits!$K$10="",0,IF(Crédits!$K$10&lt;Crédits!$K$6,AS221,0))))))</f>
        <v>0</v>
      </c>
      <c r="O221" s="92">
        <f t="shared" si="3"/>
        <v>0</v>
      </c>
      <c r="P221" s="88">
        <f>ROUND(P220+Q221-MIN(N(Crédits!$E$6),P220+Q221),2)</f>
        <v>0</v>
      </c>
      <c r="Q221" s="89">
        <f>P220*N(Crédits!$D$6)/12</f>
        <v>0</v>
      </c>
      <c r="R221" s="93">
        <f t="shared" si="18"/>
        <v>0</v>
      </c>
      <c r="S221" s="93">
        <f>R221*N(Crédits!$D$7)/12</f>
        <v>0</v>
      </c>
      <c r="T221" s="93">
        <f>MIN(N(Crédits!$E$7),R221+S221)</f>
        <v>0</v>
      </c>
      <c r="U221" s="93">
        <f t="shared" si="4"/>
        <v>0</v>
      </c>
      <c r="V221" s="94">
        <f>IF(Crédits!$K$7="",0,MAX(0,MIN(U221,Plan!$L$223-(IF(Crédits!$K$5="",0,IF(Crédits!$K$5&lt;Crédits!$K$7,E221,0))+IF(Crédits!$K$6="",0,IF(Crédits!$K$6&lt;Crédits!$K$7,M221,0))+IF(Crédits!$K$8="",0,IF(Crédits!$K$8&lt;Crédits!$K$7,AC221,0))+IF(Crédits!$K$9="",0,IF(Crédits!$K$9&lt;Crédits!$K$7,AK221,0))+IF(Crédits!$K$10="",0,IF(Crédits!$K$10&lt;Crédits!$K$7,AS221,0))))))</f>
        <v>0</v>
      </c>
      <c r="W221" s="95">
        <f t="shared" si="5"/>
        <v>0</v>
      </c>
      <c r="X221" s="88">
        <f>ROUND(X220+Y221-MIN(N(Crédits!$E$7),X220+Y221),2)</f>
        <v>0</v>
      </c>
      <c r="Y221" s="89">
        <f>X220*N(Crédits!$D$7)/12</f>
        <v>0</v>
      </c>
      <c r="Z221" s="96">
        <f t="shared" si="19"/>
        <v>0</v>
      </c>
      <c r="AA221" s="96">
        <f>Z221*N(Crédits!$D$8)/12</f>
        <v>0</v>
      </c>
      <c r="AB221" s="96">
        <f>MIN(N(Crédits!$E$8),Z221+AA221)</f>
        <v>0</v>
      </c>
      <c r="AC221" s="96">
        <f t="shared" si="6"/>
        <v>0</v>
      </c>
      <c r="AD221" s="97">
        <f>IF(Crédits!$K$8="",0,MAX(0,MIN(AC221,Plan!$L$223-(IF(Crédits!$K$5="",0,IF(Crédits!$K$5&lt;Crédits!$K$8,E221,0))+IF(Crédits!$K$6="",0,IF(Crédits!$K$6&lt;Crédits!$K$8,M221,0))+IF(Crédits!$K$7="",0,IF(Crédits!$K$7&lt;Crédits!$K$8,U221,0))+IF(Crédits!$K$9="",0,IF(Crédits!$K$9&lt;Crédits!$K$8,AK221,0))+IF(Crédits!$K$10="",0,IF(Crédits!$K$10&lt;Crédits!$K$8,AS221,0))))))</f>
        <v>0</v>
      </c>
      <c r="AE221" s="98">
        <f t="shared" si="7"/>
        <v>0</v>
      </c>
      <c r="AF221" s="88">
        <f>ROUND(AF220+AG221-MIN(N(Crédits!$E$8),AF220+AG221),2)</f>
        <v>0</v>
      </c>
      <c r="AG221" s="89">
        <f>AF220*N(Crédits!$D$8)/12</f>
        <v>0</v>
      </c>
      <c r="AH221" s="99">
        <f t="shared" si="20"/>
        <v>0</v>
      </c>
      <c r="AI221" s="99">
        <f>AH221*N(Crédits!$D$9)/12</f>
        <v>0</v>
      </c>
      <c r="AJ221" s="99">
        <f>MIN(N(Crédits!$E$9),AH221+AI221)</f>
        <v>0</v>
      </c>
      <c r="AK221" s="99">
        <f t="shared" si="8"/>
        <v>0</v>
      </c>
      <c r="AL221" s="100">
        <f>IF(Crédits!$K$9="",0,MAX(0,MIN(AK221,Plan!$L$223-(IF(Crédits!$K$5="",0,IF(Crédits!$K$5&lt;Crédits!$K$9,E221,0))+IF(Crédits!$K$6="",0,IF(Crédits!$K$6&lt;Crédits!$K$9,M221,0))+IF(Crédits!$K$7="",0,IF(Crédits!$K$7&lt;Crédits!$K$9,U221,0))+IF(Crédits!$K$8="",0,IF(Crédits!$K$8&lt;Crédits!$K$9,AC221,0))+IF(Crédits!$K$10="",0,IF(Crédits!$K$10&lt;Crédits!$K$9,AS221,0))))))</f>
        <v>0</v>
      </c>
      <c r="AM221" s="101">
        <f t="shared" si="9"/>
        <v>0</v>
      </c>
      <c r="AN221" s="88">
        <f>ROUND(AN220+AO221-MIN(N(Crédits!$E$9),AN220+AO221),2)</f>
        <v>0</v>
      </c>
      <c r="AO221" s="89">
        <f>AN220*N(Crédits!$D$9)/12</f>
        <v>0</v>
      </c>
      <c r="AP221" s="102">
        <f t="shared" si="21"/>
        <v>0</v>
      </c>
      <c r="AQ221" s="102">
        <f>AP221*N(Crédits!$D$10)/12</f>
        <v>0</v>
      </c>
      <c r="AR221" s="102">
        <f>MIN(N(Crédits!$E$10),AP221+AQ221)</f>
        <v>0</v>
      </c>
      <c r="AS221" s="102">
        <f t="shared" si="10"/>
        <v>0</v>
      </c>
      <c r="AT221" s="103">
        <f>IF(Crédits!$K$10="",0,MAX(0,MIN(AS221,Plan!$L$223-(IF(Crédits!$K$5="",0,IF(Crédits!$K$5&lt;Crédits!$K$10,E221,0))+IF(Crédits!$K$6="",0,IF(Crédits!$K$6&lt;Crédits!$K$10,M221,0))+IF(Crédits!$K$7="",0,IF(Crédits!$K$7&lt;Crédits!$K$10,U221,0))+IF(Crédits!$K$8="",0,IF(Crédits!$K$8&lt;Crédits!$K$10,AC221,0))+IF(Crédits!$K$9="",0,IF(Crédits!$K$9&lt;Crédits!$K$10,AK221,0))))))</f>
        <v>0</v>
      </c>
      <c r="AU221" s="104">
        <f t="shared" si="11"/>
        <v>0</v>
      </c>
      <c r="AV221" s="88">
        <f>ROUND(AV220+AW221-MIN(N(Crédits!$E$10),AV220+AW221),2)</f>
        <v>0</v>
      </c>
      <c r="AW221" s="89">
        <f>AV220*N(Crédits!$D$10)/12</f>
        <v>0</v>
      </c>
      <c r="AX221" s="105">
        <f t="shared" si="12"/>
        <v>0</v>
      </c>
      <c r="AY221" s="105">
        <f t="shared" ref="AY221:AZ221" si="239">F221+N221+V221+AD221+AL221+AT221</f>
        <v>0</v>
      </c>
      <c r="AZ221" s="105">
        <f t="shared" si="239"/>
        <v>0</v>
      </c>
      <c r="BA221" s="105">
        <f t="shared" si="14"/>
        <v>0</v>
      </c>
      <c r="BB221" s="105">
        <f t="shared" si="15"/>
        <v>0</v>
      </c>
    </row>
    <row r="222" spans="1:54" ht="15" customHeight="1" x14ac:dyDescent="0.25">
      <c r="A222" s="2">
        <v>220</v>
      </c>
      <c r="B222" s="83">
        <f t="shared" si="16"/>
        <v>0</v>
      </c>
      <c r="C222" s="83">
        <f>B222*N(Crédits!$D$5)/12</f>
        <v>0</v>
      </c>
      <c r="D222" s="83">
        <f>MIN(N(Crédits!$E$5),B222+C222)</f>
        <v>0</v>
      </c>
      <c r="E222" s="83">
        <f t="shared" si="0"/>
        <v>0</v>
      </c>
      <c r="F222" s="86">
        <f>IF(Crédits!$K$5="",0,MAX(0,MIN(E222,Plan!$L$224-(IF(Crédits!$K$6="",0,IF(Crédits!$K$6&lt;Crédits!$K$5,M222,0))+IF(Crédits!$K$7="",0,IF(Crédits!$K$7&lt;Crédits!$K$5,U222,0))+IF(Crédits!$K$8="",0,IF(Crédits!$K$8&lt;Crédits!$K$5,AC222,0))+IF(Crédits!$K$9="",0,IF(Crédits!$K$9&lt;Crédits!$K$5,AK222,0))+IF(Crédits!$K$10="",0,IF(Crédits!$K$10&lt;Crédits!$K$5,AS222,0))))))</f>
        <v>0</v>
      </c>
      <c r="G222" s="87">
        <f t="shared" si="1"/>
        <v>0</v>
      </c>
      <c r="H222" s="88">
        <f>ROUND(H221+I222-MIN(N(Crédits!$E$5),H221+I222),2)</f>
        <v>0</v>
      </c>
      <c r="I222" s="89">
        <f>H221*N(Crédits!$D$5)/12</f>
        <v>0</v>
      </c>
      <c r="J222" s="90">
        <f t="shared" si="17"/>
        <v>0</v>
      </c>
      <c r="K222" s="90">
        <f>J222*N(Crédits!$D$6)/12</f>
        <v>0</v>
      </c>
      <c r="L222" s="90">
        <f>MIN(N(Crédits!$E$6),J222+K222)</f>
        <v>0</v>
      </c>
      <c r="M222" s="90">
        <f t="shared" si="2"/>
        <v>0</v>
      </c>
      <c r="N222" s="91">
        <f>IF(Crédits!$K$6="",0,MAX(0,MIN(M222,Plan!$L$224-(IF(Crédits!$K$5="",0,IF(Crédits!$K$5&lt;Crédits!$K$6,E222,0))+IF(Crédits!$K$7="",0,IF(Crédits!$K$7&lt;Crédits!$K$6,U222,0))+IF(Crédits!$K$8="",0,IF(Crédits!$K$8&lt;Crédits!$K$6,AC222,0))+IF(Crédits!$K$9="",0,IF(Crédits!$K$9&lt;Crédits!$K$6,AK222,0))+IF(Crédits!$K$10="",0,IF(Crédits!$K$10&lt;Crédits!$K$6,AS222,0))))))</f>
        <v>0</v>
      </c>
      <c r="O222" s="92">
        <f t="shared" si="3"/>
        <v>0</v>
      </c>
      <c r="P222" s="88">
        <f>ROUND(P221+Q222-MIN(N(Crédits!$E$6),P221+Q222),2)</f>
        <v>0</v>
      </c>
      <c r="Q222" s="89">
        <f>P221*N(Crédits!$D$6)/12</f>
        <v>0</v>
      </c>
      <c r="R222" s="93">
        <f t="shared" si="18"/>
        <v>0</v>
      </c>
      <c r="S222" s="93">
        <f>R222*N(Crédits!$D$7)/12</f>
        <v>0</v>
      </c>
      <c r="T222" s="93">
        <f>MIN(N(Crédits!$E$7),R222+S222)</f>
        <v>0</v>
      </c>
      <c r="U222" s="93">
        <f t="shared" si="4"/>
        <v>0</v>
      </c>
      <c r="V222" s="94">
        <f>IF(Crédits!$K$7="",0,MAX(0,MIN(U222,Plan!$L$224-(IF(Crédits!$K$5="",0,IF(Crédits!$K$5&lt;Crédits!$K$7,E222,0))+IF(Crédits!$K$6="",0,IF(Crédits!$K$6&lt;Crédits!$K$7,M222,0))+IF(Crédits!$K$8="",0,IF(Crédits!$K$8&lt;Crédits!$K$7,AC222,0))+IF(Crédits!$K$9="",0,IF(Crédits!$K$9&lt;Crédits!$K$7,AK222,0))+IF(Crédits!$K$10="",0,IF(Crédits!$K$10&lt;Crédits!$K$7,AS222,0))))))</f>
        <v>0</v>
      </c>
      <c r="W222" s="95">
        <f t="shared" si="5"/>
        <v>0</v>
      </c>
      <c r="X222" s="88">
        <f>ROUND(X221+Y222-MIN(N(Crédits!$E$7),X221+Y222),2)</f>
        <v>0</v>
      </c>
      <c r="Y222" s="89">
        <f>X221*N(Crédits!$D$7)/12</f>
        <v>0</v>
      </c>
      <c r="Z222" s="96">
        <f t="shared" si="19"/>
        <v>0</v>
      </c>
      <c r="AA222" s="96">
        <f>Z222*N(Crédits!$D$8)/12</f>
        <v>0</v>
      </c>
      <c r="AB222" s="96">
        <f>MIN(N(Crédits!$E$8),Z222+AA222)</f>
        <v>0</v>
      </c>
      <c r="AC222" s="96">
        <f t="shared" si="6"/>
        <v>0</v>
      </c>
      <c r="AD222" s="97">
        <f>IF(Crédits!$K$8="",0,MAX(0,MIN(AC222,Plan!$L$224-(IF(Crédits!$K$5="",0,IF(Crédits!$K$5&lt;Crédits!$K$8,E222,0))+IF(Crédits!$K$6="",0,IF(Crédits!$K$6&lt;Crédits!$K$8,M222,0))+IF(Crédits!$K$7="",0,IF(Crédits!$K$7&lt;Crédits!$K$8,U222,0))+IF(Crédits!$K$9="",0,IF(Crédits!$K$9&lt;Crédits!$K$8,AK222,0))+IF(Crédits!$K$10="",0,IF(Crédits!$K$10&lt;Crédits!$K$8,AS222,0))))))</f>
        <v>0</v>
      </c>
      <c r="AE222" s="98">
        <f t="shared" si="7"/>
        <v>0</v>
      </c>
      <c r="AF222" s="88">
        <f>ROUND(AF221+AG222-MIN(N(Crédits!$E$8),AF221+AG222),2)</f>
        <v>0</v>
      </c>
      <c r="AG222" s="89">
        <f>AF221*N(Crédits!$D$8)/12</f>
        <v>0</v>
      </c>
      <c r="AH222" s="99">
        <f t="shared" si="20"/>
        <v>0</v>
      </c>
      <c r="AI222" s="99">
        <f>AH222*N(Crédits!$D$9)/12</f>
        <v>0</v>
      </c>
      <c r="AJ222" s="99">
        <f>MIN(N(Crédits!$E$9),AH222+AI222)</f>
        <v>0</v>
      </c>
      <c r="AK222" s="99">
        <f t="shared" si="8"/>
        <v>0</v>
      </c>
      <c r="AL222" s="100">
        <f>IF(Crédits!$K$9="",0,MAX(0,MIN(AK222,Plan!$L$224-(IF(Crédits!$K$5="",0,IF(Crédits!$K$5&lt;Crédits!$K$9,E222,0))+IF(Crédits!$K$6="",0,IF(Crédits!$K$6&lt;Crédits!$K$9,M222,0))+IF(Crédits!$K$7="",0,IF(Crédits!$K$7&lt;Crédits!$K$9,U222,0))+IF(Crédits!$K$8="",0,IF(Crédits!$K$8&lt;Crédits!$K$9,AC222,0))+IF(Crédits!$K$10="",0,IF(Crédits!$K$10&lt;Crédits!$K$9,AS222,0))))))</f>
        <v>0</v>
      </c>
      <c r="AM222" s="101">
        <f t="shared" si="9"/>
        <v>0</v>
      </c>
      <c r="AN222" s="88">
        <f>ROUND(AN221+AO222-MIN(N(Crédits!$E$9),AN221+AO222),2)</f>
        <v>0</v>
      </c>
      <c r="AO222" s="89">
        <f>AN221*N(Crédits!$D$9)/12</f>
        <v>0</v>
      </c>
      <c r="AP222" s="102">
        <f t="shared" si="21"/>
        <v>0</v>
      </c>
      <c r="AQ222" s="102">
        <f>AP222*N(Crédits!$D$10)/12</f>
        <v>0</v>
      </c>
      <c r="AR222" s="102">
        <f>MIN(N(Crédits!$E$10),AP222+AQ222)</f>
        <v>0</v>
      </c>
      <c r="AS222" s="102">
        <f t="shared" si="10"/>
        <v>0</v>
      </c>
      <c r="AT222" s="103">
        <f>IF(Crédits!$K$10="",0,MAX(0,MIN(AS222,Plan!$L$224-(IF(Crédits!$K$5="",0,IF(Crédits!$K$5&lt;Crédits!$K$10,E222,0))+IF(Crédits!$K$6="",0,IF(Crédits!$K$6&lt;Crédits!$K$10,M222,0))+IF(Crédits!$K$7="",0,IF(Crédits!$K$7&lt;Crédits!$K$10,U222,0))+IF(Crédits!$K$8="",0,IF(Crédits!$K$8&lt;Crédits!$K$10,AC222,0))+IF(Crédits!$K$9="",0,IF(Crédits!$K$9&lt;Crédits!$K$10,AK222,0))))))</f>
        <v>0</v>
      </c>
      <c r="AU222" s="104">
        <f t="shared" si="11"/>
        <v>0</v>
      </c>
      <c r="AV222" s="88">
        <f>ROUND(AV221+AW222-MIN(N(Crédits!$E$10),AV221+AW222),2)</f>
        <v>0</v>
      </c>
      <c r="AW222" s="89">
        <f>AV221*N(Crédits!$D$10)/12</f>
        <v>0</v>
      </c>
      <c r="AX222" s="105">
        <f t="shared" si="12"/>
        <v>0</v>
      </c>
      <c r="AY222" s="105">
        <f t="shared" ref="AY222:AZ222" si="240">F222+N222+V222+AD222+AL222+AT222</f>
        <v>0</v>
      </c>
      <c r="AZ222" s="105">
        <f t="shared" si="240"/>
        <v>0</v>
      </c>
      <c r="BA222" s="105">
        <f t="shared" si="14"/>
        <v>0</v>
      </c>
      <c r="BB222" s="105">
        <f t="shared" si="15"/>
        <v>0</v>
      </c>
    </row>
    <row r="223" spans="1:54" ht="15" customHeight="1" x14ac:dyDescent="0.25">
      <c r="A223" s="2">
        <v>221</v>
      </c>
      <c r="B223" s="83">
        <f t="shared" si="16"/>
        <v>0</v>
      </c>
      <c r="C223" s="83">
        <f>B223*N(Crédits!$D$5)/12</f>
        <v>0</v>
      </c>
      <c r="D223" s="83">
        <f>MIN(N(Crédits!$E$5),B223+C223)</f>
        <v>0</v>
      </c>
      <c r="E223" s="83">
        <f t="shared" si="0"/>
        <v>0</v>
      </c>
      <c r="F223" s="86">
        <f>IF(Crédits!$K$5="",0,MAX(0,MIN(E223,Plan!$L$225-(IF(Crédits!$K$6="",0,IF(Crédits!$K$6&lt;Crédits!$K$5,M223,0))+IF(Crédits!$K$7="",0,IF(Crédits!$K$7&lt;Crédits!$K$5,U223,0))+IF(Crédits!$K$8="",0,IF(Crédits!$K$8&lt;Crédits!$K$5,AC223,0))+IF(Crédits!$K$9="",0,IF(Crédits!$K$9&lt;Crédits!$K$5,AK223,0))+IF(Crédits!$K$10="",0,IF(Crédits!$K$10&lt;Crédits!$K$5,AS223,0))))))</f>
        <v>0</v>
      </c>
      <c r="G223" s="87">
        <f t="shared" si="1"/>
        <v>0</v>
      </c>
      <c r="H223" s="88">
        <f>ROUND(H222+I223-MIN(N(Crédits!$E$5),H222+I223),2)</f>
        <v>0</v>
      </c>
      <c r="I223" s="89">
        <f>H222*N(Crédits!$D$5)/12</f>
        <v>0</v>
      </c>
      <c r="J223" s="90">
        <f t="shared" si="17"/>
        <v>0</v>
      </c>
      <c r="K223" s="90">
        <f>J223*N(Crédits!$D$6)/12</f>
        <v>0</v>
      </c>
      <c r="L223" s="90">
        <f>MIN(N(Crédits!$E$6),J223+K223)</f>
        <v>0</v>
      </c>
      <c r="M223" s="90">
        <f t="shared" si="2"/>
        <v>0</v>
      </c>
      <c r="N223" s="91">
        <f>IF(Crédits!$K$6="",0,MAX(0,MIN(M223,Plan!$L$225-(IF(Crédits!$K$5="",0,IF(Crédits!$K$5&lt;Crédits!$K$6,E223,0))+IF(Crédits!$K$7="",0,IF(Crédits!$K$7&lt;Crédits!$K$6,U223,0))+IF(Crédits!$K$8="",0,IF(Crédits!$K$8&lt;Crédits!$K$6,AC223,0))+IF(Crédits!$K$9="",0,IF(Crédits!$K$9&lt;Crédits!$K$6,AK223,0))+IF(Crédits!$K$10="",0,IF(Crédits!$K$10&lt;Crédits!$K$6,AS223,0))))))</f>
        <v>0</v>
      </c>
      <c r="O223" s="92">
        <f t="shared" si="3"/>
        <v>0</v>
      </c>
      <c r="P223" s="88">
        <f>ROUND(P222+Q223-MIN(N(Crédits!$E$6),P222+Q223),2)</f>
        <v>0</v>
      </c>
      <c r="Q223" s="89">
        <f>P222*N(Crédits!$D$6)/12</f>
        <v>0</v>
      </c>
      <c r="R223" s="93">
        <f t="shared" si="18"/>
        <v>0</v>
      </c>
      <c r="S223" s="93">
        <f>R223*N(Crédits!$D$7)/12</f>
        <v>0</v>
      </c>
      <c r="T223" s="93">
        <f>MIN(N(Crédits!$E$7),R223+S223)</f>
        <v>0</v>
      </c>
      <c r="U223" s="93">
        <f t="shared" si="4"/>
        <v>0</v>
      </c>
      <c r="V223" s="94">
        <f>IF(Crédits!$K$7="",0,MAX(0,MIN(U223,Plan!$L$225-(IF(Crédits!$K$5="",0,IF(Crédits!$K$5&lt;Crédits!$K$7,E223,0))+IF(Crédits!$K$6="",0,IF(Crédits!$K$6&lt;Crédits!$K$7,M223,0))+IF(Crédits!$K$8="",0,IF(Crédits!$K$8&lt;Crédits!$K$7,AC223,0))+IF(Crédits!$K$9="",0,IF(Crédits!$K$9&lt;Crédits!$K$7,AK223,0))+IF(Crédits!$K$10="",0,IF(Crédits!$K$10&lt;Crédits!$K$7,AS223,0))))))</f>
        <v>0</v>
      </c>
      <c r="W223" s="95">
        <f t="shared" si="5"/>
        <v>0</v>
      </c>
      <c r="X223" s="88">
        <f>ROUND(X222+Y223-MIN(N(Crédits!$E$7),X222+Y223),2)</f>
        <v>0</v>
      </c>
      <c r="Y223" s="89">
        <f>X222*N(Crédits!$D$7)/12</f>
        <v>0</v>
      </c>
      <c r="Z223" s="96">
        <f t="shared" si="19"/>
        <v>0</v>
      </c>
      <c r="AA223" s="96">
        <f>Z223*N(Crédits!$D$8)/12</f>
        <v>0</v>
      </c>
      <c r="AB223" s="96">
        <f>MIN(N(Crédits!$E$8),Z223+AA223)</f>
        <v>0</v>
      </c>
      <c r="AC223" s="96">
        <f t="shared" si="6"/>
        <v>0</v>
      </c>
      <c r="AD223" s="97">
        <f>IF(Crédits!$K$8="",0,MAX(0,MIN(AC223,Plan!$L$225-(IF(Crédits!$K$5="",0,IF(Crédits!$K$5&lt;Crédits!$K$8,E223,0))+IF(Crédits!$K$6="",0,IF(Crédits!$K$6&lt;Crédits!$K$8,M223,0))+IF(Crédits!$K$7="",0,IF(Crédits!$K$7&lt;Crédits!$K$8,U223,0))+IF(Crédits!$K$9="",0,IF(Crédits!$K$9&lt;Crédits!$K$8,AK223,0))+IF(Crédits!$K$10="",0,IF(Crédits!$K$10&lt;Crédits!$K$8,AS223,0))))))</f>
        <v>0</v>
      </c>
      <c r="AE223" s="98">
        <f t="shared" si="7"/>
        <v>0</v>
      </c>
      <c r="AF223" s="88">
        <f>ROUND(AF222+AG223-MIN(N(Crédits!$E$8),AF222+AG223),2)</f>
        <v>0</v>
      </c>
      <c r="AG223" s="89">
        <f>AF222*N(Crédits!$D$8)/12</f>
        <v>0</v>
      </c>
      <c r="AH223" s="99">
        <f t="shared" si="20"/>
        <v>0</v>
      </c>
      <c r="AI223" s="99">
        <f>AH223*N(Crédits!$D$9)/12</f>
        <v>0</v>
      </c>
      <c r="AJ223" s="99">
        <f>MIN(N(Crédits!$E$9),AH223+AI223)</f>
        <v>0</v>
      </c>
      <c r="AK223" s="99">
        <f t="shared" si="8"/>
        <v>0</v>
      </c>
      <c r="AL223" s="100">
        <f>IF(Crédits!$K$9="",0,MAX(0,MIN(AK223,Plan!$L$225-(IF(Crédits!$K$5="",0,IF(Crédits!$K$5&lt;Crédits!$K$9,E223,0))+IF(Crédits!$K$6="",0,IF(Crédits!$K$6&lt;Crédits!$K$9,M223,0))+IF(Crédits!$K$7="",0,IF(Crédits!$K$7&lt;Crédits!$K$9,U223,0))+IF(Crédits!$K$8="",0,IF(Crédits!$K$8&lt;Crédits!$K$9,AC223,0))+IF(Crédits!$K$10="",0,IF(Crédits!$K$10&lt;Crédits!$K$9,AS223,0))))))</f>
        <v>0</v>
      </c>
      <c r="AM223" s="101">
        <f t="shared" si="9"/>
        <v>0</v>
      </c>
      <c r="AN223" s="88">
        <f>ROUND(AN222+AO223-MIN(N(Crédits!$E$9),AN222+AO223),2)</f>
        <v>0</v>
      </c>
      <c r="AO223" s="89">
        <f>AN222*N(Crédits!$D$9)/12</f>
        <v>0</v>
      </c>
      <c r="AP223" s="102">
        <f t="shared" si="21"/>
        <v>0</v>
      </c>
      <c r="AQ223" s="102">
        <f>AP223*N(Crédits!$D$10)/12</f>
        <v>0</v>
      </c>
      <c r="AR223" s="102">
        <f>MIN(N(Crédits!$E$10),AP223+AQ223)</f>
        <v>0</v>
      </c>
      <c r="AS223" s="102">
        <f t="shared" si="10"/>
        <v>0</v>
      </c>
      <c r="AT223" s="103">
        <f>IF(Crédits!$K$10="",0,MAX(0,MIN(AS223,Plan!$L$225-(IF(Crédits!$K$5="",0,IF(Crédits!$K$5&lt;Crédits!$K$10,E223,0))+IF(Crédits!$K$6="",0,IF(Crédits!$K$6&lt;Crédits!$K$10,M223,0))+IF(Crédits!$K$7="",0,IF(Crédits!$K$7&lt;Crédits!$K$10,U223,0))+IF(Crédits!$K$8="",0,IF(Crédits!$K$8&lt;Crédits!$K$10,AC223,0))+IF(Crédits!$K$9="",0,IF(Crédits!$K$9&lt;Crédits!$K$10,AK223,0))))))</f>
        <v>0</v>
      </c>
      <c r="AU223" s="104">
        <f t="shared" si="11"/>
        <v>0</v>
      </c>
      <c r="AV223" s="88">
        <f>ROUND(AV222+AW223-MIN(N(Crédits!$E$10),AV222+AW223),2)</f>
        <v>0</v>
      </c>
      <c r="AW223" s="89">
        <f>AV222*N(Crédits!$D$10)/12</f>
        <v>0</v>
      </c>
      <c r="AX223" s="105">
        <f t="shared" si="12"/>
        <v>0</v>
      </c>
      <c r="AY223" s="105">
        <f t="shared" ref="AY223:AZ223" si="241">F223+N223+V223+AD223+AL223+AT223</f>
        <v>0</v>
      </c>
      <c r="AZ223" s="105">
        <f t="shared" si="241"/>
        <v>0</v>
      </c>
      <c r="BA223" s="105">
        <f t="shared" si="14"/>
        <v>0</v>
      </c>
      <c r="BB223" s="105">
        <f t="shared" si="15"/>
        <v>0</v>
      </c>
    </row>
    <row r="224" spans="1:54" ht="15" customHeight="1" x14ac:dyDescent="0.25">
      <c r="A224" s="2">
        <v>222</v>
      </c>
      <c r="B224" s="83">
        <f t="shared" si="16"/>
        <v>0</v>
      </c>
      <c r="C224" s="83">
        <f>B224*N(Crédits!$D$5)/12</f>
        <v>0</v>
      </c>
      <c r="D224" s="83">
        <f>MIN(N(Crédits!$E$5),B224+C224)</f>
        <v>0</v>
      </c>
      <c r="E224" s="83">
        <f t="shared" si="0"/>
        <v>0</v>
      </c>
      <c r="F224" s="86">
        <f>IF(Crédits!$K$5="",0,MAX(0,MIN(E224,Plan!$L$226-(IF(Crédits!$K$6="",0,IF(Crédits!$K$6&lt;Crédits!$K$5,M224,0))+IF(Crédits!$K$7="",0,IF(Crédits!$K$7&lt;Crédits!$K$5,U224,0))+IF(Crédits!$K$8="",0,IF(Crédits!$K$8&lt;Crédits!$K$5,AC224,0))+IF(Crédits!$K$9="",0,IF(Crédits!$K$9&lt;Crédits!$K$5,AK224,0))+IF(Crédits!$K$10="",0,IF(Crédits!$K$10&lt;Crédits!$K$5,AS224,0))))))</f>
        <v>0</v>
      </c>
      <c r="G224" s="87">
        <f t="shared" si="1"/>
        <v>0</v>
      </c>
      <c r="H224" s="88">
        <f>ROUND(H223+I224-MIN(N(Crédits!$E$5),H223+I224),2)</f>
        <v>0</v>
      </c>
      <c r="I224" s="89">
        <f>H223*N(Crédits!$D$5)/12</f>
        <v>0</v>
      </c>
      <c r="J224" s="90">
        <f t="shared" si="17"/>
        <v>0</v>
      </c>
      <c r="K224" s="90">
        <f>J224*N(Crédits!$D$6)/12</f>
        <v>0</v>
      </c>
      <c r="L224" s="90">
        <f>MIN(N(Crédits!$E$6),J224+K224)</f>
        <v>0</v>
      </c>
      <c r="M224" s="90">
        <f t="shared" si="2"/>
        <v>0</v>
      </c>
      <c r="N224" s="91">
        <f>IF(Crédits!$K$6="",0,MAX(0,MIN(M224,Plan!$L$226-(IF(Crédits!$K$5="",0,IF(Crédits!$K$5&lt;Crédits!$K$6,E224,0))+IF(Crédits!$K$7="",0,IF(Crédits!$K$7&lt;Crédits!$K$6,U224,0))+IF(Crédits!$K$8="",0,IF(Crédits!$K$8&lt;Crédits!$K$6,AC224,0))+IF(Crédits!$K$9="",0,IF(Crédits!$K$9&lt;Crédits!$K$6,AK224,0))+IF(Crédits!$K$10="",0,IF(Crédits!$K$10&lt;Crédits!$K$6,AS224,0))))))</f>
        <v>0</v>
      </c>
      <c r="O224" s="92">
        <f t="shared" si="3"/>
        <v>0</v>
      </c>
      <c r="P224" s="88">
        <f>ROUND(P223+Q224-MIN(N(Crédits!$E$6),P223+Q224),2)</f>
        <v>0</v>
      </c>
      <c r="Q224" s="89">
        <f>P223*N(Crédits!$D$6)/12</f>
        <v>0</v>
      </c>
      <c r="R224" s="93">
        <f t="shared" si="18"/>
        <v>0</v>
      </c>
      <c r="S224" s="93">
        <f>R224*N(Crédits!$D$7)/12</f>
        <v>0</v>
      </c>
      <c r="T224" s="93">
        <f>MIN(N(Crédits!$E$7),R224+S224)</f>
        <v>0</v>
      </c>
      <c r="U224" s="93">
        <f t="shared" si="4"/>
        <v>0</v>
      </c>
      <c r="V224" s="94">
        <f>IF(Crédits!$K$7="",0,MAX(0,MIN(U224,Plan!$L$226-(IF(Crédits!$K$5="",0,IF(Crédits!$K$5&lt;Crédits!$K$7,E224,0))+IF(Crédits!$K$6="",0,IF(Crédits!$K$6&lt;Crédits!$K$7,M224,0))+IF(Crédits!$K$8="",0,IF(Crédits!$K$8&lt;Crédits!$K$7,AC224,0))+IF(Crédits!$K$9="",0,IF(Crédits!$K$9&lt;Crédits!$K$7,AK224,0))+IF(Crédits!$K$10="",0,IF(Crédits!$K$10&lt;Crédits!$K$7,AS224,0))))))</f>
        <v>0</v>
      </c>
      <c r="W224" s="95">
        <f t="shared" si="5"/>
        <v>0</v>
      </c>
      <c r="X224" s="88">
        <f>ROUND(X223+Y224-MIN(N(Crédits!$E$7),X223+Y224),2)</f>
        <v>0</v>
      </c>
      <c r="Y224" s="89">
        <f>X223*N(Crédits!$D$7)/12</f>
        <v>0</v>
      </c>
      <c r="Z224" s="96">
        <f t="shared" si="19"/>
        <v>0</v>
      </c>
      <c r="AA224" s="96">
        <f>Z224*N(Crédits!$D$8)/12</f>
        <v>0</v>
      </c>
      <c r="AB224" s="96">
        <f>MIN(N(Crédits!$E$8),Z224+AA224)</f>
        <v>0</v>
      </c>
      <c r="AC224" s="96">
        <f t="shared" si="6"/>
        <v>0</v>
      </c>
      <c r="AD224" s="97">
        <f>IF(Crédits!$K$8="",0,MAX(0,MIN(AC224,Plan!$L$226-(IF(Crédits!$K$5="",0,IF(Crédits!$K$5&lt;Crédits!$K$8,E224,0))+IF(Crédits!$K$6="",0,IF(Crédits!$K$6&lt;Crédits!$K$8,M224,0))+IF(Crédits!$K$7="",0,IF(Crédits!$K$7&lt;Crédits!$K$8,U224,0))+IF(Crédits!$K$9="",0,IF(Crédits!$K$9&lt;Crédits!$K$8,AK224,0))+IF(Crédits!$K$10="",0,IF(Crédits!$K$10&lt;Crédits!$K$8,AS224,0))))))</f>
        <v>0</v>
      </c>
      <c r="AE224" s="98">
        <f t="shared" si="7"/>
        <v>0</v>
      </c>
      <c r="AF224" s="88">
        <f>ROUND(AF223+AG224-MIN(N(Crédits!$E$8),AF223+AG224),2)</f>
        <v>0</v>
      </c>
      <c r="AG224" s="89">
        <f>AF223*N(Crédits!$D$8)/12</f>
        <v>0</v>
      </c>
      <c r="AH224" s="99">
        <f t="shared" si="20"/>
        <v>0</v>
      </c>
      <c r="AI224" s="99">
        <f>AH224*N(Crédits!$D$9)/12</f>
        <v>0</v>
      </c>
      <c r="AJ224" s="99">
        <f>MIN(N(Crédits!$E$9),AH224+AI224)</f>
        <v>0</v>
      </c>
      <c r="AK224" s="99">
        <f t="shared" si="8"/>
        <v>0</v>
      </c>
      <c r="AL224" s="100">
        <f>IF(Crédits!$K$9="",0,MAX(0,MIN(AK224,Plan!$L$226-(IF(Crédits!$K$5="",0,IF(Crédits!$K$5&lt;Crédits!$K$9,E224,0))+IF(Crédits!$K$6="",0,IF(Crédits!$K$6&lt;Crédits!$K$9,M224,0))+IF(Crédits!$K$7="",0,IF(Crédits!$K$7&lt;Crédits!$K$9,U224,0))+IF(Crédits!$K$8="",0,IF(Crédits!$K$8&lt;Crédits!$K$9,AC224,0))+IF(Crédits!$K$10="",0,IF(Crédits!$K$10&lt;Crédits!$K$9,AS224,0))))))</f>
        <v>0</v>
      </c>
      <c r="AM224" s="101">
        <f t="shared" si="9"/>
        <v>0</v>
      </c>
      <c r="AN224" s="88">
        <f>ROUND(AN223+AO224-MIN(N(Crédits!$E$9),AN223+AO224),2)</f>
        <v>0</v>
      </c>
      <c r="AO224" s="89">
        <f>AN223*N(Crédits!$D$9)/12</f>
        <v>0</v>
      </c>
      <c r="AP224" s="102">
        <f t="shared" si="21"/>
        <v>0</v>
      </c>
      <c r="AQ224" s="102">
        <f>AP224*N(Crédits!$D$10)/12</f>
        <v>0</v>
      </c>
      <c r="AR224" s="102">
        <f>MIN(N(Crédits!$E$10),AP224+AQ224)</f>
        <v>0</v>
      </c>
      <c r="AS224" s="102">
        <f t="shared" si="10"/>
        <v>0</v>
      </c>
      <c r="AT224" s="103">
        <f>IF(Crédits!$K$10="",0,MAX(0,MIN(AS224,Plan!$L$226-(IF(Crédits!$K$5="",0,IF(Crédits!$K$5&lt;Crédits!$K$10,E224,0))+IF(Crédits!$K$6="",0,IF(Crédits!$K$6&lt;Crédits!$K$10,M224,0))+IF(Crédits!$K$7="",0,IF(Crédits!$K$7&lt;Crédits!$K$10,U224,0))+IF(Crédits!$K$8="",0,IF(Crédits!$K$8&lt;Crédits!$K$10,AC224,0))+IF(Crédits!$K$9="",0,IF(Crédits!$K$9&lt;Crédits!$K$10,AK224,0))))))</f>
        <v>0</v>
      </c>
      <c r="AU224" s="104">
        <f t="shared" si="11"/>
        <v>0</v>
      </c>
      <c r="AV224" s="88">
        <f>ROUND(AV223+AW224-MIN(N(Crédits!$E$10),AV223+AW224),2)</f>
        <v>0</v>
      </c>
      <c r="AW224" s="89">
        <f>AV223*N(Crédits!$D$10)/12</f>
        <v>0</v>
      </c>
      <c r="AX224" s="105">
        <f t="shared" si="12"/>
        <v>0</v>
      </c>
      <c r="AY224" s="105">
        <f t="shared" ref="AY224:AZ224" si="242">F224+N224+V224+AD224+AL224+AT224</f>
        <v>0</v>
      </c>
      <c r="AZ224" s="105">
        <f t="shared" si="242"/>
        <v>0</v>
      </c>
      <c r="BA224" s="105">
        <f t="shared" si="14"/>
        <v>0</v>
      </c>
      <c r="BB224" s="105">
        <f t="shared" si="15"/>
        <v>0</v>
      </c>
    </row>
    <row r="225" spans="1:54" ht="15" customHeight="1" x14ac:dyDescent="0.25">
      <c r="A225" s="2">
        <v>223</v>
      </c>
      <c r="B225" s="83">
        <f t="shared" si="16"/>
        <v>0</v>
      </c>
      <c r="C225" s="83">
        <f>B225*N(Crédits!$D$5)/12</f>
        <v>0</v>
      </c>
      <c r="D225" s="83">
        <f>MIN(N(Crédits!$E$5),B225+C225)</f>
        <v>0</v>
      </c>
      <c r="E225" s="83">
        <f t="shared" si="0"/>
        <v>0</v>
      </c>
      <c r="F225" s="86">
        <f>IF(Crédits!$K$5="",0,MAX(0,MIN(E225,Plan!$L$227-(IF(Crédits!$K$6="",0,IF(Crédits!$K$6&lt;Crédits!$K$5,M225,0))+IF(Crédits!$K$7="",0,IF(Crédits!$K$7&lt;Crédits!$K$5,U225,0))+IF(Crédits!$K$8="",0,IF(Crédits!$K$8&lt;Crédits!$K$5,AC225,0))+IF(Crédits!$K$9="",0,IF(Crédits!$K$9&lt;Crédits!$K$5,AK225,0))+IF(Crédits!$K$10="",0,IF(Crédits!$K$10&lt;Crédits!$K$5,AS225,0))))))</f>
        <v>0</v>
      </c>
      <c r="G225" s="87">
        <f t="shared" si="1"/>
        <v>0</v>
      </c>
      <c r="H225" s="88">
        <f>ROUND(H224+I225-MIN(N(Crédits!$E$5),H224+I225),2)</f>
        <v>0</v>
      </c>
      <c r="I225" s="89">
        <f>H224*N(Crédits!$D$5)/12</f>
        <v>0</v>
      </c>
      <c r="J225" s="90">
        <f t="shared" si="17"/>
        <v>0</v>
      </c>
      <c r="K225" s="90">
        <f>J225*N(Crédits!$D$6)/12</f>
        <v>0</v>
      </c>
      <c r="L225" s="90">
        <f>MIN(N(Crédits!$E$6),J225+K225)</f>
        <v>0</v>
      </c>
      <c r="M225" s="90">
        <f t="shared" si="2"/>
        <v>0</v>
      </c>
      <c r="N225" s="91">
        <f>IF(Crédits!$K$6="",0,MAX(0,MIN(M225,Plan!$L$227-(IF(Crédits!$K$5="",0,IF(Crédits!$K$5&lt;Crédits!$K$6,E225,0))+IF(Crédits!$K$7="",0,IF(Crédits!$K$7&lt;Crédits!$K$6,U225,0))+IF(Crédits!$K$8="",0,IF(Crédits!$K$8&lt;Crédits!$K$6,AC225,0))+IF(Crédits!$K$9="",0,IF(Crédits!$K$9&lt;Crédits!$K$6,AK225,0))+IF(Crédits!$K$10="",0,IF(Crédits!$K$10&lt;Crédits!$K$6,AS225,0))))))</f>
        <v>0</v>
      </c>
      <c r="O225" s="92">
        <f t="shared" si="3"/>
        <v>0</v>
      </c>
      <c r="P225" s="88">
        <f>ROUND(P224+Q225-MIN(N(Crédits!$E$6),P224+Q225),2)</f>
        <v>0</v>
      </c>
      <c r="Q225" s="89">
        <f>P224*N(Crédits!$D$6)/12</f>
        <v>0</v>
      </c>
      <c r="R225" s="93">
        <f t="shared" si="18"/>
        <v>0</v>
      </c>
      <c r="S225" s="93">
        <f>R225*N(Crédits!$D$7)/12</f>
        <v>0</v>
      </c>
      <c r="T225" s="93">
        <f>MIN(N(Crédits!$E$7),R225+S225)</f>
        <v>0</v>
      </c>
      <c r="U225" s="93">
        <f t="shared" si="4"/>
        <v>0</v>
      </c>
      <c r="V225" s="94">
        <f>IF(Crédits!$K$7="",0,MAX(0,MIN(U225,Plan!$L$227-(IF(Crédits!$K$5="",0,IF(Crédits!$K$5&lt;Crédits!$K$7,E225,0))+IF(Crédits!$K$6="",0,IF(Crédits!$K$6&lt;Crédits!$K$7,M225,0))+IF(Crédits!$K$8="",0,IF(Crédits!$K$8&lt;Crédits!$K$7,AC225,0))+IF(Crédits!$K$9="",0,IF(Crédits!$K$9&lt;Crédits!$K$7,AK225,0))+IF(Crédits!$K$10="",0,IF(Crédits!$K$10&lt;Crédits!$K$7,AS225,0))))))</f>
        <v>0</v>
      </c>
      <c r="W225" s="95">
        <f t="shared" si="5"/>
        <v>0</v>
      </c>
      <c r="X225" s="88">
        <f>ROUND(X224+Y225-MIN(N(Crédits!$E$7),X224+Y225),2)</f>
        <v>0</v>
      </c>
      <c r="Y225" s="89">
        <f>X224*N(Crédits!$D$7)/12</f>
        <v>0</v>
      </c>
      <c r="Z225" s="96">
        <f t="shared" si="19"/>
        <v>0</v>
      </c>
      <c r="AA225" s="96">
        <f>Z225*N(Crédits!$D$8)/12</f>
        <v>0</v>
      </c>
      <c r="AB225" s="96">
        <f>MIN(N(Crédits!$E$8),Z225+AA225)</f>
        <v>0</v>
      </c>
      <c r="AC225" s="96">
        <f t="shared" si="6"/>
        <v>0</v>
      </c>
      <c r="AD225" s="97">
        <f>IF(Crédits!$K$8="",0,MAX(0,MIN(AC225,Plan!$L$227-(IF(Crédits!$K$5="",0,IF(Crédits!$K$5&lt;Crédits!$K$8,E225,0))+IF(Crédits!$K$6="",0,IF(Crédits!$K$6&lt;Crédits!$K$8,M225,0))+IF(Crédits!$K$7="",0,IF(Crédits!$K$7&lt;Crédits!$K$8,U225,0))+IF(Crédits!$K$9="",0,IF(Crédits!$K$9&lt;Crédits!$K$8,AK225,0))+IF(Crédits!$K$10="",0,IF(Crédits!$K$10&lt;Crédits!$K$8,AS225,0))))))</f>
        <v>0</v>
      </c>
      <c r="AE225" s="98">
        <f t="shared" si="7"/>
        <v>0</v>
      </c>
      <c r="AF225" s="88">
        <f>ROUND(AF224+AG225-MIN(N(Crédits!$E$8),AF224+AG225),2)</f>
        <v>0</v>
      </c>
      <c r="AG225" s="89">
        <f>AF224*N(Crédits!$D$8)/12</f>
        <v>0</v>
      </c>
      <c r="AH225" s="99">
        <f t="shared" si="20"/>
        <v>0</v>
      </c>
      <c r="AI225" s="99">
        <f>AH225*N(Crédits!$D$9)/12</f>
        <v>0</v>
      </c>
      <c r="AJ225" s="99">
        <f>MIN(N(Crédits!$E$9),AH225+AI225)</f>
        <v>0</v>
      </c>
      <c r="AK225" s="99">
        <f t="shared" si="8"/>
        <v>0</v>
      </c>
      <c r="AL225" s="100">
        <f>IF(Crédits!$K$9="",0,MAX(0,MIN(AK225,Plan!$L$227-(IF(Crédits!$K$5="",0,IF(Crédits!$K$5&lt;Crédits!$K$9,E225,0))+IF(Crédits!$K$6="",0,IF(Crédits!$K$6&lt;Crédits!$K$9,M225,0))+IF(Crédits!$K$7="",0,IF(Crédits!$K$7&lt;Crédits!$K$9,U225,0))+IF(Crédits!$K$8="",0,IF(Crédits!$K$8&lt;Crédits!$K$9,AC225,0))+IF(Crédits!$K$10="",0,IF(Crédits!$K$10&lt;Crédits!$K$9,AS225,0))))))</f>
        <v>0</v>
      </c>
      <c r="AM225" s="101">
        <f t="shared" si="9"/>
        <v>0</v>
      </c>
      <c r="AN225" s="88">
        <f>ROUND(AN224+AO225-MIN(N(Crédits!$E$9),AN224+AO225),2)</f>
        <v>0</v>
      </c>
      <c r="AO225" s="89">
        <f>AN224*N(Crédits!$D$9)/12</f>
        <v>0</v>
      </c>
      <c r="AP225" s="102">
        <f t="shared" si="21"/>
        <v>0</v>
      </c>
      <c r="AQ225" s="102">
        <f>AP225*N(Crédits!$D$10)/12</f>
        <v>0</v>
      </c>
      <c r="AR225" s="102">
        <f>MIN(N(Crédits!$E$10),AP225+AQ225)</f>
        <v>0</v>
      </c>
      <c r="AS225" s="102">
        <f t="shared" si="10"/>
        <v>0</v>
      </c>
      <c r="AT225" s="103">
        <f>IF(Crédits!$K$10="",0,MAX(0,MIN(AS225,Plan!$L$227-(IF(Crédits!$K$5="",0,IF(Crédits!$K$5&lt;Crédits!$K$10,E225,0))+IF(Crédits!$K$6="",0,IF(Crédits!$K$6&lt;Crédits!$K$10,M225,0))+IF(Crédits!$K$7="",0,IF(Crédits!$K$7&lt;Crédits!$K$10,U225,0))+IF(Crédits!$K$8="",0,IF(Crédits!$K$8&lt;Crédits!$K$10,AC225,0))+IF(Crédits!$K$9="",0,IF(Crédits!$K$9&lt;Crédits!$K$10,AK225,0))))))</f>
        <v>0</v>
      </c>
      <c r="AU225" s="104">
        <f t="shared" si="11"/>
        <v>0</v>
      </c>
      <c r="AV225" s="88">
        <f>ROUND(AV224+AW225-MIN(N(Crédits!$E$10),AV224+AW225),2)</f>
        <v>0</v>
      </c>
      <c r="AW225" s="89">
        <f>AV224*N(Crédits!$D$10)/12</f>
        <v>0</v>
      </c>
      <c r="AX225" s="105">
        <f t="shared" si="12"/>
        <v>0</v>
      </c>
      <c r="AY225" s="105">
        <f t="shared" ref="AY225:AZ225" si="243">F225+N225+V225+AD225+AL225+AT225</f>
        <v>0</v>
      </c>
      <c r="AZ225" s="105">
        <f t="shared" si="243"/>
        <v>0</v>
      </c>
      <c r="BA225" s="105">
        <f t="shared" si="14"/>
        <v>0</v>
      </c>
      <c r="BB225" s="105">
        <f t="shared" si="15"/>
        <v>0</v>
      </c>
    </row>
    <row r="226" spans="1:54" ht="15" customHeight="1" x14ac:dyDescent="0.25">
      <c r="A226" s="2">
        <v>224</v>
      </c>
      <c r="B226" s="83">
        <f t="shared" si="16"/>
        <v>0</v>
      </c>
      <c r="C226" s="83">
        <f>B226*N(Crédits!$D$5)/12</f>
        <v>0</v>
      </c>
      <c r="D226" s="83">
        <f>MIN(N(Crédits!$E$5),B226+C226)</f>
        <v>0</v>
      </c>
      <c r="E226" s="83">
        <f t="shared" si="0"/>
        <v>0</v>
      </c>
      <c r="F226" s="86">
        <f>IF(Crédits!$K$5="",0,MAX(0,MIN(E226,Plan!$L$228-(IF(Crédits!$K$6="",0,IF(Crédits!$K$6&lt;Crédits!$K$5,M226,0))+IF(Crédits!$K$7="",0,IF(Crédits!$K$7&lt;Crédits!$K$5,U226,0))+IF(Crédits!$K$8="",0,IF(Crédits!$K$8&lt;Crédits!$K$5,AC226,0))+IF(Crédits!$K$9="",0,IF(Crédits!$K$9&lt;Crédits!$K$5,AK226,0))+IF(Crédits!$K$10="",0,IF(Crédits!$K$10&lt;Crédits!$K$5,AS226,0))))))</f>
        <v>0</v>
      </c>
      <c r="G226" s="87">
        <f t="shared" si="1"/>
        <v>0</v>
      </c>
      <c r="H226" s="88">
        <f>ROUND(H225+I226-MIN(N(Crédits!$E$5),H225+I226),2)</f>
        <v>0</v>
      </c>
      <c r="I226" s="89">
        <f>H225*N(Crédits!$D$5)/12</f>
        <v>0</v>
      </c>
      <c r="J226" s="90">
        <f t="shared" si="17"/>
        <v>0</v>
      </c>
      <c r="K226" s="90">
        <f>J226*N(Crédits!$D$6)/12</f>
        <v>0</v>
      </c>
      <c r="L226" s="90">
        <f>MIN(N(Crédits!$E$6),J226+K226)</f>
        <v>0</v>
      </c>
      <c r="M226" s="90">
        <f t="shared" si="2"/>
        <v>0</v>
      </c>
      <c r="N226" s="91">
        <f>IF(Crédits!$K$6="",0,MAX(0,MIN(M226,Plan!$L$228-(IF(Crédits!$K$5="",0,IF(Crédits!$K$5&lt;Crédits!$K$6,E226,0))+IF(Crédits!$K$7="",0,IF(Crédits!$K$7&lt;Crédits!$K$6,U226,0))+IF(Crédits!$K$8="",0,IF(Crédits!$K$8&lt;Crédits!$K$6,AC226,0))+IF(Crédits!$K$9="",0,IF(Crédits!$K$9&lt;Crédits!$K$6,AK226,0))+IF(Crédits!$K$10="",0,IF(Crédits!$K$10&lt;Crédits!$K$6,AS226,0))))))</f>
        <v>0</v>
      </c>
      <c r="O226" s="92">
        <f t="shared" si="3"/>
        <v>0</v>
      </c>
      <c r="P226" s="88">
        <f>ROUND(P225+Q226-MIN(N(Crédits!$E$6),P225+Q226),2)</f>
        <v>0</v>
      </c>
      <c r="Q226" s="89">
        <f>P225*N(Crédits!$D$6)/12</f>
        <v>0</v>
      </c>
      <c r="R226" s="93">
        <f t="shared" si="18"/>
        <v>0</v>
      </c>
      <c r="S226" s="93">
        <f>R226*N(Crédits!$D$7)/12</f>
        <v>0</v>
      </c>
      <c r="T226" s="93">
        <f>MIN(N(Crédits!$E$7),R226+S226)</f>
        <v>0</v>
      </c>
      <c r="U226" s="93">
        <f t="shared" si="4"/>
        <v>0</v>
      </c>
      <c r="V226" s="94">
        <f>IF(Crédits!$K$7="",0,MAX(0,MIN(U226,Plan!$L$228-(IF(Crédits!$K$5="",0,IF(Crédits!$K$5&lt;Crédits!$K$7,E226,0))+IF(Crédits!$K$6="",0,IF(Crédits!$K$6&lt;Crédits!$K$7,M226,0))+IF(Crédits!$K$8="",0,IF(Crédits!$K$8&lt;Crédits!$K$7,AC226,0))+IF(Crédits!$K$9="",0,IF(Crédits!$K$9&lt;Crédits!$K$7,AK226,0))+IF(Crédits!$K$10="",0,IF(Crédits!$K$10&lt;Crédits!$K$7,AS226,0))))))</f>
        <v>0</v>
      </c>
      <c r="W226" s="95">
        <f t="shared" si="5"/>
        <v>0</v>
      </c>
      <c r="X226" s="88">
        <f>ROUND(X225+Y226-MIN(N(Crédits!$E$7),X225+Y226),2)</f>
        <v>0</v>
      </c>
      <c r="Y226" s="89">
        <f>X225*N(Crédits!$D$7)/12</f>
        <v>0</v>
      </c>
      <c r="Z226" s="96">
        <f t="shared" si="19"/>
        <v>0</v>
      </c>
      <c r="AA226" s="96">
        <f>Z226*N(Crédits!$D$8)/12</f>
        <v>0</v>
      </c>
      <c r="AB226" s="96">
        <f>MIN(N(Crédits!$E$8),Z226+AA226)</f>
        <v>0</v>
      </c>
      <c r="AC226" s="96">
        <f t="shared" si="6"/>
        <v>0</v>
      </c>
      <c r="AD226" s="97">
        <f>IF(Crédits!$K$8="",0,MAX(0,MIN(AC226,Plan!$L$228-(IF(Crédits!$K$5="",0,IF(Crédits!$K$5&lt;Crédits!$K$8,E226,0))+IF(Crédits!$K$6="",0,IF(Crédits!$K$6&lt;Crédits!$K$8,M226,0))+IF(Crédits!$K$7="",0,IF(Crédits!$K$7&lt;Crédits!$K$8,U226,0))+IF(Crédits!$K$9="",0,IF(Crédits!$K$9&lt;Crédits!$K$8,AK226,0))+IF(Crédits!$K$10="",0,IF(Crédits!$K$10&lt;Crédits!$K$8,AS226,0))))))</f>
        <v>0</v>
      </c>
      <c r="AE226" s="98">
        <f t="shared" si="7"/>
        <v>0</v>
      </c>
      <c r="AF226" s="88">
        <f>ROUND(AF225+AG226-MIN(N(Crédits!$E$8),AF225+AG226),2)</f>
        <v>0</v>
      </c>
      <c r="AG226" s="89">
        <f>AF225*N(Crédits!$D$8)/12</f>
        <v>0</v>
      </c>
      <c r="AH226" s="99">
        <f t="shared" si="20"/>
        <v>0</v>
      </c>
      <c r="AI226" s="99">
        <f>AH226*N(Crédits!$D$9)/12</f>
        <v>0</v>
      </c>
      <c r="AJ226" s="99">
        <f>MIN(N(Crédits!$E$9),AH226+AI226)</f>
        <v>0</v>
      </c>
      <c r="AK226" s="99">
        <f t="shared" si="8"/>
        <v>0</v>
      </c>
      <c r="AL226" s="100">
        <f>IF(Crédits!$K$9="",0,MAX(0,MIN(AK226,Plan!$L$228-(IF(Crédits!$K$5="",0,IF(Crédits!$K$5&lt;Crédits!$K$9,E226,0))+IF(Crédits!$K$6="",0,IF(Crédits!$K$6&lt;Crédits!$K$9,M226,0))+IF(Crédits!$K$7="",0,IF(Crédits!$K$7&lt;Crédits!$K$9,U226,0))+IF(Crédits!$K$8="",0,IF(Crédits!$K$8&lt;Crédits!$K$9,AC226,0))+IF(Crédits!$K$10="",0,IF(Crédits!$K$10&lt;Crédits!$K$9,AS226,0))))))</f>
        <v>0</v>
      </c>
      <c r="AM226" s="101">
        <f t="shared" si="9"/>
        <v>0</v>
      </c>
      <c r="AN226" s="88">
        <f>ROUND(AN225+AO226-MIN(N(Crédits!$E$9),AN225+AO226),2)</f>
        <v>0</v>
      </c>
      <c r="AO226" s="89">
        <f>AN225*N(Crédits!$D$9)/12</f>
        <v>0</v>
      </c>
      <c r="AP226" s="102">
        <f t="shared" si="21"/>
        <v>0</v>
      </c>
      <c r="AQ226" s="102">
        <f>AP226*N(Crédits!$D$10)/12</f>
        <v>0</v>
      </c>
      <c r="AR226" s="102">
        <f>MIN(N(Crédits!$E$10),AP226+AQ226)</f>
        <v>0</v>
      </c>
      <c r="AS226" s="102">
        <f t="shared" si="10"/>
        <v>0</v>
      </c>
      <c r="AT226" s="103">
        <f>IF(Crédits!$K$10="",0,MAX(0,MIN(AS226,Plan!$L$228-(IF(Crédits!$K$5="",0,IF(Crédits!$K$5&lt;Crédits!$K$10,E226,0))+IF(Crédits!$K$6="",0,IF(Crédits!$K$6&lt;Crédits!$K$10,M226,0))+IF(Crédits!$K$7="",0,IF(Crédits!$K$7&lt;Crédits!$K$10,U226,0))+IF(Crédits!$K$8="",0,IF(Crédits!$K$8&lt;Crédits!$K$10,AC226,0))+IF(Crédits!$K$9="",0,IF(Crédits!$K$9&lt;Crédits!$K$10,AK226,0))))))</f>
        <v>0</v>
      </c>
      <c r="AU226" s="104">
        <f t="shared" si="11"/>
        <v>0</v>
      </c>
      <c r="AV226" s="88">
        <f>ROUND(AV225+AW226-MIN(N(Crédits!$E$10),AV225+AW226),2)</f>
        <v>0</v>
      </c>
      <c r="AW226" s="89">
        <f>AV225*N(Crédits!$D$10)/12</f>
        <v>0</v>
      </c>
      <c r="AX226" s="105">
        <f t="shared" si="12"/>
        <v>0</v>
      </c>
      <c r="AY226" s="105">
        <f t="shared" ref="AY226:AZ226" si="244">F226+N226+V226+AD226+AL226+AT226</f>
        <v>0</v>
      </c>
      <c r="AZ226" s="105">
        <f t="shared" si="244"/>
        <v>0</v>
      </c>
      <c r="BA226" s="105">
        <f t="shared" si="14"/>
        <v>0</v>
      </c>
      <c r="BB226" s="105">
        <f t="shared" si="15"/>
        <v>0</v>
      </c>
    </row>
    <row r="227" spans="1:54" ht="15" customHeight="1" x14ac:dyDescent="0.25">
      <c r="A227" s="2">
        <v>225</v>
      </c>
      <c r="B227" s="83">
        <f t="shared" si="16"/>
        <v>0</v>
      </c>
      <c r="C227" s="83">
        <f>B227*N(Crédits!$D$5)/12</f>
        <v>0</v>
      </c>
      <c r="D227" s="83">
        <f>MIN(N(Crédits!$E$5),B227+C227)</f>
        <v>0</v>
      </c>
      <c r="E227" s="83">
        <f t="shared" si="0"/>
        <v>0</v>
      </c>
      <c r="F227" s="86">
        <f>IF(Crédits!$K$5="",0,MAX(0,MIN(E227,Plan!$L$229-(IF(Crédits!$K$6="",0,IF(Crédits!$K$6&lt;Crédits!$K$5,M227,0))+IF(Crédits!$K$7="",0,IF(Crédits!$K$7&lt;Crédits!$K$5,U227,0))+IF(Crédits!$K$8="",0,IF(Crédits!$K$8&lt;Crédits!$K$5,AC227,0))+IF(Crédits!$K$9="",0,IF(Crédits!$K$9&lt;Crédits!$K$5,AK227,0))+IF(Crédits!$K$10="",0,IF(Crédits!$K$10&lt;Crédits!$K$5,AS227,0))))))</f>
        <v>0</v>
      </c>
      <c r="G227" s="87">
        <f t="shared" si="1"/>
        <v>0</v>
      </c>
      <c r="H227" s="88">
        <f>ROUND(H226+I227-MIN(N(Crédits!$E$5),H226+I227),2)</f>
        <v>0</v>
      </c>
      <c r="I227" s="89">
        <f>H226*N(Crédits!$D$5)/12</f>
        <v>0</v>
      </c>
      <c r="J227" s="90">
        <f t="shared" si="17"/>
        <v>0</v>
      </c>
      <c r="K227" s="90">
        <f>J227*N(Crédits!$D$6)/12</f>
        <v>0</v>
      </c>
      <c r="L227" s="90">
        <f>MIN(N(Crédits!$E$6),J227+K227)</f>
        <v>0</v>
      </c>
      <c r="M227" s="90">
        <f t="shared" si="2"/>
        <v>0</v>
      </c>
      <c r="N227" s="91">
        <f>IF(Crédits!$K$6="",0,MAX(0,MIN(M227,Plan!$L$229-(IF(Crédits!$K$5="",0,IF(Crédits!$K$5&lt;Crédits!$K$6,E227,0))+IF(Crédits!$K$7="",0,IF(Crédits!$K$7&lt;Crédits!$K$6,U227,0))+IF(Crédits!$K$8="",0,IF(Crédits!$K$8&lt;Crédits!$K$6,AC227,0))+IF(Crédits!$K$9="",0,IF(Crédits!$K$9&lt;Crédits!$K$6,AK227,0))+IF(Crédits!$K$10="",0,IF(Crédits!$K$10&lt;Crédits!$K$6,AS227,0))))))</f>
        <v>0</v>
      </c>
      <c r="O227" s="92">
        <f t="shared" si="3"/>
        <v>0</v>
      </c>
      <c r="P227" s="88">
        <f>ROUND(P226+Q227-MIN(N(Crédits!$E$6),P226+Q227),2)</f>
        <v>0</v>
      </c>
      <c r="Q227" s="89">
        <f>P226*N(Crédits!$D$6)/12</f>
        <v>0</v>
      </c>
      <c r="R227" s="93">
        <f t="shared" si="18"/>
        <v>0</v>
      </c>
      <c r="S227" s="93">
        <f>R227*N(Crédits!$D$7)/12</f>
        <v>0</v>
      </c>
      <c r="T227" s="93">
        <f>MIN(N(Crédits!$E$7),R227+S227)</f>
        <v>0</v>
      </c>
      <c r="U227" s="93">
        <f t="shared" si="4"/>
        <v>0</v>
      </c>
      <c r="V227" s="94">
        <f>IF(Crédits!$K$7="",0,MAX(0,MIN(U227,Plan!$L$229-(IF(Crédits!$K$5="",0,IF(Crédits!$K$5&lt;Crédits!$K$7,E227,0))+IF(Crédits!$K$6="",0,IF(Crédits!$K$6&lt;Crédits!$K$7,M227,0))+IF(Crédits!$K$8="",0,IF(Crédits!$K$8&lt;Crédits!$K$7,AC227,0))+IF(Crédits!$K$9="",0,IF(Crédits!$K$9&lt;Crédits!$K$7,AK227,0))+IF(Crédits!$K$10="",0,IF(Crédits!$K$10&lt;Crédits!$K$7,AS227,0))))))</f>
        <v>0</v>
      </c>
      <c r="W227" s="95">
        <f t="shared" si="5"/>
        <v>0</v>
      </c>
      <c r="X227" s="88">
        <f>ROUND(X226+Y227-MIN(N(Crédits!$E$7),X226+Y227),2)</f>
        <v>0</v>
      </c>
      <c r="Y227" s="89">
        <f>X226*N(Crédits!$D$7)/12</f>
        <v>0</v>
      </c>
      <c r="Z227" s="96">
        <f t="shared" si="19"/>
        <v>0</v>
      </c>
      <c r="AA227" s="96">
        <f>Z227*N(Crédits!$D$8)/12</f>
        <v>0</v>
      </c>
      <c r="AB227" s="96">
        <f>MIN(N(Crédits!$E$8),Z227+AA227)</f>
        <v>0</v>
      </c>
      <c r="AC227" s="96">
        <f t="shared" si="6"/>
        <v>0</v>
      </c>
      <c r="AD227" s="97">
        <f>IF(Crédits!$K$8="",0,MAX(0,MIN(AC227,Plan!$L$229-(IF(Crédits!$K$5="",0,IF(Crédits!$K$5&lt;Crédits!$K$8,E227,0))+IF(Crédits!$K$6="",0,IF(Crédits!$K$6&lt;Crédits!$K$8,M227,0))+IF(Crédits!$K$7="",0,IF(Crédits!$K$7&lt;Crédits!$K$8,U227,0))+IF(Crédits!$K$9="",0,IF(Crédits!$K$9&lt;Crédits!$K$8,AK227,0))+IF(Crédits!$K$10="",0,IF(Crédits!$K$10&lt;Crédits!$K$8,AS227,0))))))</f>
        <v>0</v>
      </c>
      <c r="AE227" s="98">
        <f t="shared" si="7"/>
        <v>0</v>
      </c>
      <c r="AF227" s="88">
        <f>ROUND(AF226+AG227-MIN(N(Crédits!$E$8),AF226+AG227),2)</f>
        <v>0</v>
      </c>
      <c r="AG227" s="89">
        <f>AF226*N(Crédits!$D$8)/12</f>
        <v>0</v>
      </c>
      <c r="AH227" s="99">
        <f t="shared" si="20"/>
        <v>0</v>
      </c>
      <c r="AI227" s="99">
        <f>AH227*N(Crédits!$D$9)/12</f>
        <v>0</v>
      </c>
      <c r="AJ227" s="99">
        <f>MIN(N(Crédits!$E$9),AH227+AI227)</f>
        <v>0</v>
      </c>
      <c r="AK227" s="99">
        <f t="shared" si="8"/>
        <v>0</v>
      </c>
      <c r="AL227" s="100">
        <f>IF(Crédits!$K$9="",0,MAX(0,MIN(AK227,Plan!$L$229-(IF(Crédits!$K$5="",0,IF(Crédits!$K$5&lt;Crédits!$K$9,E227,0))+IF(Crédits!$K$6="",0,IF(Crédits!$K$6&lt;Crédits!$K$9,M227,0))+IF(Crédits!$K$7="",0,IF(Crédits!$K$7&lt;Crédits!$K$9,U227,0))+IF(Crédits!$K$8="",0,IF(Crédits!$K$8&lt;Crédits!$K$9,AC227,0))+IF(Crédits!$K$10="",0,IF(Crédits!$K$10&lt;Crédits!$K$9,AS227,0))))))</f>
        <v>0</v>
      </c>
      <c r="AM227" s="101">
        <f t="shared" si="9"/>
        <v>0</v>
      </c>
      <c r="AN227" s="88">
        <f>ROUND(AN226+AO227-MIN(N(Crédits!$E$9),AN226+AO227),2)</f>
        <v>0</v>
      </c>
      <c r="AO227" s="89">
        <f>AN226*N(Crédits!$D$9)/12</f>
        <v>0</v>
      </c>
      <c r="AP227" s="102">
        <f t="shared" si="21"/>
        <v>0</v>
      </c>
      <c r="AQ227" s="102">
        <f>AP227*N(Crédits!$D$10)/12</f>
        <v>0</v>
      </c>
      <c r="AR227" s="102">
        <f>MIN(N(Crédits!$E$10),AP227+AQ227)</f>
        <v>0</v>
      </c>
      <c r="AS227" s="102">
        <f t="shared" si="10"/>
        <v>0</v>
      </c>
      <c r="AT227" s="103">
        <f>IF(Crédits!$K$10="",0,MAX(0,MIN(AS227,Plan!$L$229-(IF(Crédits!$K$5="",0,IF(Crédits!$K$5&lt;Crédits!$K$10,E227,0))+IF(Crédits!$K$6="",0,IF(Crédits!$K$6&lt;Crédits!$K$10,M227,0))+IF(Crédits!$K$7="",0,IF(Crédits!$K$7&lt;Crédits!$K$10,U227,0))+IF(Crédits!$K$8="",0,IF(Crédits!$K$8&lt;Crédits!$K$10,AC227,0))+IF(Crédits!$K$9="",0,IF(Crédits!$K$9&lt;Crédits!$K$10,AK227,0))))))</f>
        <v>0</v>
      </c>
      <c r="AU227" s="104">
        <f t="shared" si="11"/>
        <v>0</v>
      </c>
      <c r="AV227" s="88">
        <f>ROUND(AV226+AW227-MIN(N(Crédits!$E$10),AV226+AW227),2)</f>
        <v>0</v>
      </c>
      <c r="AW227" s="89">
        <f>AV226*N(Crédits!$D$10)/12</f>
        <v>0</v>
      </c>
      <c r="AX227" s="105">
        <f t="shared" si="12"/>
        <v>0</v>
      </c>
      <c r="AY227" s="105">
        <f t="shared" ref="AY227:AZ227" si="245">F227+N227+V227+AD227+AL227+AT227</f>
        <v>0</v>
      </c>
      <c r="AZ227" s="105">
        <f t="shared" si="245"/>
        <v>0</v>
      </c>
      <c r="BA227" s="105">
        <f t="shared" si="14"/>
        <v>0</v>
      </c>
      <c r="BB227" s="105">
        <f t="shared" si="15"/>
        <v>0</v>
      </c>
    </row>
    <row r="228" spans="1:54" ht="15" customHeight="1" x14ac:dyDescent="0.25">
      <c r="A228" s="2">
        <v>226</v>
      </c>
      <c r="B228" s="83">
        <f t="shared" si="16"/>
        <v>0</v>
      </c>
      <c r="C228" s="83">
        <f>B228*N(Crédits!$D$5)/12</f>
        <v>0</v>
      </c>
      <c r="D228" s="83">
        <f>MIN(N(Crédits!$E$5),B228+C228)</f>
        <v>0</v>
      </c>
      <c r="E228" s="83">
        <f t="shared" si="0"/>
        <v>0</v>
      </c>
      <c r="F228" s="86">
        <f>IF(Crédits!$K$5="",0,MAX(0,MIN(E228,Plan!$L$230-(IF(Crédits!$K$6="",0,IF(Crédits!$K$6&lt;Crédits!$K$5,M228,0))+IF(Crédits!$K$7="",0,IF(Crédits!$K$7&lt;Crédits!$K$5,U228,0))+IF(Crédits!$K$8="",0,IF(Crédits!$K$8&lt;Crédits!$K$5,AC228,0))+IF(Crédits!$K$9="",0,IF(Crédits!$K$9&lt;Crédits!$K$5,AK228,0))+IF(Crédits!$K$10="",0,IF(Crédits!$K$10&lt;Crédits!$K$5,AS228,0))))))</f>
        <v>0</v>
      </c>
      <c r="G228" s="87">
        <f t="shared" si="1"/>
        <v>0</v>
      </c>
      <c r="H228" s="88">
        <f>ROUND(H227+I228-MIN(N(Crédits!$E$5),H227+I228),2)</f>
        <v>0</v>
      </c>
      <c r="I228" s="89">
        <f>H227*N(Crédits!$D$5)/12</f>
        <v>0</v>
      </c>
      <c r="J228" s="90">
        <f t="shared" si="17"/>
        <v>0</v>
      </c>
      <c r="K228" s="90">
        <f>J228*N(Crédits!$D$6)/12</f>
        <v>0</v>
      </c>
      <c r="L228" s="90">
        <f>MIN(N(Crédits!$E$6),J228+K228)</f>
        <v>0</v>
      </c>
      <c r="M228" s="90">
        <f t="shared" si="2"/>
        <v>0</v>
      </c>
      <c r="N228" s="91">
        <f>IF(Crédits!$K$6="",0,MAX(0,MIN(M228,Plan!$L$230-(IF(Crédits!$K$5="",0,IF(Crédits!$K$5&lt;Crédits!$K$6,E228,0))+IF(Crédits!$K$7="",0,IF(Crédits!$K$7&lt;Crédits!$K$6,U228,0))+IF(Crédits!$K$8="",0,IF(Crédits!$K$8&lt;Crédits!$K$6,AC228,0))+IF(Crédits!$K$9="",0,IF(Crédits!$K$9&lt;Crédits!$K$6,AK228,0))+IF(Crédits!$K$10="",0,IF(Crédits!$K$10&lt;Crédits!$K$6,AS228,0))))))</f>
        <v>0</v>
      </c>
      <c r="O228" s="92">
        <f t="shared" si="3"/>
        <v>0</v>
      </c>
      <c r="P228" s="88">
        <f>ROUND(P227+Q228-MIN(N(Crédits!$E$6),P227+Q228),2)</f>
        <v>0</v>
      </c>
      <c r="Q228" s="89">
        <f>P227*N(Crédits!$D$6)/12</f>
        <v>0</v>
      </c>
      <c r="R228" s="93">
        <f t="shared" si="18"/>
        <v>0</v>
      </c>
      <c r="S228" s="93">
        <f>R228*N(Crédits!$D$7)/12</f>
        <v>0</v>
      </c>
      <c r="T228" s="93">
        <f>MIN(N(Crédits!$E$7),R228+S228)</f>
        <v>0</v>
      </c>
      <c r="U228" s="93">
        <f t="shared" si="4"/>
        <v>0</v>
      </c>
      <c r="V228" s="94">
        <f>IF(Crédits!$K$7="",0,MAX(0,MIN(U228,Plan!$L$230-(IF(Crédits!$K$5="",0,IF(Crédits!$K$5&lt;Crédits!$K$7,E228,0))+IF(Crédits!$K$6="",0,IF(Crédits!$K$6&lt;Crédits!$K$7,M228,0))+IF(Crédits!$K$8="",0,IF(Crédits!$K$8&lt;Crédits!$K$7,AC228,0))+IF(Crédits!$K$9="",0,IF(Crédits!$K$9&lt;Crédits!$K$7,AK228,0))+IF(Crédits!$K$10="",0,IF(Crédits!$K$10&lt;Crédits!$K$7,AS228,0))))))</f>
        <v>0</v>
      </c>
      <c r="W228" s="95">
        <f t="shared" si="5"/>
        <v>0</v>
      </c>
      <c r="X228" s="88">
        <f>ROUND(X227+Y228-MIN(N(Crédits!$E$7),X227+Y228),2)</f>
        <v>0</v>
      </c>
      <c r="Y228" s="89">
        <f>X227*N(Crédits!$D$7)/12</f>
        <v>0</v>
      </c>
      <c r="Z228" s="96">
        <f t="shared" si="19"/>
        <v>0</v>
      </c>
      <c r="AA228" s="96">
        <f>Z228*N(Crédits!$D$8)/12</f>
        <v>0</v>
      </c>
      <c r="AB228" s="96">
        <f>MIN(N(Crédits!$E$8),Z228+AA228)</f>
        <v>0</v>
      </c>
      <c r="AC228" s="96">
        <f t="shared" si="6"/>
        <v>0</v>
      </c>
      <c r="AD228" s="97">
        <f>IF(Crédits!$K$8="",0,MAX(0,MIN(AC228,Plan!$L$230-(IF(Crédits!$K$5="",0,IF(Crédits!$K$5&lt;Crédits!$K$8,E228,0))+IF(Crédits!$K$6="",0,IF(Crédits!$K$6&lt;Crédits!$K$8,M228,0))+IF(Crédits!$K$7="",0,IF(Crédits!$K$7&lt;Crédits!$K$8,U228,0))+IF(Crédits!$K$9="",0,IF(Crédits!$K$9&lt;Crédits!$K$8,AK228,0))+IF(Crédits!$K$10="",0,IF(Crédits!$K$10&lt;Crédits!$K$8,AS228,0))))))</f>
        <v>0</v>
      </c>
      <c r="AE228" s="98">
        <f t="shared" si="7"/>
        <v>0</v>
      </c>
      <c r="AF228" s="88">
        <f>ROUND(AF227+AG228-MIN(N(Crédits!$E$8),AF227+AG228),2)</f>
        <v>0</v>
      </c>
      <c r="AG228" s="89">
        <f>AF227*N(Crédits!$D$8)/12</f>
        <v>0</v>
      </c>
      <c r="AH228" s="99">
        <f t="shared" si="20"/>
        <v>0</v>
      </c>
      <c r="AI228" s="99">
        <f>AH228*N(Crédits!$D$9)/12</f>
        <v>0</v>
      </c>
      <c r="AJ228" s="99">
        <f>MIN(N(Crédits!$E$9),AH228+AI228)</f>
        <v>0</v>
      </c>
      <c r="AK228" s="99">
        <f t="shared" si="8"/>
        <v>0</v>
      </c>
      <c r="AL228" s="100">
        <f>IF(Crédits!$K$9="",0,MAX(0,MIN(AK228,Plan!$L$230-(IF(Crédits!$K$5="",0,IF(Crédits!$K$5&lt;Crédits!$K$9,E228,0))+IF(Crédits!$K$6="",0,IF(Crédits!$K$6&lt;Crédits!$K$9,M228,0))+IF(Crédits!$K$7="",0,IF(Crédits!$K$7&lt;Crédits!$K$9,U228,0))+IF(Crédits!$K$8="",0,IF(Crédits!$K$8&lt;Crédits!$K$9,AC228,0))+IF(Crédits!$K$10="",0,IF(Crédits!$K$10&lt;Crédits!$K$9,AS228,0))))))</f>
        <v>0</v>
      </c>
      <c r="AM228" s="101">
        <f t="shared" si="9"/>
        <v>0</v>
      </c>
      <c r="AN228" s="88">
        <f>ROUND(AN227+AO228-MIN(N(Crédits!$E$9),AN227+AO228),2)</f>
        <v>0</v>
      </c>
      <c r="AO228" s="89">
        <f>AN227*N(Crédits!$D$9)/12</f>
        <v>0</v>
      </c>
      <c r="AP228" s="102">
        <f t="shared" si="21"/>
        <v>0</v>
      </c>
      <c r="AQ228" s="102">
        <f>AP228*N(Crédits!$D$10)/12</f>
        <v>0</v>
      </c>
      <c r="AR228" s="102">
        <f>MIN(N(Crédits!$E$10),AP228+AQ228)</f>
        <v>0</v>
      </c>
      <c r="AS228" s="102">
        <f t="shared" si="10"/>
        <v>0</v>
      </c>
      <c r="AT228" s="103">
        <f>IF(Crédits!$K$10="",0,MAX(0,MIN(AS228,Plan!$L$230-(IF(Crédits!$K$5="",0,IF(Crédits!$K$5&lt;Crédits!$K$10,E228,0))+IF(Crédits!$K$6="",0,IF(Crédits!$K$6&lt;Crédits!$K$10,M228,0))+IF(Crédits!$K$7="",0,IF(Crédits!$K$7&lt;Crédits!$K$10,U228,0))+IF(Crédits!$K$8="",0,IF(Crédits!$K$8&lt;Crédits!$K$10,AC228,0))+IF(Crédits!$K$9="",0,IF(Crédits!$K$9&lt;Crédits!$K$10,AK228,0))))))</f>
        <v>0</v>
      </c>
      <c r="AU228" s="104">
        <f t="shared" si="11"/>
        <v>0</v>
      </c>
      <c r="AV228" s="88">
        <f>ROUND(AV227+AW228-MIN(N(Crédits!$E$10),AV227+AW228),2)</f>
        <v>0</v>
      </c>
      <c r="AW228" s="89">
        <f>AV227*N(Crédits!$D$10)/12</f>
        <v>0</v>
      </c>
      <c r="AX228" s="105">
        <f t="shared" si="12"/>
        <v>0</v>
      </c>
      <c r="AY228" s="105">
        <f t="shared" ref="AY228:AZ228" si="246">F228+N228+V228+AD228+AL228+AT228</f>
        <v>0</v>
      </c>
      <c r="AZ228" s="105">
        <f t="shared" si="246"/>
        <v>0</v>
      </c>
      <c r="BA228" s="105">
        <f t="shared" si="14"/>
        <v>0</v>
      </c>
      <c r="BB228" s="105">
        <f t="shared" si="15"/>
        <v>0</v>
      </c>
    </row>
    <row r="229" spans="1:54" ht="15" customHeight="1" x14ac:dyDescent="0.25">
      <c r="A229" s="2">
        <v>227</v>
      </c>
      <c r="B229" s="83">
        <f t="shared" si="16"/>
        <v>0</v>
      </c>
      <c r="C229" s="83">
        <f>B229*N(Crédits!$D$5)/12</f>
        <v>0</v>
      </c>
      <c r="D229" s="83">
        <f>MIN(N(Crédits!$E$5),B229+C229)</f>
        <v>0</v>
      </c>
      <c r="E229" s="83">
        <f t="shared" si="0"/>
        <v>0</v>
      </c>
      <c r="F229" s="86">
        <f>IF(Crédits!$K$5="",0,MAX(0,MIN(E229,Plan!$L$231-(IF(Crédits!$K$6="",0,IF(Crédits!$K$6&lt;Crédits!$K$5,M229,0))+IF(Crédits!$K$7="",0,IF(Crédits!$K$7&lt;Crédits!$K$5,U229,0))+IF(Crédits!$K$8="",0,IF(Crédits!$K$8&lt;Crédits!$K$5,AC229,0))+IF(Crédits!$K$9="",0,IF(Crédits!$K$9&lt;Crédits!$K$5,AK229,0))+IF(Crédits!$K$10="",0,IF(Crédits!$K$10&lt;Crédits!$K$5,AS229,0))))))</f>
        <v>0</v>
      </c>
      <c r="G229" s="87">
        <f t="shared" si="1"/>
        <v>0</v>
      </c>
      <c r="H229" s="88">
        <f>ROUND(H228+I229-MIN(N(Crédits!$E$5),H228+I229),2)</f>
        <v>0</v>
      </c>
      <c r="I229" s="89">
        <f>H228*N(Crédits!$D$5)/12</f>
        <v>0</v>
      </c>
      <c r="J229" s="90">
        <f t="shared" si="17"/>
        <v>0</v>
      </c>
      <c r="K229" s="90">
        <f>J229*N(Crédits!$D$6)/12</f>
        <v>0</v>
      </c>
      <c r="L229" s="90">
        <f>MIN(N(Crédits!$E$6),J229+K229)</f>
        <v>0</v>
      </c>
      <c r="M229" s="90">
        <f t="shared" si="2"/>
        <v>0</v>
      </c>
      <c r="N229" s="91">
        <f>IF(Crédits!$K$6="",0,MAX(0,MIN(M229,Plan!$L$231-(IF(Crédits!$K$5="",0,IF(Crédits!$K$5&lt;Crédits!$K$6,E229,0))+IF(Crédits!$K$7="",0,IF(Crédits!$K$7&lt;Crédits!$K$6,U229,0))+IF(Crédits!$K$8="",0,IF(Crédits!$K$8&lt;Crédits!$K$6,AC229,0))+IF(Crédits!$K$9="",0,IF(Crédits!$K$9&lt;Crédits!$K$6,AK229,0))+IF(Crédits!$K$10="",0,IF(Crédits!$K$10&lt;Crédits!$K$6,AS229,0))))))</f>
        <v>0</v>
      </c>
      <c r="O229" s="92">
        <f t="shared" si="3"/>
        <v>0</v>
      </c>
      <c r="P229" s="88">
        <f>ROUND(P228+Q229-MIN(N(Crédits!$E$6),P228+Q229),2)</f>
        <v>0</v>
      </c>
      <c r="Q229" s="89">
        <f>P228*N(Crédits!$D$6)/12</f>
        <v>0</v>
      </c>
      <c r="R229" s="93">
        <f t="shared" si="18"/>
        <v>0</v>
      </c>
      <c r="S229" s="93">
        <f>R229*N(Crédits!$D$7)/12</f>
        <v>0</v>
      </c>
      <c r="T229" s="93">
        <f>MIN(N(Crédits!$E$7),R229+S229)</f>
        <v>0</v>
      </c>
      <c r="U229" s="93">
        <f t="shared" si="4"/>
        <v>0</v>
      </c>
      <c r="V229" s="94">
        <f>IF(Crédits!$K$7="",0,MAX(0,MIN(U229,Plan!$L$231-(IF(Crédits!$K$5="",0,IF(Crédits!$K$5&lt;Crédits!$K$7,E229,0))+IF(Crédits!$K$6="",0,IF(Crédits!$K$6&lt;Crédits!$K$7,M229,0))+IF(Crédits!$K$8="",0,IF(Crédits!$K$8&lt;Crédits!$K$7,AC229,0))+IF(Crédits!$K$9="",0,IF(Crédits!$K$9&lt;Crédits!$K$7,AK229,0))+IF(Crédits!$K$10="",0,IF(Crédits!$K$10&lt;Crédits!$K$7,AS229,0))))))</f>
        <v>0</v>
      </c>
      <c r="W229" s="95">
        <f t="shared" si="5"/>
        <v>0</v>
      </c>
      <c r="X229" s="88">
        <f>ROUND(X228+Y229-MIN(N(Crédits!$E$7),X228+Y229),2)</f>
        <v>0</v>
      </c>
      <c r="Y229" s="89">
        <f>X228*N(Crédits!$D$7)/12</f>
        <v>0</v>
      </c>
      <c r="Z229" s="96">
        <f t="shared" si="19"/>
        <v>0</v>
      </c>
      <c r="AA229" s="96">
        <f>Z229*N(Crédits!$D$8)/12</f>
        <v>0</v>
      </c>
      <c r="AB229" s="96">
        <f>MIN(N(Crédits!$E$8),Z229+AA229)</f>
        <v>0</v>
      </c>
      <c r="AC229" s="96">
        <f t="shared" si="6"/>
        <v>0</v>
      </c>
      <c r="AD229" s="97">
        <f>IF(Crédits!$K$8="",0,MAX(0,MIN(AC229,Plan!$L$231-(IF(Crédits!$K$5="",0,IF(Crédits!$K$5&lt;Crédits!$K$8,E229,0))+IF(Crédits!$K$6="",0,IF(Crédits!$K$6&lt;Crédits!$K$8,M229,0))+IF(Crédits!$K$7="",0,IF(Crédits!$K$7&lt;Crédits!$K$8,U229,0))+IF(Crédits!$K$9="",0,IF(Crédits!$K$9&lt;Crédits!$K$8,AK229,0))+IF(Crédits!$K$10="",0,IF(Crédits!$K$10&lt;Crédits!$K$8,AS229,0))))))</f>
        <v>0</v>
      </c>
      <c r="AE229" s="98">
        <f t="shared" si="7"/>
        <v>0</v>
      </c>
      <c r="AF229" s="88">
        <f>ROUND(AF228+AG229-MIN(N(Crédits!$E$8),AF228+AG229),2)</f>
        <v>0</v>
      </c>
      <c r="AG229" s="89">
        <f>AF228*N(Crédits!$D$8)/12</f>
        <v>0</v>
      </c>
      <c r="AH229" s="99">
        <f t="shared" si="20"/>
        <v>0</v>
      </c>
      <c r="AI229" s="99">
        <f>AH229*N(Crédits!$D$9)/12</f>
        <v>0</v>
      </c>
      <c r="AJ229" s="99">
        <f>MIN(N(Crédits!$E$9),AH229+AI229)</f>
        <v>0</v>
      </c>
      <c r="AK229" s="99">
        <f t="shared" si="8"/>
        <v>0</v>
      </c>
      <c r="AL229" s="100">
        <f>IF(Crédits!$K$9="",0,MAX(0,MIN(AK229,Plan!$L$231-(IF(Crédits!$K$5="",0,IF(Crédits!$K$5&lt;Crédits!$K$9,E229,0))+IF(Crédits!$K$6="",0,IF(Crédits!$K$6&lt;Crédits!$K$9,M229,0))+IF(Crédits!$K$7="",0,IF(Crédits!$K$7&lt;Crédits!$K$9,U229,0))+IF(Crédits!$K$8="",0,IF(Crédits!$K$8&lt;Crédits!$K$9,AC229,0))+IF(Crédits!$K$10="",0,IF(Crédits!$K$10&lt;Crédits!$K$9,AS229,0))))))</f>
        <v>0</v>
      </c>
      <c r="AM229" s="101">
        <f t="shared" si="9"/>
        <v>0</v>
      </c>
      <c r="AN229" s="88">
        <f>ROUND(AN228+AO229-MIN(N(Crédits!$E$9),AN228+AO229),2)</f>
        <v>0</v>
      </c>
      <c r="AO229" s="89">
        <f>AN228*N(Crédits!$D$9)/12</f>
        <v>0</v>
      </c>
      <c r="AP229" s="102">
        <f t="shared" si="21"/>
        <v>0</v>
      </c>
      <c r="AQ229" s="102">
        <f>AP229*N(Crédits!$D$10)/12</f>
        <v>0</v>
      </c>
      <c r="AR229" s="102">
        <f>MIN(N(Crédits!$E$10),AP229+AQ229)</f>
        <v>0</v>
      </c>
      <c r="AS229" s="102">
        <f t="shared" si="10"/>
        <v>0</v>
      </c>
      <c r="AT229" s="103">
        <f>IF(Crédits!$K$10="",0,MAX(0,MIN(AS229,Plan!$L$231-(IF(Crédits!$K$5="",0,IF(Crédits!$K$5&lt;Crédits!$K$10,E229,0))+IF(Crédits!$K$6="",0,IF(Crédits!$K$6&lt;Crédits!$K$10,M229,0))+IF(Crédits!$K$7="",0,IF(Crédits!$K$7&lt;Crédits!$K$10,U229,0))+IF(Crédits!$K$8="",0,IF(Crédits!$K$8&lt;Crédits!$K$10,AC229,0))+IF(Crédits!$K$9="",0,IF(Crédits!$K$9&lt;Crédits!$K$10,AK229,0))))))</f>
        <v>0</v>
      </c>
      <c r="AU229" s="104">
        <f t="shared" si="11"/>
        <v>0</v>
      </c>
      <c r="AV229" s="88">
        <f>ROUND(AV228+AW229-MIN(N(Crédits!$E$10),AV228+AW229),2)</f>
        <v>0</v>
      </c>
      <c r="AW229" s="89">
        <f>AV228*N(Crédits!$D$10)/12</f>
        <v>0</v>
      </c>
      <c r="AX229" s="105">
        <f t="shared" si="12"/>
        <v>0</v>
      </c>
      <c r="AY229" s="105">
        <f t="shared" ref="AY229:AZ229" si="247">F229+N229+V229+AD229+AL229+AT229</f>
        <v>0</v>
      </c>
      <c r="AZ229" s="105">
        <f t="shared" si="247"/>
        <v>0</v>
      </c>
      <c r="BA229" s="105">
        <f t="shared" si="14"/>
        <v>0</v>
      </c>
      <c r="BB229" s="105">
        <f t="shared" si="15"/>
        <v>0</v>
      </c>
    </row>
    <row r="230" spans="1:54" ht="15" customHeight="1" x14ac:dyDescent="0.25">
      <c r="A230" s="2">
        <v>228</v>
      </c>
      <c r="B230" s="83">
        <f t="shared" si="16"/>
        <v>0</v>
      </c>
      <c r="C230" s="83">
        <f>B230*N(Crédits!$D$5)/12</f>
        <v>0</v>
      </c>
      <c r="D230" s="83">
        <f>MIN(N(Crédits!$E$5),B230+C230)</f>
        <v>0</v>
      </c>
      <c r="E230" s="83">
        <f t="shared" si="0"/>
        <v>0</v>
      </c>
      <c r="F230" s="86">
        <f>IF(Crédits!$K$5="",0,MAX(0,MIN(E230,Plan!$L$232-(IF(Crédits!$K$6="",0,IF(Crédits!$K$6&lt;Crédits!$K$5,M230,0))+IF(Crédits!$K$7="",0,IF(Crédits!$K$7&lt;Crédits!$K$5,U230,0))+IF(Crédits!$K$8="",0,IF(Crédits!$K$8&lt;Crédits!$K$5,AC230,0))+IF(Crédits!$K$9="",0,IF(Crédits!$K$9&lt;Crédits!$K$5,AK230,0))+IF(Crédits!$K$10="",0,IF(Crédits!$K$10&lt;Crédits!$K$5,AS230,0))))))</f>
        <v>0</v>
      </c>
      <c r="G230" s="87">
        <f t="shared" si="1"/>
        <v>0</v>
      </c>
      <c r="H230" s="88">
        <f>ROUND(H229+I230-MIN(N(Crédits!$E$5),H229+I230),2)</f>
        <v>0</v>
      </c>
      <c r="I230" s="89">
        <f>H229*N(Crédits!$D$5)/12</f>
        <v>0</v>
      </c>
      <c r="J230" s="90">
        <f t="shared" si="17"/>
        <v>0</v>
      </c>
      <c r="K230" s="90">
        <f>J230*N(Crédits!$D$6)/12</f>
        <v>0</v>
      </c>
      <c r="L230" s="90">
        <f>MIN(N(Crédits!$E$6),J230+K230)</f>
        <v>0</v>
      </c>
      <c r="M230" s="90">
        <f t="shared" si="2"/>
        <v>0</v>
      </c>
      <c r="N230" s="91">
        <f>IF(Crédits!$K$6="",0,MAX(0,MIN(M230,Plan!$L$232-(IF(Crédits!$K$5="",0,IF(Crédits!$K$5&lt;Crédits!$K$6,E230,0))+IF(Crédits!$K$7="",0,IF(Crédits!$K$7&lt;Crédits!$K$6,U230,0))+IF(Crédits!$K$8="",0,IF(Crédits!$K$8&lt;Crédits!$K$6,AC230,0))+IF(Crédits!$K$9="",0,IF(Crédits!$K$9&lt;Crédits!$K$6,AK230,0))+IF(Crédits!$K$10="",0,IF(Crédits!$K$10&lt;Crédits!$K$6,AS230,0))))))</f>
        <v>0</v>
      </c>
      <c r="O230" s="92">
        <f t="shared" si="3"/>
        <v>0</v>
      </c>
      <c r="P230" s="88">
        <f>ROUND(P229+Q230-MIN(N(Crédits!$E$6),P229+Q230),2)</f>
        <v>0</v>
      </c>
      <c r="Q230" s="89">
        <f>P229*N(Crédits!$D$6)/12</f>
        <v>0</v>
      </c>
      <c r="R230" s="93">
        <f t="shared" si="18"/>
        <v>0</v>
      </c>
      <c r="S230" s="93">
        <f>R230*N(Crédits!$D$7)/12</f>
        <v>0</v>
      </c>
      <c r="T230" s="93">
        <f>MIN(N(Crédits!$E$7),R230+S230)</f>
        <v>0</v>
      </c>
      <c r="U230" s="93">
        <f t="shared" si="4"/>
        <v>0</v>
      </c>
      <c r="V230" s="94">
        <f>IF(Crédits!$K$7="",0,MAX(0,MIN(U230,Plan!$L$232-(IF(Crédits!$K$5="",0,IF(Crédits!$K$5&lt;Crédits!$K$7,E230,0))+IF(Crédits!$K$6="",0,IF(Crédits!$K$6&lt;Crédits!$K$7,M230,0))+IF(Crédits!$K$8="",0,IF(Crédits!$K$8&lt;Crédits!$K$7,AC230,0))+IF(Crédits!$K$9="",0,IF(Crédits!$K$9&lt;Crédits!$K$7,AK230,0))+IF(Crédits!$K$10="",0,IF(Crédits!$K$10&lt;Crédits!$K$7,AS230,0))))))</f>
        <v>0</v>
      </c>
      <c r="W230" s="95">
        <f t="shared" si="5"/>
        <v>0</v>
      </c>
      <c r="X230" s="88">
        <f>ROUND(X229+Y230-MIN(N(Crédits!$E$7),X229+Y230),2)</f>
        <v>0</v>
      </c>
      <c r="Y230" s="89">
        <f>X229*N(Crédits!$D$7)/12</f>
        <v>0</v>
      </c>
      <c r="Z230" s="96">
        <f t="shared" si="19"/>
        <v>0</v>
      </c>
      <c r="AA230" s="96">
        <f>Z230*N(Crédits!$D$8)/12</f>
        <v>0</v>
      </c>
      <c r="AB230" s="96">
        <f>MIN(N(Crédits!$E$8),Z230+AA230)</f>
        <v>0</v>
      </c>
      <c r="AC230" s="96">
        <f t="shared" si="6"/>
        <v>0</v>
      </c>
      <c r="AD230" s="97">
        <f>IF(Crédits!$K$8="",0,MAX(0,MIN(AC230,Plan!$L$232-(IF(Crédits!$K$5="",0,IF(Crédits!$K$5&lt;Crédits!$K$8,E230,0))+IF(Crédits!$K$6="",0,IF(Crédits!$K$6&lt;Crédits!$K$8,M230,0))+IF(Crédits!$K$7="",0,IF(Crédits!$K$7&lt;Crédits!$K$8,U230,0))+IF(Crédits!$K$9="",0,IF(Crédits!$K$9&lt;Crédits!$K$8,AK230,0))+IF(Crédits!$K$10="",0,IF(Crédits!$K$10&lt;Crédits!$K$8,AS230,0))))))</f>
        <v>0</v>
      </c>
      <c r="AE230" s="98">
        <f t="shared" si="7"/>
        <v>0</v>
      </c>
      <c r="AF230" s="88">
        <f>ROUND(AF229+AG230-MIN(N(Crédits!$E$8),AF229+AG230),2)</f>
        <v>0</v>
      </c>
      <c r="AG230" s="89">
        <f>AF229*N(Crédits!$D$8)/12</f>
        <v>0</v>
      </c>
      <c r="AH230" s="99">
        <f t="shared" si="20"/>
        <v>0</v>
      </c>
      <c r="AI230" s="99">
        <f>AH230*N(Crédits!$D$9)/12</f>
        <v>0</v>
      </c>
      <c r="AJ230" s="99">
        <f>MIN(N(Crédits!$E$9),AH230+AI230)</f>
        <v>0</v>
      </c>
      <c r="AK230" s="99">
        <f t="shared" si="8"/>
        <v>0</v>
      </c>
      <c r="AL230" s="100">
        <f>IF(Crédits!$K$9="",0,MAX(0,MIN(AK230,Plan!$L$232-(IF(Crédits!$K$5="",0,IF(Crédits!$K$5&lt;Crédits!$K$9,E230,0))+IF(Crédits!$K$6="",0,IF(Crédits!$K$6&lt;Crédits!$K$9,M230,0))+IF(Crédits!$K$7="",0,IF(Crédits!$K$7&lt;Crédits!$K$9,U230,0))+IF(Crédits!$K$8="",0,IF(Crédits!$K$8&lt;Crédits!$K$9,AC230,0))+IF(Crédits!$K$10="",0,IF(Crédits!$K$10&lt;Crédits!$K$9,AS230,0))))))</f>
        <v>0</v>
      </c>
      <c r="AM230" s="101">
        <f t="shared" si="9"/>
        <v>0</v>
      </c>
      <c r="AN230" s="88">
        <f>ROUND(AN229+AO230-MIN(N(Crédits!$E$9),AN229+AO230),2)</f>
        <v>0</v>
      </c>
      <c r="AO230" s="89">
        <f>AN229*N(Crédits!$D$9)/12</f>
        <v>0</v>
      </c>
      <c r="AP230" s="102">
        <f t="shared" si="21"/>
        <v>0</v>
      </c>
      <c r="AQ230" s="102">
        <f>AP230*N(Crédits!$D$10)/12</f>
        <v>0</v>
      </c>
      <c r="AR230" s="102">
        <f>MIN(N(Crédits!$E$10),AP230+AQ230)</f>
        <v>0</v>
      </c>
      <c r="AS230" s="102">
        <f t="shared" si="10"/>
        <v>0</v>
      </c>
      <c r="AT230" s="103">
        <f>IF(Crédits!$K$10="",0,MAX(0,MIN(AS230,Plan!$L$232-(IF(Crédits!$K$5="",0,IF(Crédits!$K$5&lt;Crédits!$K$10,E230,0))+IF(Crédits!$K$6="",0,IF(Crédits!$K$6&lt;Crédits!$K$10,M230,0))+IF(Crédits!$K$7="",0,IF(Crédits!$K$7&lt;Crédits!$K$10,U230,0))+IF(Crédits!$K$8="",0,IF(Crédits!$K$8&lt;Crédits!$K$10,AC230,0))+IF(Crédits!$K$9="",0,IF(Crédits!$K$9&lt;Crédits!$K$10,AK230,0))))))</f>
        <v>0</v>
      </c>
      <c r="AU230" s="104">
        <f t="shared" si="11"/>
        <v>0</v>
      </c>
      <c r="AV230" s="88">
        <f>ROUND(AV229+AW230-MIN(N(Crédits!$E$10),AV229+AW230),2)</f>
        <v>0</v>
      </c>
      <c r="AW230" s="89">
        <f>AV229*N(Crédits!$D$10)/12</f>
        <v>0</v>
      </c>
      <c r="AX230" s="105">
        <f t="shared" si="12"/>
        <v>0</v>
      </c>
      <c r="AY230" s="105">
        <f t="shared" ref="AY230:AZ230" si="248">F230+N230+V230+AD230+AL230+AT230</f>
        <v>0</v>
      </c>
      <c r="AZ230" s="105">
        <f t="shared" si="248"/>
        <v>0</v>
      </c>
      <c r="BA230" s="105">
        <f t="shared" si="14"/>
        <v>0</v>
      </c>
      <c r="BB230" s="105">
        <f t="shared" si="15"/>
        <v>0</v>
      </c>
    </row>
    <row r="231" spans="1:54" ht="15" customHeight="1" x14ac:dyDescent="0.25">
      <c r="A231" s="2">
        <v>229</v>
      </c>
      <c r="B231" s="83">
        <f t="shared" si="16"/>
        <v>0</v>
      </c>
      <c r="C231" s="83">
        <f>B231*N(Crédits!$D$5)/12</f>
        <v>0</v>
      </c>
      <c r="D231" s="83">
        <f>MIN(N(Crédits!$E$5),B231+C231)</f>
        <v>0</v>
      </c>
      <c r="E231" s="83">
        <f t="shared" si="0"/>
        <v>0</v>
      </c>
      <c r="F231" s="86">
        <f>IF(Crédits!$K$5="",0,MAX(0,MIN(E231,Plan!$L$233-(IF(Crédits!$K$6="",0,IF(Crédits!$K$6&lt;Crédits!$K$5,M231,0))+IF(Crédits!$K$7="",0,IF(Crédits!$K$7&lt;Crédits!$K$5,U231,0))+IF(Crédits!$K$8="",0,IF(Crédits!$K$8&lt;Crédits!$K$5,AC231,0))+IF(Crédits!$K$9="",0,IF(Crédits!$K$9&lt;Crédits!$K$5,AK231,0))+IF(Crédits!$K$10="",0,IF(Crédits!$K$10&lt;Crédits!$K$5,AS231,0))))))</f>
        <v>0</v>
      </c>
      <c r="G231" s="87">
        <f t="shared" si="1"/>
        <v>0</v>
      </c>
      <c r="H231" s="88">
        <f>ROUND(H230+I231-MIN(N(Crédits!$E$5),H230+I231),2)</f>
        <v>0</v>
      </c>
      <c r="I231" s="89">
        <f>H230*N(Crédits!$D$5)/12</f>
        <v>0</v>
      </c>
      <c r="J231" s="90">
        <f t="shared" si="17"/>
        <v>0</v>
      </c>
      <c r="K231" s="90">
        <f>J231*N(Crédits!$D$6)/12</f>
        <v>0</v>
      </c>
      <c r="L231" s="90">
        <f>MIN(N(Crédits!$E$6),J231+K231)</f>
        <v>0</v>
      </c>
      <c r="M231" s="90">
        <f t="shared" si="2"/>
        <v>0</v>
      </c>
      <c r="N231" s="91">
        <f>IF(Crédits!$K$6="",0,MAX(0,MIN(M231,Plan!$L$233-(IF(Crédits!$K$5="",0,IF(Crédits!$K$5&lt;Crédits!$K$6,E231,0))+IF(Crédits!$K$7="",0,IF(Crédits!$K$7&lt;Crédits!$K$6,U231,0))+IF(Crédits!$K$8="",0,IF(Crédits!$K$8&lt;Crédits!$K$6,AC231,0))+IF(Crédits!$K$9="",0,IF(Crédits!$K$9&lt;Crédits!$K$6,AK231,0))+IF(Crédits!$K$10="",0,IF(Crédits!$K$10&lt;Crédits!$K$6,AS231,0))))))</f>
        <v>0</v>
      </c>
      <c r="O231" s="92">
        <f t="shared" si="3"/>
        <v>0</v>
      </c>
      <c r="P231" s="88">
        <f>ROUND(P230+Q231-MIN(N(Crédits!$E$6),P230+Q231),2)</f>
        <v>0</v>
      </c>
      <c r="Q231" s="89">
        <f>P230*N(Crédits!$D$6)/12</f>
        <v>0</v>
      </c>
      <c r="R231" s="93">
        <f t="shared" si="18"/>
        <v>0</v>
      </c>
      <c r="S231" s="93">
        <f>R231*N(Crédits!$D$7)/12</f>
        <v>0</v>
      </c>
      <c r="T231" s="93">
        <f>MIN(N(Crédits!$E$7),R231+S231)</f>
        <v>0</v>
      </c>
      <c r="U231" s="93">
        <f t="shared" si="4"/>
        <v>0</v>
      </c>
      <c r="V231" s="94">
        <f>IF(Crédits!$K$7="",0,MAX(0,MIN(U231,Plan!$L$233-(IF(Crédits!$K$5="",0,IF(Crédits!$K$5&lt;Crédits!$K$7,E231,0))+IF(Crédits!$K$6="",0,IF(Crédits!$K$6&lt;Crédits!$K$7,M231,0))+IF(Crédits!$K$8="",0,IF(Crédits!$K$8&lt;Crédits!$K$7,AC231,0))+IF(Crédits!$K$9="",0,IF(Crédits!$K$9&lt;Crédits!$K$7,AK231,0))+IF(Crédits!$K$10="",0,IF(Crédits!$K$10&lt;Crédits!$K$7,AS231,0))))))</f>
        <v>0</v>
      </c>
      <c r="W231" s="95">
        <f t="shared" si="5"/>
        <v>0</v>
      </c>
      <c r="X231" s="88">
        <f>ROUND(X230+Y231-MIN(N(Crédits!$E$7),X230+Y231),2)</f>
        <v>0</v>
      </c>
      <c r="Y231" s="89">
        <f>X230*N(Crédits!$D$7)/12</f>
        <v>0</v>
      </c>
      <c r="Z231" s="96">
        <f t="shared" si="19"/>
        <v>0</v>
      </c>
      <c r="AA231" s="96">
        <f>Z231*N(Crédits!$D$8)/12</f>
        <v>0</v>
      </c>
      <c r="AB231" s="96">
        <f>MIN(N(Crédits!$E$8),Z231+AA231)</f>
        <v>0</v>
      </c>
      <c r="AC231" s="96">
        <f t="shared" si="6"/>
        <v>0</v>
      </c>
      <c r="AD231" s="97">
        <f>IF(Crédits!$K$8="",0,MAX(0,MIN(AC231,Plan!$L$233-(IF(Crédits!$K$5="",0,IF(Crédits!$K$5&lt;Crédits!$K$8,E231,0))+IF(Crédits!$K$6="",0,IF(Crédits!$K$6&lt;Crédits!$K$8,M231,0))+IF(Crédits!$K$7="",0,IF(Crédits!$K$7&lt;Crédits!$K$8,U231,0))+IF(Crédits!$K$9="",0,IF(Crédits!$K$9&lt;Crédits!$K$8,AK231,0))+IF(Crédits!$K$10="",0,IF(Crédits!$K$10&lt;Crédits!$K$8,AS231,0))))))</f>
        <v>0</v>
      </c>
      <c r="AE231" s="98">
        <f t="shared" si="7"/>
        <v>0</v>
      </c>
      <c r="AF231" s="88">
        <f>ROUND(AF230+AG231-MIN(N(Crédits!$E$8),AF230+AG231),2)</f>
        <v>0</v>
      </c>
      <c r="AG231" s="89">
        <f>AF230*N(Crédits!$D$8)/12</f>
        <v>0</v>
      </c>
      <c r="AH231" s="99">
        <f t="shared" si="20"/>
        <v>0</v>
      </c>
      <c r="AI231" s="99">
        <f>AH231*N(Crédits!$D$9)/12</f>
        <v>0</v>
      </c>
      <c r="AJ231" s="99">
        <f>MIN(N(Crédits!$E$9),AH231+AI231)</f>
        <v>0</v>
      </c>
      <c r="AK231" s="99">
        <f t="shared" si="8"/>
        <v>0</v>
      </c>
      <c r="AL231" s="100">
        <f>IF(Crédits!$K$9="",0,MAX(0,MIN(AK231,Plan!$L$233-(IF(Crédits!$K$5="",0,IF(Crédits!$K$5&lt;Crédits!$K$9,E231,0))+IF(Crédits!$K$6="",0,IF(Crédits!$K$6&lt;Crédits!$K$9,M231,0))+IF(Crédits!$K$7="",0,IF(Crédits!$K$7&lt;Crédits!$K$9,U231,0))+IF(Crédits!$K$8="",0,IF(Crédits!$K$8&lt;Crédits!$K$9,AC231,0))+IF(Crédits!$K$10="",0,IF(Crédits!$K$10&lt;Crédits!$K$9,AS231,0))))))</f>
        <v>0</v>
      </c>
      <c r="AM231" s="101">
        <f t="shared" si="9"/>
        <v>0</v>
      </c>
      <c r="AN231" s="88">
        <f>ROUND(AN230+AO231-MIN(N(Crédits!$E$9),AN230+AO231),2)</f>
        <v>0</v>
      </c>
      <c r="AO231" s="89">
        <f>AN230*N(Crédits!$D$9)/12</f>
        <v>0</v>
      </c>
      <c r="AP231" s="102">
        <f t="shared" si="21"/>
        <v>0</v>
      </c>
      <c r="AQ231" s="102">
        <f>AP231*N(Crédits!$D$10)/12</f>
        <v>0</v>
      </c>
      <c r="AR231" s="102">
        <f>MIN(N(Crédits!$E$10),AP231+AQ231)</f>
        <v>0</v>
      </c>
      <c r="AS231" s="102">
        <f t="shared" si="10"/>
        <v>0</v>
      </c>
      <c r="AT231" s="103">
        <f>IF(Crédits!$K$10="",0,MAX(0,MIN(AS231,Plan!$L$233-(IF(Crédits!$K$5="",0,IF(Crédits!$K$5&lt;Crédits!$K$10,E231,0))+IF(Crédits!$K$6="",0,IF(Crédits!$K$6&lt;Crédits!$K$10,M231,0))+IF(Crédits!$K$7="",0,IF(Crédits!$K$7&lt;Crédits!$K$10,U231,0))+IF(Crédits!$K$8="",0,IF(Crédits!$K$8&lt;Crédits!$K$10,AC231,0))+IF(Crédits!$K$9="",0,IF(Crédits!$K$9&lt;Crédits!$K$10,AK231,0))))))</f>
        <v>0</v>
      </c>
      <c r="AU231" s="104">
        <f t="shared" si="11"/>
        <v>0</v>
      </c>
      <c r="AV231" s="88">
        <f>ROUND(AV230+AW231-MIN(N(Crédits!$E$10),AV230+AW231),2)</f>
        <v>0</v>
      </c>
      <c r="AW231" s="89">
        <f>AV230*N(Crédits!$D$10)/12</f>
        <v>0</v>
      </c>
      <c r="AX231" s="105">
        <f t="shared" si="12"/>
        <v>0</v>
      </c>
      <c r="AY231" s="105">
        <f t="shared" ref="AY231:AZ231" si="249">F231+N231+V231+AD231+AL231+AT231</f>
        <v>0</v>
      </c>
      <c r="AZ231" s="105">
        <f t="shared" si="249"/>
        <v>0</v>
      </c>
      <c r="BA231" s="105">
        <f t="shared" si="14"/>
        <v>0</v>
      </c>
      <c r="BB231" s="105">
        <f t="shared" si="15"/>
        <v>0</v>
      </c>
    </row>
    <row r="232" spans="1:54" ht="15" customHeight="1" x14ac:dyDescent="0.25">
      <c r="A232" s="2">
        <v>230</v>
      </c>
      <c r="B232" s="83">
        <f t="shared" si="16"/>
        <v>0</v>
      </c>
      <c r="C232" s="83">
        <f>B232*N(Crédits!$D$5)/12</f>
        <v>0</v>
      </c>
      <c r="D232" s="83">
        <f>MIN(N(Crédits!$E$5),B232+C232)</f>
        <v>0</v>
      </c>
      <c r="E232" s="83">
        <f t="shared" si="0"/>
        <v>0</v>
      </c>
      <c r="F232" s="86">
        <f>IF(Crédits!$K$5="",0,MAX(0,MIN(E232,Plan!$L$234-(IF(Crédits!$K$6="",0,IF(Crédits!$K$6&lt;Crédits!$K$5,M232,0))+IF(Crédits!$K$7="",0,IF(Crédits!$K$7&lt;Crédits!$K$5,U232,0))+IF(Crédits!$K$8="",0,IF(Crédits!$K$8&lt;Crédits!$K$5,AC232,0))+IF(Crédits!$K$9="",0,IF(Crédits!$K$9&lt;Crédits!$K$5,AK232,0))+IF(Crédits!$K$10="",0,IF(Crédits!$K$10&lt;Crédits!$K$5,AS232,0))))))</f>
        <v>0</v>
      </c>
      <c r="G232" s="87">
        <f t="shared" si="1"/>
        <v>0</v>
      </c>
      <c r="H232" s="88">
        <f>ROUND(H231+I232-MIN(N(Crédits!$E$5),H231+I232),2)</f>
        <v>0</v>
      </c>
      <c r="I232" s="89">
        <f>H231*N(Crédits!$D$5)/12</f>
        <v>0</v>
      </c>
      <c r="J232" s="90">
        <f t="shared" si="17"/>
        <v>0</v>
      </c>
      <c r="K232" s="90">
        <f>J232*N(Crédits!$D$6)/12</f>
        <v>0</v>
      </c>
      <c r="L232" s="90">
        <f>MIN(N(Crédits!$E$6),J232+K232)</f>
        <v>0</v>
      </c>
      <c r="M232" s="90">
        <f t="shared" si="2"/>
        <v>0</v>
      </c>
      <c r="N232" s="91">
        <f>IF(Crédits!$K$6="",0,MAX(0,MIN(M232,Plan!$L$234-(IF(Crédits!$K$5="",0,IF(Crédits!$K$5&lt;Crédits!$K$6,E232,0))+IF(Crédits!$K$7="",0,IF(Crédits!$K$7&lt;Crédits!$K$6,U232,0))+IF(Crédits!$K$8="",0,IF(Crédits!$K$8&lt;Crédits!$K$6,AC232,0))+IF(Crédits!$K$9="",0,IF(Crédits!$K$9&lt;Crédits!$K$6,AK232,0))+IF(Crédits!$K$10="",0,IF(Crédits!$K$10&lt;Crédits!$K$6,AS232,0))))))</f>
        <v>0</v>
      </c>
      <c r="O232" s="92">
        <f t="shared" si="3"/>
        <v>0</v>
      </c>
      <c r="P232" s="88">
        <f>ROUND(P231+Q232-MIN(N(Crédits!$E$6),P231+Q232),2)</f>
        <v>0</v>
      </c>
      <c r="Q232" s="89">
        <f>P231*N(Crédits!$D$6)/12</f>
        <v>0</v>
      </c>
      <c r="R232" s="93">
        <f t="shared" si="18"/>
        <v>0</v>
      </c>
      <c r="S232" s="93">
        <f>R232*N(Crédits!$D$7)/12</f>
        <v>0</v>
      </c>
      <c r="T232" s="93">
        <f>MIN(N(Crédits!$E$7),R232+S232)</f>
        <v>0</v>
      </c>
      <c r="U232" s="93">
        <f t="shared" si="4"/>
        <v>0</v>
      </c>
      <c r="V232" s="94">
        <f>IF(Crédits!$K$7="",0,MAX(0,MIN(U232,Plan!$L$234-(IF(Crédits!$K$5="",0,IF(Crédits!$K$5&lt;Crédits!$K$7,E232,0))+IF(Crédits!$K$6="",0,IF(Crédits!$K$6&lt;Crédits!$K$7,M232,0))+IF(Crédits!$K$8="",0,IF(Crédits!$K$8&lt;Crédits!$K$7,AC232,0))+IF(Crédits!$K$9="",0,IF(Crédits!$K$9&lt;Crédits!$K$7,AK232,0))+IF(Crédits!$K$10="",0,IF(Crédits!$K$10&lt;Crédits!$K$7,AS232,0))))))</f>
        <v>0</v>
      </c>
      <c r="W232" s="95">
        <f t="shared" si="5"/>
        <v>0</v>
      </c>
      <c r="X232" s="88">
        <f>ROUND(X231+Y232-MIN(N(Crédits!$E$7),X231+Y232),2)</f>
        <v>0</v>
      </c>
      <c r="Y232" s="89">
        <f>X231*N(Crédits!$D$7)/12</f>
        <v>0</v>
      </c>
      <c r="Z232" s="96">
        <f t="shared" si="19"/>
        <v>0</v>
      </c>
      <c r="AA232" s="96">
        <f>Z232*N(Crédits!$D$8)/12</f>
        <v>0</v>
      </c>
      <c r="AB232" s="96">
        <f>MIN(N(Crédits!$E$8),Z232+AA232)</f>
        <v>0</v>
      </c>
      <c r="AC232" s="96">
        <f t="shared" si="6"/>
        <v>0</v>
      </c>
      <c r="AD232" s="97">
        <f>IF(Crédits!$K$8="",0,MAX(0,MIN(AC232,Plan!$L$234-(IF(Crédits!$K$5="",0,IF(Crédits!$K$5&lt;Crédits!$K$8,E232,0))+IF(Crédits!$K$6="",0,IF(Crédits!$K$6&lt;Crédits!$K$8,M232,0))+IF(Crédits!$K$7="",0,IF(Crédits!$K$7&lt;Crédits!$K$8,U232,0))+IF(Crédits!$K$9="",0,IF(Crédits!$K$9&lt;Crédits!$K$8,AK232,0))+IF(Crédits!$K$10="",0,IF(Crédits!$K$10&lt;Crédits!$K$8,AS232,0))))))</f>
        <v>0</v>
      </c>
      <c r="AE232" s="98">
        <f t="shared" si="7"/>
        <v>0</v>
      </c>
      <c r="AF232" s="88">
        <f>ROUND(AF231+AG232-MIN(N(Crédits!$E$8),AF231+AG232),2)</f>
        <v>0</v>
      </c>
      <c r="AG232" s="89">
        <f>AF231*N(Crédits!$D$8)/12</f>
        <v>0</v>
      </c>
      <c r="AH232" s="99">
        <f t="shared" si="20"/>
        <v>0</v>
      </c>
      <c r="AI232" s="99">
        <f>AH232*N(Crédits!$D$9)/12</f>
        <v>0</v>
      </c>
      <c r="AJ232" s="99">
        <f>MIN(N(Crédits!$E$9),AH232+AI232)</f>
        <v>0</v>
      </c>
      <c r="AK232" s="99">
        <f t="shared" si="8"/>
        <v>0</v>
      </c>
      <c r="AL232" s="100">
        <f>IF(Crédits!$K$9="",0,MAX(0,MIN(AK232,Plan!$L$234-(IF(Crédits!$K$5="",0,IF(Crédits!$K$5&lt;Crédits!$K$9,E232,0))+IF(Crédits!$K$6="",0,IF(Crédits!$K$6&lt;Crédits!$K$9,M232,0))+IF(Crédits!$K$7="",0,IF(Crédits!$K$7&lt;Crédits!$K$9,U232,0))+IF(Crédits!$K$8="",0,IF(Crédits!$K$8&lt;Crédits!$K$9,AC232,0))+IF(Crédits!$K$10="",0,IF(Crédits!$K$10&lt;Crédits!$K$9,AS232,0))))))</f>
        <v>0</v>
      </c>
      <c r="AM232" s="101">
        <f t="shared" si="9"/>
        <v>0</v>
      </c>
      <c r="AN232" s="88">
        <f>ROUND(AN231+AO232-MIN(N(Crédits!$E$9),AN231+AO232),2)</f>
        <v>0</v>
      </c>
      <c r="AO232" s="89">
        <f>AN231*N(Crédits!$D$9)/12</f>
        <v>0</v>
      </c>
      <c r="AP232" s="102">
        <f t="shared" si="21"/>
        <v>0</v>
      </c>
      <c r="AQ232" s="102">
        <f>AP232*N(Crédits!$D$10)/12</f>
        <v>0</v>
      </c>
      <c r="AR232" s="102">
        <f>MIN(N(Crédits!$E$10),AP232+AQ232)</f>
        <v>0</v>
      </c>
      <c r="AS232" s="102">
        <f t="shared" si="10"/>
        <v>0</v>
      </c>
      <c r="AT232" s="103">
        <f>IF(Crédits!$K$10="",0,MAX(0,MIN(AS232,Plan!$L$234-(IF(Crédits!$K$5="",0,IF(Crédits!$K$5&lt;Crédits!$K$10,E232,0))+IF(Crédits!$K$6="",0,IF(Crédits!$K$6&lt;Crédits!$K$10,M232,0))+IF(Crédits!$K$7="",0,IF(Crédits!$K$7&lt;Crédits!$K$10,U232,0))+IF(Crédits!$K$8="",0,IF(Crédits!$K$8&lt;Crédits!$K$10,AC232,0))+IF(Crédits!$K$9="",0,IF(Crédits!$K$9&lt;Crédits!$K$10,AK232,0))))))</f>
        <v>0</v>
      </c>
      <c r="AU232" s="104">
        <f t="shared" si="11"/>
        <v>0</v>
      </c>
      <c r="AV232" s="88">
        <f>ROUND(AV231+AW232-MIN(N(Crédits!$E$10),AV231+AW232),2)</f>
        <v>0</v>
      </c>
      <c r="AW232" s="89">
        <f>AV231*N(Crédits!$D$10)/12</f>
        <v>0</v>
      </c>
      <c r="AX232" s="105">
        <f t="shared" si="12"/>
        <v>0</v>
      </c>
      <c r="AY232" s="105">
        <f t="shared" ref="AY232:AZ232" si="250">F232+N232+V232+AD232+AL232+AT232</f>
        <v>0</v>
      </c>
      <c r="AZ232" s="105">
        <f t="shared" si="250"/>
        <v>0</v>
      </c>
      <c r="BA232" s="105">
        <f t="shared" si="14"/>
        <v>0</v>
      </c>
      <c r="BB232" s="105">
        <f t="shared" si="15"/>
        <v>0</v>
      </c>
    </row>
    <row r="233" spans="1:54" ht="15" customHeight="1" x14ac:dyDescent="0.25">
      <c r="A233" s="2">
        <v>231</v>
      </c>
      <c r="B233" s="83">
        <f t="shared" si="16"/>
        <v>0</v>
      </c>
      <c r="C233" s="83">
        <f>B233*N(Crédits!$D$5)/12</f>
        <v>0</v>
      </c>
      <c r="D233" s="83">
        <f>MIN(N(Crédits!$E$5),B233+C233)</f>
        <v>0</v>
      </c>
      <c r="E233" s="83">
        <f t="shared" si="0"/>
        <v>0</v>
      </c>
      <c r="F233" s="86">
        <f>IF(Crédits!$K$5="",0,MAX(0,MIN(E233,Plan!$L$235-(IF(Crédits!$K$6="",0,IF(Crédits!$K$6&lt;Crédits!$K$5,M233,0))+IF(Crédits!$K$7="",0,IF(Crédits!$K$7&lt;Crédits!$K$5,U233,0))+IF(Crédits!$K$8="",0,IF(Crédits!$K$8&lt;Crédits!$K$5,AC233,0))+IF(Crédits!$K$9="",0,IF(Crédits!$K$9&lt;Crédits!$K$5,AK233,0))+IF(Crédits!$K$10="",0,IF(Crédits!$K$10&lt;Crédits!$K$5,AS233,0))))))</f>
        <v>0</v>
      </c>
      <c r="G233" s="87">
        <f t="shared" si="1"/>
        <v>0</v>
      </c>
      <c r="H233" s="88">
        <f>ROUND(H232+I233-MIN(N(Crédits!$E$5),H232+I233),2)</f>
        <v>0</v>
      </c>
      <c r="I233" s="89">
        <f>H232*N(Crédits!$D$5)/12</f>
        <v>0</v>
      </c>
      <c r="J233" s="90">
        <f t="shared" si="17"/>
        <v>0</v>
      </c>
      <c r="K233" s="90">
        <f>J233*N(Crédits!$D$6)/12</f>
        <v>0</v>
      </c>
      <c r="L233" s="90">
        <f>MIN(N(Crédits!$E$6),J233+K233)</f>
        <v>0</v>
      </c>
      <c r="M233" s="90">
        <f t="shared" si="2"/>
        <v>0</v>
      </c>
      <c r="N233" s="91">
        <f>IF(Crédits!$K$6="",0,MAX(0,MIN(M233,Plan!$L$235-(IF(Crédits!$K$5="",0,IF(Crédits!$K$5&lt;Crédits!$K$6,E233,0))+IF(Crédits!$K$7="",0,IF(Crédits!$K$7&lt;Crédits!$K$6,U233,0))+IF(Crédits!$K$8="",0,IF(Crédits!$K$8&lt;Crédits!$K$6,AC233,0))+IF(Crédits!$K$9="",0,IF(Crédits!$K$9&lt;Crédits!$K$6,AK233,0))+IF(Crédits!$K$10="",0,IF(Crédits!$K$10&lt;Crédits!$K$6,AS233,0))))))</f>
        <v>0</v>
      </c>
      <c r="O233" s="92">
        <f t="shared" si="3"/>
        <v>0</v>
      </c>
      <c r="P233" s="88">
        <f>ROUND(P232+Q233-MIN(N(Crédits!$E$6),P232+Q233),2)</f>
        <v>0</v>
      </c>
      <c r="Q233" s="89">
        <f>P232*N(Crédits!$D$6)/12</f>
        <v>0</v>
      </c>
      <c r="R233" s="93">
        <f t="shared" si="18"/>
        <v>0</v>
      </c>
      <c r="S233" s="93">
        <f>R233*N(Crédits!$D$7)/12</f>
        <v>0</v>
      </c>
      <c r="T233" s="93">
        <f>MIN(N(Crédits!$E$7),R233+S233)</f>
        <v>0</v>
      </c>
      <c r="U233" s="93">
        <f t="shared" si="4"/>
        <v>0</v>
      </c>
      <c r="V233" s="94">
        <f>IF(Crédits!$K$7="",0,MAX(0,MIN(U233,Plan!$L$235-(IF(Crédits!$K$5="",0,IF(Crédits!$K$5&lt;Crédits!$K$7,E233,0))+IF(Crédits!$K$6="",0,IF(Crédits!$K$6&lt;Crédits!$K$7,M233,0))+IF(Crédits!$K$8="",0,IF(Crédits!$K$8&lt;Crédits!$K$7,AC233,0))+IF(Crédits!$K$9="",0,IF(Crédits!$K$9&lt;Crédits!$K$7,AK233,0))+IF(Crédits!$K$10="",0,IF(Crédits!$K$10&lt;Crédits!$K$7,AS233,0))))))</f>
        <v>0</v>
      </c>
      <c r="W233" s="95">
        <f t="shared" si="5"/>
        <v>0</v>
      </c>
      <c r="X233" s="88">
        <f>ROUND(X232+Y233-MIN(N(Crédits!$E$7),X232+Y233),2)</f>
        <v>0</v>
      </c>
      <c r="Y233" s="89">
        <f>X232*N(Crédits!$D$7)/12</f>
        <v>0</v>
      </c>
      <c r="Z233" s="96">
        <f t="shared" si="19"/>
        <v>0</v>
      </c>
      <c r="AA233" s="96">
        <f>Z233*N(Crédits!$D$8)/12</f>
        <v>0</v>
      </c>
      <c r="AB233" s="96">
        <f>MIN(N(Crédits!$E$8),Z233+AA233)</f>
        <v>0</v>
      </c>
      <c r="AC233" s="96">
        <f t="shared" si="6"/>
        <v>0</v>
      </c>
      <c r="AD233" s="97">
        <f>IF(Crédits!$K$8="",0,MAX(0,MIN(AC233,Plan!$L$235-(IF(Crédits!$K$5="",0,IF(Crédits!$K$5&lt;Crédits!$K$8,E233,0))+IF(Crédits!$K$6="",0,IF(Crédits!$K$6&lt;Crédits!$K$8,M233,0))+IF(Crédits!$K$7="",0,IF(Crédits!$K$7&lt;Crédits!$K$8,U233,0))+IF(Crédits!$K$9="",0,IF(Crédits!$K$9&lt;Crédits!$K$8,AK233,0))+IF(Crédits!$K$10="",0,IF(Crédits!$K$10&lt;Crédits!$K$8,AS233,0))))))</f>
        <v>0</v>
      </c>
      <c r="AE233" s="98">
        <f t="shared" si="7"/>
        <v>0</v>
      </c>
      <c r="AF233" s="88">
        <f>ROUND(AF232+AG233-MIN(N(Crédits!$E$8),AF232+AG233),2)</f>
        <v>0</v>
      </c>
      <c r="AG233" s="89">
        <f>AF232*N(Crédits!$D$8)/12</f>
        <v>0</v>
      </c>
      <c r="AH233" s="99">
        <f t="shared" si="20"/>
        <v>0</v>
      </c>
      <c r="AI233" s="99">
        <f>AH233*N(Crédits!$D$9)/12</f>
        <v>0</v>
      </c>
      <c r="AJ233" s="99">
        <f>MIN(N(Crédits!$E$9),AH233+AI233)</f>
        <v>0</v>
      </c>
      <c r="AK233" s="99">
        <f t="shared" si="8"/>
        <v>0</v>
      </c>
      <c r="AL233" s="100">
        <f>IF(Crédits!$K$9="",0,MAX(0,MIN(AK233,Plan!$L$235-(IF(Crédits!$K$5="",0,IF(Crédits!$K$5&lt;Crédits!$K$9,E233,0))+IF(Crédits!$K$6="",0,IF(Crédits!$K$6&lt;Crédits!$K$9,M233,0))+IF(Crédits!$K$7="",0,IF(Crédits!$K$7&lt;Crédits!$K$9,U233,0))+IF(Crédits!$K$8="",0,IF(Crédits!$K$8&lt;Crédits!$K$9,AC233,0))+IF(Crédits!$K$10="",0,IF(Crédits!$K$10&lt;Crédits!$K$9,AS233,0))))))</f>
        <v>0</v>
      </c>
      <c r="AM233" s="101">
        <f t="shared" si="9"/>
        <v>0</v>
      </c>
      <c r="AN233" s="88">
        <f>ROUND(AN232+AO233-MIN(N(Crédits!$E$9),AN232+AO233),2)</f>
        <v>0</v>
      </c>
      <c r="AO233" s="89">
        <f>AN232*N(Crédits!$D$9)/12</f>
        <v>0</v>
      </c>
      <c r="AP233" s="102">
        <f t="shared" si="21"/>
        <v>0</v>
      </c>
      <c r="AQ233" s="102">
        <f>AP233*N(Crédits!$D$10)/12</f>
        <v>0</v>
      </c>
      <c r="AR233" s="102">
        <f>MIN(N(Crédits!$E$10),AP233+AQ233)</f>
        <v>0</v>
      </c>
      <c r="AS233" s="102">
        <f t="shared" si="10"/>
        <v>0</v>
      </c>
      <c r="AT233" s="103">
        <f>IF(Crédits!$K$10="",0,MAX(0,MIN(AS233,Plan!$L$235-(IF(Crédits!$K$5="",0,IF(Crédits!$K$5&lt;Crédits!$K$10,E233,0))+IF(Crédits!$K$6="",0,IF(Crédits!$K$6&lt;Crédits!$K$10,M233,0))+IF(Crédits!$K$7="",0,IF(Crédits!$K$7&lt;Crédits!$K$10,U233,0))+IF(Crédits!$K$8="",0,IF(Crédits!$K$8&lt;Crédits!$K$10,AC233,0))+IF(Crédits!$K$9="",0,IF(Crédits!$K$9&lt;Crédits!$K$10,AK233,0))))))</f>
        <v>0</v>
      </c>
      <c r="AU233" s="104">
        <f t="shared" si="11"/>
        <v>0</v>
      </c>
      <c r="AV233" s="88">
        <f>ROUND(AV232+AW233-MIN(N(Crédits!$E$10),AV232+AW233),2)</f>
        <v>0</v>
      </c>
      <c r="AW233" s="89">
        <f>AV232*N(Crédits!$D$10)/12</f>
        <v>0</v>
      </c>
      <c r="AX233" s="105">
        <f t="shared" si="12"/>
        <v>0</v>
      </c>
      <c r="AY233" s="105">
        <f t="shared" ref="AY233:AZ233" si="251">F233+N233+V233+AD233+AL233+AT233</f>
        <v>0</v>
      </c>
      <c r="AZ233" s="105">
        <f t="shared" si="251"/>
        <v>0</v>
      </c>
      <c r="BA233" s="105">
        <f t="shared" si="14"/>
        <v>0</v>
      </c>
      <c r="BB233" s="105">
        <f t="shared" si="15"/>
        <v>0</v>
      </c>
    </row>
    <row r="234" spans="1:54" ht="15" customHeight="1" x14ac:dyDescent="0.25">
      <c r="A234" s="2">
        <v>232</v>
      </c>
      <c r="B234" s="83">
        <f t="shared" si="16"/>
        <v>0</v>
      </c>
      <c r="C234" s="83">
        <f>B234*N(Crédits!$D$5)/12</f>
        <v>0</v>
      </c>
      <c r="D234" s="83">
        <f>MIN(N(Crédits!$E$5),B234+C234)</f>
        <v>0</v>
      </c>
      <c r="E234" s="83">
        <f t="shared" si="0"/>
        <v>0</v>
      </c>
      <c r="F234" s="86">
        <f>IF(Crédits!$K$5="",0,MAX(0,MIN(E234,Plan!$L$236-(IF(Crédits!$K$6="",0,IF(Crédits!$K$6&lt;Crédits!$K$5,M234,0))+IF(Crédits!$K$7="",0,IF(Crédits!$K$7&lt;Crédits!$K$5,U234,0))+IF(Crédits!$K$8="",0,IF(Crédits!$K$8&lt;Crédits!$K$5,AC234,0))+IF(Crédits!$K$9="",0,IF(Crédits!$K$9&lt;Crédits!$K$5,AK234,0))+IF(Crédits!$K$10="",0,IF(Crédits!$K$10&lt;Crédits!$K$5,AS234,0))))))</f>
        <v>0</v>
      </c>
      <c r="G234" s="87">
        <f t="shared" si="1"/>
        <v>0</v>
      </c>
      <c r="H234" s="88">
        <f>ROUND(H233+I234-MIN(N(Crédits!$E$5),H233+I234),2)</f>
        <v>0</v>
      </c>
      <c r="I234" s="89">
        <f>H233*N(Crédits!$D$5)/12</f>
        <v>0</v>
      </c>
      <c r="J234" s="90">
        <f t="shared" si="17"/>
        <v>0</v>
      </c>
      <c r="K234" s="90">
        <f>J234*N(Crédits!$D$6)/12</f>
        <v>0</v>
      </c>
      <c r="L234" s="90">
        <f>MIN(N(Crédits!$E$6),J234+K234)</f>
        <v>0</v>
      </c>
      <c r="M234" s="90">
        <f t="shared" si="2"/>
        <v>0</v>
      </c>
      <c r="N234" s="91">
        <f>IF(Crédits!$K$6="",0,MAX(0,MIN(M234,Plan!$L$236-(IF(Crédits!$K$5="",0,IF(Crédits!$K$5&lt;Crédits!$K$6,E234,0))+IF(Crédits!$K$7="",0,IF(Crédits!$K$7&lt;Crédits!$K$6,U234,0))+IF(Crédits!$K$8="",0,IF(Crédits!$K$8&lt;Crédits!$K$6,AC234,0))+IF(Crédits!$K$9="",0,IF(Crédits!$K$9&lt;Crédits!$K$6,AK234,0))+IF(Crédits!$K$10="",0,IF(Crédits!$K$10&lt;Crédits!$K$6,AS234,0))))))</f>
        <v>0</v>
      </c>
      <c r="O234" s="92">
        <f t="shared" si="3"/>
        <v>0</v>
      </c>
      <c r="P234" s="88">
        <f>ROUND(P233+Q234-MIN(N(Crédits!$E$6),P233+Q234),2)</f>
        <v>0</v>
      </c>
      <c r="Q234" s="89">
        <f>P233*N(Crédits!$D$6)/12</f>
        <v>0</v>
      </c>
      <c r="R234" s="93">
        <f t="shared" si="18"/>
        <v>0</v>
      </c>
      <c r="S234" s="93">
        <f>R234*N(Crédits!$D$7)/12</f>
        <v>0</v>
      </c>
      <c r="T234" s="93">
        <f>MIN(N(Crédits!$E$7),R234+S234)</f>
        <v>0</v>
      </c>
      <c r="U234" s="93">
        <f t="shared" si="4"/>
        <v>0</v>
      </c>
      <c r="V234" s="94">
        <f>IF(Crédits!$K$7="",0,MAX(0,MIN(U234,Plan!$L$236-(IF(Crédits!$K$5="",0,IF(Crédits!$K$5&lt;Crédits!$K$7,E234,0))+IF(Crédits!$K$6="",0,IF(Crédits!$K$6&lt;Crédits!$K$7,M234,0))+IF(Crédits!$K$8="",0,IF(Crédits!$K$8&lt;Crédits!$K$7,AC234,0))+IF(Crédits!$K$9="",0,IF(Crédits!$K$9&lt;Crédits!$K$7,AK234,0))+IF(Crédits!$K$10="",0,IF(Crédits!$K$10&lt;Crédits!$K$7,AS234,0))))))</f>
        <v>0</v>
      </c>
      <c r="W234" s="95">
        <f t="shared" si="5"/>
        <v>0</v>
      </c>
      <c r="X234" s="88">
        <f>ROUND(X233+Y234-MIN(N(Crédits!$E$7),X233+Y234),2)</f>
        <v>0</v>
      </c>
      <c r="Y234" s="89">
        <f>X233*N(Crédits!$D$7)/12</f>
        <v>0</v>
      </c>
      <c r="Z234" s="96">
        <f t="shared" si="19"/>
        <v>0</v>
      </c>
      <c r="AA234" s="96">
        <f>Z234*N(Crédits!$D$8)/12</f>
        <v>0</v>
      </c>
      <c r="AB234" s="96">
        <f>MIN(N(Crédits!$E$8),Z234+AA234)</f>
        <v>0</v>
      </c>
      <c r="AC234" s="96">
        <f t="shared" si="6"/>
        <v>0</v>
      </c>
      <c r="AD234" s="97">
        <f>IF(Crédits!$K$8="",0,MAX(0,MIN(AC234,Plan!$L$236-(IF(Crédits!$K$5="",0,IF(Crédits!$K$5&lt;Crédits!$K$8,E234,0))+IF(Crédits!$K$6="",0,IF(Crédits!$K$6&lt;Crédits!$K$8,M234,0))+IF(Crédits!$K$7="",0,IF(Crédits!$K$7&lt;Crédits!$K$8,U234,0))+IF(Crédits!$K$9="",0,IF(Crédits!$K$9&lt;Crédits!$K$8,AK234,0))+IF(Crédits!$K$10="",0,IF(Crédits!$K$10&lt;Crédits!$K$8,AS234,0))))))</f>
        <v>0</v>
      </c>
      <c r="AE234" s="98">
        <f t="shared" si="7"/>
        <v>0</v>
      </c>
      <c r="AF234" s="88">
        <f>ROUND(AF233+AG234-MIN(N(Crédits!$E$8),AF233+AG234),2)</f>
        <v>0</v>
      </c>
      <c r="AG234" s="89">
        <f>AF233*N(Crédits!$D$8)/12</f>
        <v>0</v>
      </c>
      <c r="AH234" s="99">
        <f t="shared" si="20"/>
        <v>0</v>
      </c>
      <c r="AI234" s="99">
        <f>AH234*N(Crédits!$D$9)/12</f>
        <v>0</v>
      </c>
      <c r="AJ234" s="99">
        <f>MIN(N(Crédits!$E$9),AH234+AI234)</f>
        <v>0</v>
      </c>
      <c r="AK234" s="99">
        <f t="shared" si="8"/>
        <v>0</v>
      </c>
      <c r="AL234" s="100">
        <f>IF(Crédits!$K$9="",0,MAX(0,MIN(AK234,Plan!$L$236-(IF(Crédits!$K$5="",0,IF(Crédits!$K$5&lt;Crédits!$K$9,E234,0))+IF(Crédits!$K$6="",0,IF(Crédits!$K$6&lt;Crédits!$K$9,M234,0))+IF(Crédits!$K$7="",0,IF(Crédits!$K$7&lt;Crédits!$K$9,U234,0))+IF(Crédits!$K$8="",0,IF(Crédits!$K$8&lt;Crédits!$K$9,AC234,0))+IF(Crédits!$K$10="",0,IF(Crédits!$K$10&lt;Crédits!$K$9,AS234,0))))))</f>
        <v>0</v>
      </c>
      <c r="AM234" s="101">
        <f t="shared" si="9"/>
        <v>0</v>
      </c>
      <c r="AN234" s="88">
        <f>ROUND(AN233+AO234-MIN(N(Crédits!$E$9),AN233+AO234),2)</f>
        <v>0</v>
      </c>
      <c r="AO234" s="89">
        <f>AN233*N(Crédits!$D$9)/12</f>
        <v>0</v>
      </c>
      <c r="AP234" s="102">
        <f t="shared" si="21"/>
        <v>0</v>
      </c>
      <c r="AQ234" s="102">
        <f>AP234*N(Crédits!$D$10)/12</f>
        <v>0</v>
      </c>
      <c r="AR234" s="102">
        <f>MIN(N(Crédits!$E$10),AP234+AQ234)</f>
        <v>0</v>
      </c>
      <c r="AS234" s="102">
        <f t="shared" si="10"/>
        <v>0</v>
      </c>
      <c r="AT234" s="103">
        <f>IF(Crédits!$K$10="",0,MAX(0,MIN(AS234,Plan!$L$236-(IF(Crédits!$K$5="",0,IF(Crédits!$K$5&lt;Crédits!$K$10,E234,0))+IF(Crédits!$K$6="",0,IF(Crédits!$K$6&lt;Crédits!$K$10,M234,0))+IF(Crédits!$K$7="",0,IF(Crédits!$K$7&lt;Crédits!$K$10,U234,0))+IF(Crédits!$K$8="",0,IF(Crédits!$K$8&lt;Crédits!$K$10,AC234,0))+IF(Crédits!$K$9="",0,IF(Crédits!$K$9&lt;Crédits!$K$10,AK234,0))))))</f>
        <v>0</v>
      </c>
      <c r="AU234" s="104">
        <f t="shared" si="11"/>
        <v>0</v>
      </c>
      <c r="AV234" s="88">
        <f>ROUND(AV233+AW234-MIN(N(Crédits!$E$10),AV233+AW234),2)</f>
        <v>0</v>
      </c>
      <c r="AW234" s="89">
        <f>AV233*N(Crédits!$D$10)/12</f>
        <v>0</v>
      </c>
      <c r="AX234" s="105">
        <f t="shared" si="12"/>
        <v>0</v>
      </c>
      <c r="AY234" s="105">
        <f t="shared" ref="AY234:AZ234" si="252">F234+N234+V234+AD234+AL234+AT234</f>
        <v>0</v>
      </c>
      <c r="AZ234" s="105">
        <f t="shared" si="252"/>
        <v>0</v>
      </c>
      <c r="BA234" s="105">
        <f t="shared" si="14"/>
        <v>0</v>
      </c>
      <c r="BB234" s="105">
        <f t="shared" si="15"/>
        <v>0</v>
      </c>
    </row>
    <row r="235" spans="1:54" ht="15" customHeight="1" x14ac:dyDescent="0.25">
      <c r="A235" s="2">
        <v>233</v>
      </c>
      <c r="B235" s="83">
        <f t="shared" si="16"/>
        <v>0</v>
      </c>
      <c r="C235" s="83">
        <f>B235*N(Crédits!$D$5)/12</f>
        <v>0</v>
      </c>
      <c r="D235" s="83">
        <f>MIN(N(Crédits!$E$5),B235+C235)</f>
        <v>0</v>
      </c>
      <c r="E235" s="83">
        <f t="shared" si="0"/>
        <v>0</v>
      </c>
      <c r="F235" s="86">
        <f>IF(Crédits!$K$5="",0,MAX(0,MIN(E235,Plan!$L$237-(IF(Crédits!$K$6="",0,IF(Crédits!$K$6&lt;Crédits!$K$5,M235,0))+IF(Crédits!$K$7="",0,IF(Crédits!$K$7&lt;Crédits!$K$5,U235,0))+IF(Crédits!$K$8="",0,IF(Crédits!$K$8&lt;Crédits!$K$5,AC235,0))+IF(Crédits!$K$9="",0,IF(Crédits!$K$9&lt;Crédits!$K$5,AK235,0))+IF(Crédits!$K$10="",0,IF(Crédits!$K$10&lt;Crédits!$K$5,AS235,0))))))</f>
        <v>0</v>
      </c>
      <c r="G235" s="87">
        <f t="shared" si="1"/>
        <v>0</v>
      </c>
      <c r="H235" s="88">
        <f>ROUND(H234+I235-MIN(N(Crédits!$E$5),H234+I235),2)</f>
        <v>0</v>
      </c>
      <c r="I235" s="89">
        <f>H234*N(Crédits!$D$5)/12</f>
        <v>0</v>
      </c>
      <c r="J235" s="90">
        <f t="shared" si="17"/>
        <v>0</v>
      </c>
      <c r="K235" s="90">
        <f>J235*N(Crédits!$D$6)/12</f>
        <v>0</v>
      </c>
      <c r="L235" s="90">
        <f>MIN(N(Crédits!$E$6),J235+K235)</f>
        <v>0</v>
      </c>
      <c r="M235" s="90">
        <f t="shared" si="2"/>
        <v>0</v>
      </c>
      <c r="N235" s="91">
        <f>IF(Crédits!$K$6="",0,MAX(0,MIN(M235,Plan!$L$237-(IF(Crédits!$K$5="",0,IF(Crédits!$K$5&lt;Crédits!$K$6,E235,0))+IF(Crédits!$K$7="",0,IF(Crédits!$K$7&lt;Crédits!$K$6,U235,0))+IF(Crédits!$K$8="",0,IF(Crédits!$K$8&lt;Crédits!$K$6,AC235,0))+IF(Crédits!$K$9="",0,IF(Crédits!$K$9&lt;Crédits!$K$6,AK235,0))+IF(Crédits!$K$10="",0,IF(Crédits!$K$10&lt;Crédits!$K$6,AS235,0))))))</f>
        <v>0</v>
      </c>
      <c r="O235" s="92">
        <f t="shared" si="3"/>
        <v>0</v>
      </c>
      <c r="P235" s="88">
        <f>ROUND(P234+Q235-MIN(N(Crédits!$E$6),P234+Q235),2)</f>
        <v>0</v>
      </c>
      <c r="Q235" s="89">
        <f>P234*N(Crédits!$D$6)/12</f>
        <v>0</v>
      </c>
      <c r="R235" s="93">
        <f t="shared" si="18"/>
        <v>0</v>
      </c>
      <c r="S235" s="93">
        <f>R235*N(Crédits!$D$7)/12</f>
        <v>0</v>
      </c>
      <c r="T235" s="93">
        <f>MIN(N(Crédits!$E$7),R235+S235)</f>
        <v>0</v>
      </c>
      <c r="U235" s="93">
        <f t="shared" si="4"/>
        <v>0</v>
      </c>
      <c r="V235" s="94">
        <f>IF(Crédits!$K$7="",0,MAX(0,MIN(U235,Plan!$L$237-(IF(Crédits!$K$5="",0,IF(Crédits!$K$5&lt;Crédits!$K$7,E235,0))+IF(Crédits!$K$6="",0,IF(Crédits!$K$6&lt;Crédits!$K$7,M235,0))+IF(Crédits!$K$8="",0,IF(Crédits!$K$8&lt;Crédits!$K$7,AC235,0))+IF(Crédits!$K$9="",0,IF(Crédits!$K$9&lt;Crédits!$K$7,AK235,0))+IF(Crédits!$K$10="",0,IF(Crédits!$K$10&lt;Crédits!$K$7,AS235,0))))))</f>
        <v>0</v>
      </c>
      <c r="W235" s="95">
        <f t="shared" si="5"/>
        <v>0</v>
      </c>
      <c r="X235" s="88">
        <f>ROUND(X234+Y235-MIN(N(Crédits!$E$7),X234+Y235),2)</f>
        <v>0</v>
      </c>
      <c r="Y235" s="89">
        <f>X234*N(Crédits!$D$7)/12</f>
        <v>0</v>
      </c>
      <c r="Z235" s="96">
        <f t="shared" si="19"/>
        <v>0</v>
      </c>
      <c r="AA235" s="96">
        <f>Z235*N(Crédits!$D$8)/12</f>
        <v>0</v>
      </c>
      <c r="AB235" s="96">
        <f>MIN(N(Crédits!$E$8),Z235+AA235)</f>
        <v>0</v>
      </c>
      <c r="AC235" s="96">
        <f t="shared" si="6"/>
        <v>0</v>
      </c>
      <c r="AD235" s="97">
        <f>IF(Crédits!$K$8="",0,MAX(0,MIN(AC235,Plan!$L$237-(IF(Crédits!$K$5="",0,IF(Crédits!$K$5&lt;Crédits!$K$8,E235,0))+IF(Crédits!$K$6="",0,IF(Crédits!$K$6&lt;Crédits!$K$8,M235,0))+IF(Crédits!$K$7="",0,IF(Crédits!$K$7&lt;Crédits!$K$8,U235,0))+IF(Crédits!$K$9="",0,IF(Crédits!$K$9&lt;Crédits!$K$8,AK235,0))+IF(Crédits!$K$10="",0,IF(Crédits!$K$10&lt;Crédits!$K$8,AS235,0))))))</f>
        <v>0</v>
      </c>
      <c r="AE235" s="98">
        <f t="shared" si="7"/>
        <v>0</v>
      </c>
      <c r="AF235" s="88">
        <f>ROUND(AF234+AG235-MIN(N(Crédits!$E$8),AF234+AG235),2)</f>
        <v>0</v>
      </c>
      <c r="AG235" s="89">
        <f>AF234*N(Crédits!$D$8)/12</f>
        <v>0</v>
      </c>
      <c r="AH235" s="99">
        <f t="shared" si="20"/>
        <v>0</v>
      </c>
      <c r="AI235" s="99">
        <f>AH235*N(Crédits!$D$9)/12</f>
        <v>0</v>
      </c>
      <c r="AJ235" s="99">
        <f>MIN(N(Crédits!$E$9),AH235+AI235)</f>
        <v>0</v>
      </c>
      <c r="AK235" s="99">
        <f t="shared" si="8"/>
        <v>0</v>
      </c>
      <c r="AL235" s="100">
        <f>IF(Crédits!$K$9="",0,MAX(0,MIN(AK235,Plan!$L$237-(IF(Crédits!$K$5="",0,IF(Crédits!$K$5&lt;Crédits!$K$9,E235,0))+IF(Crédits!$K$6="",0,IF(Crédits!$K$6&lt;Crédits!$K$9,M235,0))+IF(Crédits!$K$7="",0,IF(Crédits!$K$7&lt;Crédits!$K$9,U235,0))+IF(Crédits!$K$8="",0,IF(Crédits!$K$8&lt;Crédits!$K$9,AC235,0))+IF(Crédits!$K$10="",0,IF(Crédits!$K$10&lt;Crédits!$K$9,AS235,0))))))</f>
        <v>0</v>
      </c>
      <c r="AM235" s="101">
        <f t="shared" si="9"/>
        <v>0</v>
      </c>
      <c r="AN235" s="88">
        <f>ROUND(AN234+AO235-MIN(N(Crédits!$E$9),AN234+AO235),2)</f>
        <v>0</v>
      </c>
      <c r="AO235" s="89">
        <f>AN234*N(Crédits!$D$9)/12</f>
        <v>0</v>
      </c>
      <c r="AP235" s="102">
        <f t="shared" si="21"/>
        <v>0</v>
      </c>
      <c r="AQ235" s="102">
        <f>AP235*N(Crédits!$D$10)/12</f>
        <v>0</v>
      </c>
      <c r="AR235" s="102">
        <f>MIN(N(Crédits!$E$10),AP235+AQ235)</f>
        <v>0</v>
      </c>
      <c r="AS235" s="102">
        <f t="shared" si="10"/>
        <v>0</v>
      </c>
      <c r="AT235" s="103">
        <f>IF(Crédits!$K$10="",0,MAX(0,MIN(AS235,Plan!$L$237-(IF(Crédits!$K$5="",0,IF(Crédits!$K$5&lt;Crédits!$K$10,E235,0))+IF(Crédits!$K$6="",0,IF(Crédits!$K$6&lt;Crédits!$K$10,M235,0))+IF(Crédits!$K$7="",0,IF(Crédits!$K$7&lt;Crédits!$K$10,U235,0))+IF(Crédits!$K$8="",0,IF(Crédits!$K$8&lt;Crédits!$K$10,AC235,0))+IF(Crédits!$K$9="",0,IF(Crédits!$K$9&lt;Crédits!$K$10,AK235,0))))))</f>
        <v>0</v>
      </c>
      <c r="AU235" s="104">
        <f t="shared" si="11"/>
        <v>0</v>
      </c>
      <c r="AV235" s="88">
        <f>ROUND(AV234+AW235-MIN(N(Crédits!$E$10),AV234+AW235),2)</f>
        <v>0</v>
      </c>
      <c r="AW235" s="89">
        <f>AV234*N(Crédits!$D$10)/12</f>
        <v>0</v>
      </c>
      <c r="AX235" s="105">
        <f t="shared" si="12"/>
        <v>0</v>
      </c>
      <c r="AY235" s="105">
        <f t="shared" ref="AY235:AZ235" si="253">F235+N235+V235+AD235+AL235+AT235</f>
        <v>0</v>
      </c>
      <c r="AZ235" s="105">
        <f t="shared" si="253"/>
        <v>0</v>
      </c>
      <c r="BA235" s="105">
        <f t="shared" si="14"/>
        <v>0</v>
      </c>
      <c r="BB235" s="105">
        <f t="shared" si="15"/>
        <v>0</v>
      </c>
    </row>
    <row r="236" spans="1:54" ht="15" customHeight="1" x14ac:dyDescent="0.25">
      <c r="A236" s="2">
        <v>234</v>
      </c>
      <c r="B236" s="83">
        <f t="shared" si="16"/>
        <v>0</v>
      </c>
      <c r="C236" s="83">
        <f>B236*N(Crédits!$D$5)/12</f>
        <v>0</v>
      </c>
      <c r="D236" s="83">
        <f>MIN(N(Crédits!$E$5),B236+C236)</f>
        <v>0</v>
      </c>
      <c r="E236" s="83">
        <f t="shared" si="0"/>
        <v>0</v>
      </c>
      <c r="F236" s="86">
        <f>IF(Crédits!$K$5="",0,MAX(0,MIN(E236,Plan!$L$238-(IF(Crédits!$K$6="",0,IF(Crédits!$K$6&lt;Crédits!$K$5,M236,0))+IF(Crédits!$K$7="",0,IF(Crédits!$K$7&lt;Crédits!$K$5,U236,0))+IF(Crédits!$K$8="",0,IF(Crédits!$K$8&lt;Crédits!$K$5,AC236,0))+IF(Crédits!$K$9="",0,IF(Crédits!$K$9&lt;Crédits!$K$5,AK236,0))+IF(Crédits!$K$10="",0,IF(Crédits!$K$10&lt;Crédits!$K$5,AS236,0))))))</f>
        <v>0</v>
      </c>
      <c r="G236" s="87">
        <f t="shared" si="1"/>
        <v>0</v>
      </c>
      <c r="H236" s="88">
        <f>ROUND(H235+I236-MIN(N(Crédits!$E$5),H235+I236),2)</f>
        <v>0</v>
      </c>
      <c r="I236" s="89">
        <f>H235*N(Crédits!$D$5)/12</f>
        <v>0</v>
      </c>
      <c r="J236" s="90">
        <f t="shared" si="17"/>
        <v>0</v>
      </c>
      <c r="K236" s="90">
        <f>J236*N(Crédits!$D$6)/12</f>
        <v>0</v>
      </c>
      <c r="L236" s="90">
        <f>MIN(N(Crédits!$E$6),J236+K236)</f>
        <v>0</v>
      </c>
      <c r="M236" s="90">
        <f t="shared" si="2"/>
        <v>0</v>
      </c>
      <c r="N236" s="91">
        <f>IF(Crédits!$K$6="",0,MAX(0,MIN(M236,Plan!$L$238-(IF(Crédits!$K$5="",0,IF(Crédits!$K$5&lt;Crédits!$K$6,E236,0))+IF(Crédits!$K$7="",0,IF(Crédits!$K$7&lt;Crédits!$K$6,U236,0))+IF(Crédits!$K$8="",0,IF(Crédits!$K$8&lt;Crédits!$K$6,AC236,0))+IF(Crédits!$K$9="",0,IF(Crédits!$K$9&lt;Crédits!$K$6,AK236,0))+IF(Crédits!$K$10="",0,IF(Crédits!$K$10&lt;Crédits!$K$6,AS236,0))))))</f>
        <v>0</v>
      </c>
      <c r="O236" s="92">
        <f t="shared" si="3"/>
        <v>0</v>
      </c>
      <c r="P236" s="88">
        <f>ROUND(P235+Q236-MIN(N(Crédits!$E$6),P235+Q236),2)</f>
        <v>0</v>
      </c>
      <c r="Q236" s="89">
        <f>P235*N(Crédits!$D$6)/12</f>
        <v>0</v>
      </c>
      <c r="R236" s="93">
        <f t="shared" si="18"/>
        <v>0</v>
      </c>
      <c r="S236" s="93">
        <f>R236*N(Crédits!$D$7)/12</f>
        <v>0</v>
      </c>
      <c r="T236" s="93">
        <f>MIN(N(Crédits!$E$7),R236+S236)</f>
        <v>0</v>
      </c>
      <c r="U236" s="93">
        <f t="shared" si="4"/>
        <v>0</v>
      </c>
      <c r="V236" s="94">
        <f>IF(Crédits!$K$7="",0,MAX(0,MIN(U236,Plan!$L$238-(IF(Crédits!$K$5="",0,IF(Crédits!$K$5&lt;Crédits!$K$7,E236,0))+IF(Crédits!$K$6="",0,IF(Crédits!$K$6&lt;Crédits!$K$7,M236,0))+IF(Crédits!$K$8="",0,IF(Crédits!$K$8&lt;Crédits!$K$7,AC236,0))+IF(Crédits!$K$9="",0,IF(Crédits!$K$9&lt;Crédits!$K$7,AK236,0))+IF(Crédits!$K$10="",0,IF(Crédits!$K$10&lt;Crédits!$K$7,AS236,0))))))</f>
        <v>0</v>
      </c>
      <c r="W236" s="95">
        <f t="shared" si="5"/>
        <v>0</v>
      </c>
      <c r="X236" s="88">
        <f>ROUND(X235+Y236-MIN(N(Crédits!$E$7),X235+Y236),2)</f>
        <v>0</v>
      </c>
      <c r="Y236" s="89">
        <f>X235*N(Crédits!$D$7)/12</f>
        <v>0</v>
      </c>
      <c r="Z236" s="96">
        <f t="shared" si="19"/>
        <v>0</v>
      </c>
      <c r="AA236" s="96">
        <f>Z236*N(Crédits!$D$8)/12</f>
        <v>0</v>
      </c>
      <c r="AB236" s="96">
        <f>MIN(N(Crédits!$E$8),Z236+AA236)</f>
        <v>0</v>
      </c>
      <c r="AC236" s="96">
        <f t="shared" si="6"/>
        <v>0</v>
      </c>
      <c r="AD236" s="97">
        <f>IF(Crédits!$K$8="",0,MAX(0,MIN(AC236,Plan!$L$238-(IF(Crédits!$K$5="",0,IF(Crédits!$K$5&lt;Crédits!$K$8,E236,0))+IF(Crédits!$K$6="",0,IF(Crédits!$K$6&lt;Crédits!$K$8,M236,0))+IF(Crédits!$K$7="",0,IF(Crédits!$K$7&lt;Crédits!$K$8,U236,0))+IF(Crédits!$K$9="",0,IF(Crédits!$K$9&lt;Crédits!$K$8,AK236,0))+IF(Crédits!$K$10="",0,IF(Crédits!$K$10&lt;Crédits!$K$8,AS236,0))))))</f>
        <v>0</v>
      </c>
      <c r="AE236" s="98">
        <f t="shared" si="7"/>
        <v>0</v>
      </c>
      <c r="AF236" s="88">
        <f>ROUND(AF235+AG236-MIN(N(Crédits!$E$8),AF235+AG236),2)</f>
        <v>0</v>
      </c>
      <c r="AG236" s="89">
        <f>AF235*N(Crédits!$D$8)/12</f>
        <v>0</v>
      </c>
      <c r="AH236" s="99">
        <f t="shared" si="20"/>
        <v>0</v>
      </c>
      <c r="AI236" s="99">
        <f>AH236*N(Crédits!$D$9)/12</f>
        <v>0</v>
      </c>
      <c r="AJ236" s="99">
        <f>MIN(N(Crédits!$E$9),AH236+AI236)</f>
        <v>0</v>
      </c>
      <c r="AK236" s="99">
        <f t="shared" si="8"/>
        <v>0</v>
      </c>
      <c r="AL236" s="100">
        <f>IF(Crédits!$K$9="",0,MAX(0,MIN(AK236,Plan!$L$238-(IF(Crédits!$K$5="",0,IF(Crédits!$K$5&lt;Crédits!$K$9,E236,0))+IF(Crédits!$K$6="",0,IF(Crédits!$K$6&lt;Crédits!$K$9,M236,0))+IF(Crédits!$K$7="",0,IF(Crédits!$K$7&lt;Crédits!$K$9,U236,0))+IF(Crédits!$K$8="",0,IF(Crédits!$K$8&lt;Crédits!$K$9,AC236,0))+IF(Crédits!$K$10="",0,IF(Crédits!$K$10&lt;Crédits!$K$9,AS236,0))))))</f>
        <v>0</v>
      </c>
      <c r="AM236" s="101">
        <f t="shared" si="9"/>
        <v>0</v>
      </c>
      <c r="AN236" s="88">
        <f>ROUND(AN235+AO236-MIN(N(Crédits!$E$9),AN235+AO236),2)</f>
        <v>0</v>
      </c>
      <c r="AO236" s="89">
        <f>AN235*N(Crédits!$D$9)/12</f>
        <v>0</v>
      </c>
      <c r="AP236" s="102">
        <f t="shared" si="21"/>
        <v>0</v>
      </c>
      <c r="AQ236" s="102">
        <f>AP236*N(Crédits!$D$10)/12</f>
        <v>0</v>
      </c>
      <c r="AR236" s="102">
        <f>MIN(N(Crédits!$E$10),AP236+AQ236)</f>
        <v>0</v>
      </c>
      <c r="AS236" s="102">
        <f t="shared" si="10"/>
        <v>0</v>
      </c>
      <c r="AT236" s="103">
        <f>IF(Crédits!$K$10="",0,MAX(0,MIN(AS236,Plan!$L$238-(IF(Crédits!$K$5="",0,IF(Crédits!$K$5&lt;Crédits!$K$10,E236,0))+IF(Crédits!$K$6="",0,IF(Crédits!$K$6&lt;Crédits!$K$10,M236,0))+IF(Crédits!$K$7="",0,IF(Crédits!$K$7&lt;Crédits!$K$10,U236,0))+IF(Crédits!$K$8="",0,IF(Crédits!$K$8&lt;Crédits!$K$10,AC236,0))+IF(Crédits!$K$9="",0,IF(Crédits!$K$9&lt;Crédits!$K$10,AK236,0))))))</f>
        <v>0</v>
      </c>
      <c r="AU236" s="104">
        <f t="shared" si="11"/>
        <v>0</v>
      </c>
      <c r="AV236" s="88">
        <f>ROUND(AV235+AW236-MIN(N(Crédits!$E$10),AV235+AW236),2)</f>
        <v>0</v>
      </c>
      <c r="AW236" s="89">
        <f>AV235*N(Crédits!$D$10)/12</f>
        <v>0</v>
      </c>
      <c r="AX236" s="105">
        <f t="shared" si="12"/>
        <v>0</v>
      </c>
      <c r="AY236" s="105">
        <f t="shared" ref="AY236:AZ236" si="254">F236+N236+V236+AD236+AL236+AT236</f>
        <v>0</v>
      </c>
      <c r="AZ236" s="105">
        <f t="shared" si="254"/>
        <v>0</v>
      </c>
      <c r="BA236" s="105">
        <f t="shared" si="14"/>
        <v>0</v>
      </c>
      <c r="BB236" s="105">
        <f t="shared" si="15"/>
        <v>0</v>
      </c>
    </row>
    <row r="237" spans="1:54" ht="15" customHeight="1" x14ac:dyDescent="0.25">
      <c r="A237" s="2">
        <v>235</v>
      </c>
      <c r="B237" s="83">
        <f t="shared" si="16"/>
        <v>0</v>
      </c>
      <c r="C237" s="83">
        <f>B237*N(Crédits!$D$5)/12</f>
        <v>0</v>
      </c>
      <c r="D237" s="83">
        <f>MIN(N(Crédits!$E$5),B237+C237)</f>
        <v>0</v>
      </c>
      <c r="E237" s="83">
        <f t="shared" si="0"/>
        <v>0</v>
      </c>
      <c r="F237" s="86">
        <f>IF(Crédits!$K$5="",0,MAX(0,MIN(E237,Plan!$L$239-(IF(Crédits!$K$6="",0,IF(Crédits!$K$6&lt;Crédits!$K$5,M237,0))+IF(Crédits!$K$7="",0,IF(Crédits!$K$7&lt;Crédits!$K$5,U237,0))+IF(Crédits!$K$8="",0,IF(Crédits!$K$8&lt;Crédits!$K$5,AC237,0))+IF(Crédits!$K$9="",0,IF(Crédits!$K$9&lt;Crédits!$K$5,AK237,0))+IF(Crédits!$K$10="",0,IF(Crédits!$K$10&lt;Crédits!$K$5,AS237,0))))))</f>
        <v>0</v>
      </c>
      <c r="G237" s="87">
        <f t="shared" si="1"/>
        <v>0</v>
      </c>
      <c r="H237" s="88">
        <f>ROUND(H236+I237-MIN(N(Crédits!$E$5),H236+I237),2)</f>
        <v>0</v>
      </c>
      <c r="I237" s="89">
        <f>H236*N(Crédits!$D$5)/12</f>
        <v>0</v>
      </c>
      <c r="J237" s="90">
        <f t="shared" si="17"/>
        <v>0</v>
      </c>
      <c r="K237" s="90">
        <f>J237*N(Crédits!$D$6)/12</f>
        <v>0</v>
      </c>
      <c r="L237" s="90">
        <f>MIN(N(Crédits!$E$6),J237+K237)</f>
        <v>0</v>
      </c>
      <c r="M237" s="90">
        <f t="shared" si="2"/>
        <v>0</v>
      </c>
      <c r="N237" s="91">
        <f>IF(Crédits!$K$6="",0,MAX(0,MIN(M237,Plan!$L$239-(IF(Crédits!$K$5="",0,IF(Crédits!$K$5&lt;Crédits!$K$6,E237,0))+IF(Crédits!$K$7="",0,IF(Crédits!$K$7&lt;Crédits!$K$6,U237,0))+IF(Crédits!$K$8="",0,IF(Crédits!$K$8&lt;Crédits!$K$6,AC237,0))+IF(Crédits!$K$9="",0,IF(Crédits!$K$9&lt;Crédits!$K$6,AK237,0))+IF(Crédits!$K$10="",0,IF(Crédits!$K$10&lt;Crédits!$K$6,AS237,0))))))</f>
        <v>0</v>
      </c>
      <c r="O237" s="92">
        <f t="shared" si="3"/>
        <v>0</v>
      </c>
      <c r="P237" s="88">
        <f>ROUND(P236+Q237-MIN(N(Crédits!$E$6),P236+Q237),2)</f>
        <v>0</v>
      </c>
      <c r="Q237" s="89">
        <f>P236*N(Crédits!$D$6)/12</f>
        <v>0</v>
      </c>
      <c r="R237" s="93">
        <f t="shared" si="18"/>
        <v>0</v>
      </c>
      <c r="S237" s="93">
        <f>R237*N(Crédits!$D$7)/12</f>
        <v>0</v>
      </c>
      <c r="T237" s="93">
        <f>MIN(N(Crédits!$E$7),R237+S237)</f>
        <v>0</v>
      </c>
      <c r="U237" s="93">
        <f t="shared" si="4"/>
        <v>0</v>
      </c>
      <c r="V237" s="94">
        <f>IF(Crédits!$K$7="",0,MAX(0,MIN(U237,Plan!$L$239-(IF(Crédits!$K$5="",0,IF(Crédits!$K$5&lt;Crédits!$K$7,E237,0))+IF(Crédits!$K$6="",0,IF(Crédits!$K$6&lt;Crédits!$K$7,M237,0))+IF(Crédits!$K$8="",0,IF(Crédits!$K$8&lt;Crédits!$K$7,AC237,0))+IF(Crédits!$K$9="",0,IF(Crédits!$K$9&lt;Crédits!$K$7,AK237,0))+IF(Crédits!$K$10="",0,IF(Crédits!$K$10&lt;Crédits!$K$7,AS237,0))))))</f>
        <v>0</v>
      </c>
      <c r="W237" s="95">
        <f t="shared" si="5"/>
        <v>0</v>
      </c>
      <c r="X237" s="88">
        <f>ROUND(X236+Y237-MIN(N(Crédits!$E$7),X236+Y237),2)</f>
        <v>0</v>
      </c>
      <c r="Y237" s="89">
        <f>X236*N(Crédits!$D$7)/12</f>
        <v>0</v>
      </c>
      <c r="Z237" s="96">
        <f t="shared" si="19"/>
        <v>0</v>
      </c>
      <c r="AA237" s="96">
        <f>Z237*N(Crédits!$D$8)/12</f>
        <v>0</v>
      </c>
      <c r="AB237" s="96">
        <f>MIN(N(Crédits!$E$8),Z237+AA237)</f>
        <v>0</v>
      </c>
      <c r="AC237" s="96">
        <f t="shared" si="6"/>
        <v>0</v>
      </c>
      <c r="AD237" s="97">
        <f>IF(Crédits!$K$8="",0,MAX(0,MIN(AC237,Plan!$L$239-(IF(Crédits!$K$5="",0,IF(Crédits!$K$5&lt;Crédits!$K$8,E237,0))+IF(Crédits!$K$6="",0,IF(Crédits!$K$6&lt;Crédits!$K$8,M237,0))+IF(Crédits!$K$7="",0,IF(Crédits!$K$7&lt;Crédits!$K$8,U237,0))+IF(Crédits!$K$9="",0,IF(Crédits!$K$9&lt;Crédits!$K$8,AK237,0))+IF(Crédits!$K$10="",0,IF(Crédits!$K$10&lt;Crédits!$K$8,AS237,0))))))</f>
        <v>0</v>
      </c>
      <c r="AE237" s="98">
        <f t="shared" si="7"/>
        <v>0</v>
      </c>
      <c r="AF237" s="88">
        <f>ROUND(AF236+AG237-MIN(N(Crédits!$E$8),AF236+AG237),2)</f>
        <v>0</v>
      </c>
      <c r="AG237" s="89">
        <f>AF236*N(Crédits!$D$8)/12</f>
        <v>0</v>
      </c>
      <c r="AH237" s="99">
        <f t="shared" si="20"/>
        <v>0</v>
      </c>
      <c r="AI237" s="99">
        <f>AH237*N(Crédits!$D$9)/12</f>
        <v>0</v>
      </c>
      <c r="AJ237" s="99">
        <f>MIN(N(Crédits!$E$9),AH237+AI237)</f>
        <v>0</v>
      </c>
      <c r="AK237" s="99">
        <f t="shared" si="8"/>
        <v>0</v>
      </c>
      <c r="AL237" s="100">
        <f>IF(Crédits!$K$9="",0,MAX(0,MIN(AK237,Plan!$L$239-(IF(Crédits!$K$5="",0,IF(Crédits!$K$5&lt;Crédits!$K$9,E237,0))+IF(Crédits!$K$6="",0,IF(Crédits!$K$6&lt;Crédits!$K$9,M237,0))+IF(Crédits!$K$7="",0,IF(Crédits!$K$7&lt;Crédits!$K$9,U237,0))+IF(Crédits!$K$8="",0,IF(Crédits!$K$8&lt;Crédits!$K$9,AC237,0))+IF(Crédits!$K$10="",0,IF(Crédits!$K$10&lt;Crédits!$K$9,AS237,0))))))</f>
        <v>0</v>
      </c>
      <c r="AM237" s="101">
        <f t="shared" si="9"/>
        <v>0</v>
      </c>
      <c r="AN237" s="88">
        <f>ROUND(AN236+AO237-MIN(N(Crédits!$E$9),AN236+AO237),2)</f>
        <v>0</v>
      </c>
      <c r="AO237" s="89">
        <f>AN236*N(Crédits!$D$9)/12</f>
        <v>0</v>
      </c>
      <c r="AP237" s="102">
        <f t="shared" si="21"/>
        <v>0</v>
      </c>
      <c r="AQ237" s="102">
        <f>AP237*N(Crédits!$D$10)/12</f>
        <v>0</v>
      </c>
      <c r="AR237" s="102">
        <f>MIN(N(Crédits!$E$10),AP237+AQ237)</f>
        <v>0</v>
      </c>
      <c r="AS237" s="102">
        <f t="shared" si="10"/>
        <v>0</v>
      </c>
      <c r="AT237" s="103">
        <f>IF(Crédits!$K$10="",0,MAX(0,MIN(AS237,Plan!$L$239-(IF(Crédits!$K$5="",0,IF(Crédits!$K$5&lt;Crédits!$K$10,E237,0))+IF(Crédits!$K$6="",0,IF(Crédits!$K$6&lt;Crédits!$K$10,M237,0))+IF(Crédits!$K$7="",0,IF(Crédits!$K$7&lt;Crédits!$K$10,U237,0))+IF(Crédits!$K$8="",0,IF(Crédits!$K$8&lt;Crédits!$K$10,AC237,0))+IF(Crédits!$K$9="",0,IF(Crédits!$K$9&lt;Crédits!$K$10,AK237,0))))))</f>
        <v>0</v>
      </c>
      <c r="AU237" s="104">
        <f t="shared" si="11"/>
        <v>0</v>
      </c>
      <c r="AV237" s="88">
        <f>ROUND(AV236+AW237-MIN(N(Crédits!$E$10),AV236+AW237),2)</f>
        <v>0</v>
      </c>
      <c r="AW237" s="89">
        <f>AV236*N(Crédits!$D$10)/12</f>
        <v>0</v>
      </c>
      <c r="AX237" s="105">
        <f t="shared" si="12"/>
        <v>0</v>
      </c>
      <c r="AY237" s="105">
        <f t="shared" ref="AY237:AZ237" si="255">F237+N237+V237+AD237+AL237+AT237</f>
        <v>0</v>
      </c>
      <c r="AZ237" s="105">
        <f t="shared" si="255"/>
        <v>0</v>
      </c>
      <c r="BA237" s="105">
        <f t="shared" si="14"/>
        <v>0</v>
      </c>
      <c r="BB237" s="105">
        <f t="shared" si="15"/>
        <v>0</v>
      </c>
    </row>
    <row r="238" spans="1:54" ht="15" customHeight="1" x14ac:dyDescent="0.25">
      <c r="A238" s="2">
        <v>236</v>
      </c>
      <c r="B238" s="83">
        <f t="shared" si="16"/>
        <v>0</v>
      </c>
      <c r="C238" s="83">
        <f>B238*N(Crédits!$D$5)/12</f>
        <v>0</v>
      </c>
      <c r="D238" s="83">
        <f>MIN(N(Crédits!$E$5),B238+C238)</f>
        <v>0</v>
      </c>
      <c r="E238" s="83">
        <f t="shared" si="0"/>
        <v>0</v>
      </c>
      <c r="F238" s="86">
        <f>IF(Crédits!$K$5="",0,MAX(0,MIN(E238,Plan!$L$240-(IF(Crédits!$K$6="",0,IF(Crédits!$K$6&lt;Crédits!$K$5,M238,0))+IF(Crédits!$K$7="",0,IF(Crédits!$K$7&lt;Crédits!$K$5,U238,0))+IF(Crédits!$K$8="",0,IF(Crédits!$K$8&lt;Crédits!$K$5,AC238,0))+IF(Crédits!$K$9="",0,IF(Crédits!$K$9&lt;Crédits!$K$5,AK238,0))+IF(Crédits!$K$10="",0,IF(Crédits!$K$10&lt;Crédits!$K$5,AS238,0))))))</f>
        <v>0</v>
      </c>
      <c r="G238" s="87">
        <f t="shared" si="1"/>
        <v>0</v>
      </c>
      <c r="H238" s="88">
        <f>ROUND(H237+I238-MIN(N(Crédits!$E$5),H237+I238),2)</f>
        <v>0</v>
      </c>
      <c r="I238" s="89">
        <f>H237*N(Crédits!$D$5)/12</f>
        <v>0</v>
      </c>
      <c r="J238" s="90">
        <f t="shared" si="17"/>
        <v>0</v>
      </c>
      <c r="K238" s="90">
        <f>J238*N(Crédits!$D$6)/12</f>
        <v>0</v>
      </c>
      <c r="L238" s="90">
        <f>MIN(N(Crédits!$E$6),J238+K238)</f>
        <v>0</v>
      </c>
      <c r="M238" s="90">
        <f t="shared" si="2"/>
        <v>0</v>
      </c>
      <c r="N238" s="91">
        <f>IF(Crédits!$K$6="",0,MAX(0,MIN(M238,Plan!$L$240-(IF(Crédits!$K$5="",0,IF(Crédits!$K$5&lt;Crédits!$K$6,E238,0))+IF(Crédits!$K$7="",0,IF(Crédits!$K$7&lt;Crédits!$K$6,U238,0))+IF(Crédits!$K$8="",0,IF(Crédits!$K$8&lt;Crédits!$K$6,AC238,0))+IF(Crédits!$K$9="",0,IF(Crédits!$K$9&lt;Crédits!$K$6,AK238,0))+IF(Crédits!$K$10="",0,IF(Crédits!$K$10&lt;Crédits!$K$6,AS238,0))))))</f>
        <v>0</v>
      </c>
      <c r="O238" s="92">
        <f t="shared" si="3"/>
        <v>0</v>
      </c>
      <c r="P238" s="88">
        <f>ROUND(P237+Q238-MIN(N(Crédits!$E$6),P237+Q238),2)</f>
        <v>0</v>
      </c>
      <c r="Q238" s="89">
        <f>P237*N(Crédits!$D$6)/12</f>
        <v>0</v>
      </c>
      <c r="R238" s="93">
        <f t="shared" si="18"/>
        <v>0</v>
      </c>
      <c r="S238" s="93">
        <f>R238*N(Crédits!$D$7)/12</f>
        <v>0</v>
      </c>
      <c r="T238" s="93">
        <f>MIN(N(Crédits!$E$7),R238+S238)</f>
        <v>0</v>
      </c>
      <c r="U238" s="93">
        <f t="shared" si="4"/>
        <v>0</v>
      </c>
      <c r="V238" s="94">
        <f>IF(Crédits!$K$7="",0,MAX(0,MIN(U238,Plan!$L$240-(IF(Crédits!$K$5="",0,IF(Crédits!$K$5&lt;Crédits!$K$7,E238,0))+IF(Crédits!$K$6="",0,IF(Crédits!$K$6&lt;Crédits!$K$7,M238,0))+IF(Crédits!$K$8="",0,IF(Crédits!$K$8&lt;Crédits!$K$7,AC238,0))+IF(Crédits!$K$9="",0,IF(Crédits!$K$9&lt;Crédits!$K$7,AK238,0))+IF(Crédits!$K$10="",0,IF(Crédits!$K$10&lt;Crédits!$K$7,AS238,0))))))</f>
        <v>0</v>
      </c>
      <c r="W238" s="95">
        <f t="shared" si="5"/>
        <v>0</v>
      </c>
      <c r="X238" s="88">
        <f>ROUND(X237+Y238-MIN(N(Crédits!$E$7),X237+Y238),2)</f>
        <v>0</v>
      </c>
      <c r="Y238" s="89">
        <f>X237*N(Crédits!$D$7)/12</f>
        <v>0</v>
      </c>
      <c r="Z238" s="96">
        <f t="shared" si="19"/>
        <v>0</v>
      </c>
      <c r="AA238" s="96">
        <f>Z238*N(Crédits!$D$8)/12</f>
        <v>0</v>
      </c>
      <c r="AB238" s="96">
        <f>MIN(N(Crédits!$E$8),Z238+AA238)</f>
        <v>0</v>
      </c>
      <c r="AC238" s="96">
        <f t="shared" si="6"/>
        <v>0</v>
      </c>
      <c r="AD238" s="97">
        <f>IF(Crédits!$K$8="",0,MAX(0,MIN(AC238,Plan!$L$240-(IF(Crédits!$K$5="",0,IF(Crédits!$K$5&lt;Crédits!$K$8,E238,0))+IF(Crédits!$K$6="",0,IF(Crédits!$K$6&lt;Crédits!$K$8,M238,0))+IF(Crédits!$K$7="",0,IF(Crédits!$K$7&lt;Crédits!$K$8,U238,0))+IF(Crédits!$K$9="",0,IF(Crédits!$K$9&lt;Crédits!$K$8,AK238,0))+IF(Crédits!$K$10="",0,IF(Crédits!$K$10&lt;Crédits!$K$8,AS238,0))))))</f>
        <v>0</v>
      </c>
      <c r="AE238" s="98">
        <f t="shared" si="7"/>
        <v>0</v>
      </c>
      <c r="AF238" s="88">
        <f>ROUND(AF237+AG238-MIN(N(Crédits!$E$8),AF237+AG238),2)</f>
        <v>0</v>
      </c>
      <c r="AG238" s="89">
        <f>AF237*N(Crédits!$D$8)/12</f>
        <v>0</v>
      </c>
      <c r="AH238" s="99">
        <f t="shared" si="20"/>
        <v>0</v>
      </c>
      <c r="AI238" s="99">
        <f>AH238*N(Crédits!$D$9)/12</f>
        <v>0</v>
      </c>
      <c r="AJ238" s="99">
        <f>MIN(N(Crédits!$E$9),AH238+AI238)</f>
        <v>0</v>
      </c>
      <c r="AK238" s="99">
        <f t="shared" si="8"/>
        <v>0</v>
      </c>
      <c r="AL238" s="100">
        <f>IF(Crédits!$K$9="",0,MAX(0,MIN(AK238,Plan!$L$240-(IF(Crédits!$K$5="",0,IF(Crédits!$K$5&lt;Crédits!$K$9,E238,0))+IF(Crédits!$K$6="",0,IF(Crédits!$K$6&lt;Crédits!$K$9,M238,0))+IF(Crédits!$K$7="",0,IF(Crédits!$K$7&lt;Crédits!$K$9,U238,0))+IF(Crédits!$K$8="",0,IF(Crédits!$K$8&lt;Crédits!$K$9,AC238,0))+IF(Crédits!$K$10="",0,IF(Crédits!$K$10&lt;Crédits!$K$9,AS238,0))))))</f>
        <v>0</v>
      </c>
      <c r="AM238" s="101">
        <f t="shared" si="9"/>
        <v>0</v>
      </c>
      <c r="AN238" s="88">
        <f>ROUND(AN237+AO238-MIN(N(Crédits!$E$9),AN237+AO238),2)</f>
        <v>0</v>
      </c>
      <c r="AO238" s="89">
        <f>AN237*N(Crédits!$D$9)/12</f>
        <v>0</v>
      </c>
      <c r="AP238" s="102">
        <f t="shared" si="21"/>
        <v>0</v>
      </c>
      <c r="AQ238" s="102">
        <f>AP238*N(Crédits!$D$10)/12</f>
        <v>0</v>
      </c>
      <c r="AR238" s="102">
        <f>MIN(N(Crédits!$E$10),AP238+AQ238)</f>
        <v>0</v>
      </c>
      <c r="AS238" s="102">
        <f t="shared" si="10"/>
        <v>0</v>
      </c>
      <c r="AT238" s="103">
        <f>IF(Crédits!$K$10="",0,MAX(0,MIN(AS238,Plan!$L$240-(IF(Crédits!$K$5="",0,IF(Crédits!$K$5&lt;Crédits!$K$10,E238,0))+IF(Crédits!$K$6="",0,IF(Crédits!$K$6&lt;Crédits!$K$10,M238,0))+IF(Crédits!$K$7="",0,IF(Crédits!$K$7&lt;Crédits!$K$10,U238,0))+IF(Crédits!$K$8="",0,IF(Crédits!$K$8&lt;Crédits!$K$10,AC238,0))+IF(Crédits!$K$9="",0,IF(Crédits!$K$9&lt;Crédits!$K$10,AK238,0))))))</f>
        <v>0</v>
      </c>
      <c r="AU238" s="104">
        <f t="shared" si="11"/>
        <v>0</v>
      </c>
      <c r="AV238" s="88">
        <f>ROUND(AV237+AW238-MIN(N(Crédits!$E$10),AV237+AW238),2)</f>
        <v>0</v>
      </c>
      <c r="AW238" s="89">
        <f>AV237*N(Crédits!$D$10)/12</f>
        <v>0</v>
      </c>
      <c r="AX238" s="105">
        <f t="shared" si="12"/>
        <v>0</v>
      </c>
      <c r="AY238" s="105">
        <f t="shared" ref="AY238:AZ238" si="256">F238+N238+V238+AD238+AL238+AT238</f>
        <v>0</v>
      </c>
      <c r="AZ238" s="105">
        <f t="shared" si="256"/>
        <v>0</v>
      </c>
      <c r="BA238" s="105">
        <f t="shared" si="14"/>
        <v>0</v>
      </c>
      <c r="BB238" s="105">
        <f t="shared" si="15"/>
        <v>0</v>
      </c>
    </row>
    <row r="239" spans="1:54" ht="15" customHeight="1" x14ac:dyDescent="0.25">
      <c r="A239" s="2">
        <v>237</v>
      </c>
      <c r="B239" s="83">
        <f t="shared" si="16"/>
        <v>0</v>
      </c>
      <c r="C239" s="83">
        <f>B239*N(Crédits!$D$5)/12</f>
        <v>0</v>
      </c>
      <c r="D239" s="83">
        <f>MIN(N(Crédits!$E$5),B239+C239)</f>
        <v>0</v>
      </c>
      <c r="E239" s="83">
        <f t="shared" si="0"/>
        <v>0</v>
      </c>
      <c r="F239" s="86">
        <f>IF(Crédits!$K$5="",0,MAX(0,MIN(E239,Plan!$L$241-(IF(Crédits!$K$6="",0,IF(Crédits!$K$6&lt;Crédits!$K$5,M239,0))+IF(Crédits!$K$7="",0,IF(Crédits!$K$7&lt;Crédits!$K$5,U239,0))+IF(Crédits!$K$8="",0,IF(Crédits!$K$8&lt;Crédits!$K$5,AC239,0))+IF(Crédits!$K$9="",0,IF(Crédits!$K$9&lt;Crédits!$K$5,AK239,0))+IF(Crédits!$K$10="",0,IF(Crédits!$K$10&lt;Crédits!$K$5,AS239,0))))))</f>
        <v>0</v>
      </c>
      <c r="G239" s="87">
        <f t="shared" si="1"/>
        <v>0</v>
      </c>
      <c r="H239" s="88">
        <f>ROUND(H238+I239-MIN(N(Crédits!$E$5),H238+I239),2)</f>
        <v>0</v>
      </c>
      <c r="I239" s="89">
        <f>H238*N(Crédits!$D$5)/12</f>
        <v>0</v>
      </c>
      <c r="J239" s="90">
        <f t="shared" si="17"/>
        <v>0</v>
      </c>
      <c r="K239" s="90">
        <f>J239*N(Crédits!$D$6)/12</f>
        <v>0</v>
      </c>
      <c r="L239" s="90">
        <f>MIN(N(Crédits!$E$6),J239+K239)</f>
        <v>0</v>
      </c>
      <c r="M239" s="90">
        <f t="shared" si="2"/>
        <v>0</v>
      </c>
      <c r="N239" s="91">
        <f>IF(Crédits!$K$6="",0,MAX(0,MIN(M239,Plan!$L$241-(IF(Crédits!$K$5="",0,IF(Crédits!$K$5&lt;Crédits!$K$6,E239,0))+IF(Crédits!$K$7="",0,IF(Crédits!$K$7&lt;Crédits!$K$6,U239,0))+IF(Crédits!$K$8="",0,IF(Crédits!$K$8&lt;Crédits!$K$6,AC239,0))+IF(Crédits!$K$9="",0,IF(Crédits!$K$9&lt;Crédits!$K$6,AK239,0))+IF(Crédits!$K$10="",0,IF(Crédits!$K$10&lt;Crédits!$K$6,AS239,0))))))</f>
        <v>0</v>
      </c>
      <c r="O239" s="92">
        <f t="shared" si="3"/>
        <v>0</v>
      </c>
      <c r="P239" s="88">
        <f>ROUND(P238+Q239-MIN(N(Crédits!$E$6),P238+Q239),2)</f>
        <v>0</v>
      </c>
      <c r="Q239" s="89">
        <f>P238*N(Crédits!$D$6)/12</f>
        <v>0</v>
      </c>
      <c r="R239" s="93">
        <f t="shared" si="18"/>
        <v>0</v>
      </c>
      <c r="S239" s="93">
        <f>R239*N(Crédits!$D$7)/12</f>
        <v>0</v>
      </c>
      <c r="T239" s="93">
        <f>MIN(N(Crédits!$E$7),R239+S239)</f>
        <v>0</v>
      </c>
      <c r="U239" s="93">
        <f t="shared" si="4"/>
        <v>0</v>
      </c>
      <c r="V239" s="94">
        <f>IF(Crédits!$K$7="",0,MAX(0,MIN(U239,Plan!$L$241-(IF(Crédits!$K$5="",0,IF(Crédits!$K$5&lt;Crédits!$K$7,E239,0))+IF(Crédits!$K$6="",0,IF(Crédits!$K$6&lt;Crédits!$K$7,M239,0))+IF(Crédits!$K$8="",0,IF(Crédits!$K$8&lt;Crédits!$K$7,AC239,0))+IF(Crédits!$K$9="",0,IF(Crédits!$K$9&lt;Crédits!$K$7,AK239,0))+IF(Crédits!$K$10="",0,IF(Crédits!$K$10&lt;Crédits!$K$7,AS239,0))))))</f>
        <v>0</v>
      </c>
      <c r="W239" s="95">
        <f t="shared" si="5"/>
        <v>0</v>
      </c>
      <c r="X239" s="88">
        <f>ROUND(X238+Y239-MIN(N(Crédits!$E$7),X238+Y239),2)</f>
        <v>0</v>
      </c>
      <c r="Y239" s="89">
        <f>X238*N(Crédits!$D$7)/12</f>
        <v>0</v>
      </c>
      <c r="Z239" s="96">
        <f t="shared" si="19"/>
        <v>0</v>
      </c>
      <c r="AA239" s="96">
        <f>Z239*N(Crédits!$D$8)/12</f>
        <v>0</v>
      </c>
      <c r="AB239" s="96">
        <f>MIN(N(Crédits!$E$8),Z239+AA239)</f>
        <v>0</v>
      </c>
      <c r="AC239" s="96">
        <f t="shared" si="6"/>
        <v>0</v>
      </c>
      <c r="AD239" s="97">
        <f>IF(Crédits!$K$8="",0,MAX(0,MIN(AC239,Plan!$L$241-(IF(Crédits!$K$5="",0,IF(Crédits!$K$5&lt;Crédits!$K$8,E239,0))+IF(Crédits!$K$6="",0,IF(Crédits!$K$6&lt;Crédits!$K$8,M239,0))+IF(Crédits!$K$7="",0,IF(Crédits!$K$7&lt;Crédits!$K$8,U239,0))+IF(Crédits!$K$9="",0,IF(Crédits!$K$9&lt;Crédits!$K$8,AK239,0))+IF(Crédits!$K$10="",0,IF(Crédits!$K$10&lt;Crédits!$K$8,AS239,0))))))</f>
        <v>0</v>
      </c>
      <c r="AE239" s="98">
        <f t="shared" si="7"/>
        <v>0</v>
      </c>
      <c r="AF239" s="88">
        <f>ROUND(AF238+AG239-MIN(N(Crédits!$E$8),AF238+AG239),2)</f>
        <v>0</v>
      </c>
      <c r="AG239" s="89">
        <f>AF238*N(Crédits!$D$8)/12</f>
        <v>0</v>
      </c>
      <c r="AH239" s="99">
        <f t="shared" si="20"/>
        <v>0</v>
      </c>
      <c r="AI239" s="99">
        <f>AH239*N(Crédits!$D$9)/12</f>
        <v>0</v>
      </c>
      <c r="AJ239" s="99">
        <f>MIN(N(Crédits!$E$9),AH239+AI239)</f>
        <v>0</v>
      </c>
      <c r="AK239" s="99">
        <f t="shared" si="8"/>
        <v>0</v>
      </c>
      <c r="AL239" s="100">
        <f>IF(Crédits!$K$9="",0,MAX(0,MIN(AK239,Plan!$L$241-(IF(Crédits!$K$5="",0,IF(Crédits!$K$5&lt;Crédits!$K$9,E239,0))+IF(Crédits!$K$6="",0,IF(Crédits!$K$6&lt;Crédits!$K$9,M239,0))+IF(Crédits!$K$7="",0,IF(Crédits!$K$7&lt;Crédits!$K$9,U239,0))+IF(Crédits!$K$8="",0,IF(Crédits!$K$8&lt;Crédits!$K$9,AC239,0))+IF(Crédits!$K$10="",0,IF(Crédits!$K$10&lt;Crédits!$K$9,AS239,0))))))</f>
        <v>0</v>
      </c>
      <c r="AM239" s="101">
        <f t="shared" si="9"/>
        <v>0</v>
      </c>
      <c r="AN239" s="88">
        <f>ROUND(AN238+AO239-MIN(N(Crédits!$E$9),AN238+AO239),2)</f>
        <v>0</v>
      </c>
      <c r="AO239" s="89">
        <f>AN238*N(Crédits!$D$9)/12</f>
        <v>0</v>
      </c>
      <c r="AP239" s="102">
        <f t="shared" si="21"/>
        <v>0</v>
      </c>
      <c r="AQ239" s="102">
        <f>AP239*N(Crédits!$D$10)/12</f>
        <v>0</v>
      </c>
      <c r="AR239" s="102">
        <f>MIN(N(Crédits!$E$10),AP239+AQ239)</f>
        <v>0</v>
      </c>
      <c r="AS239" s="102">
        <f t="shared" si="10"/>
        <v>0</v>
      </c>
      <c r="AT239" s="103">
        <f>IF(Crédits!$K$10="",0,MAX(0,MIN(AS239,Plan!$L$241-(IF(Crédits!$K$5="",0,IF(Crédits!$K$5&lt;Crédits!$K$10,E239,0))+IF(Crédits!$K$6="",0,IF(Crédits!$K$6&lt;Crédits!$K$10,M239,0))+IF(Crédits!$K$7="",0,IF(Crédits!$K$7&lt;Crédits!$K$10,U239,0))+IF(Crédits!$K$8="",0,IF(Crédits!$K$8&lt;Crédits!$K$10,AC239,0))+IF(Crédits!$K$9="",0,IF(Crédits!$K$9&lt;Crédits!$K$10,AK239,0))))))</f>
        <v>0</v>
      </c>
      <c r="AU239" s="104">
        <f t="shared" si="11"/>
        <v>0</v>
      </c>
      <c r="AV239" s="88">
        <f>ROUND(AV238+AW239-MIN(N(Crédits!$E$10),AV238+AW239),2)</f>
        <v>0</v>
      </c>
      <c r="AW239" s="89">
        <f>AV238*N(Crédits!$D$10)/12</f>
        <v>0</v>
      </c>
      <c r="AX239" s="105">
        <f t="shared" si="12"/>
        <v>0</v>
      </c>
      <c r="AY239" s="105">
        <f t="shared" ref="AY239:AZ239" si="257">F239+N239+V239+AD239+AL239+AT239</f>
        <v>0</v>
      </c>
      <c r="AZ239" s="105">
        <f t="shared" si="257"/>
        <v>0</v>
      </c>
      <c r="BA239" s="105">
        <f t="shared" si="14"/>
        <v>0</v>
      </c>
      <c r="BB239" s="105">
        <f t="shared" si="15"/>
        <v>0</v>
      </c>
    </row>
    <row r="240" spans="1:54" ht="15" customHeight="1" x14ac:dyDescent="0.25">
      <c r="A240" s="2">
        <v>238</v>
      </c>
      <c r="B240" s="83">
        <f t="shared" si="16"/>
        <v>0</v>
      </c>
      <c r="C240" s="83">
        <f>B240*N(Crédits!$D$5)/12</f>
        <v>0</v>
      </c>
      <c r="D240" s="83">
        <f>MIN(N(Crédits!$E$5),B240+C240)</f>
        <v>0</v>
      </c>
      <c r="E240" s="83">
        <f t="shared" si="0"/>
        <v>0</v>
      </c>
      <c r="F240" s="86">
        <f>IF(Crédits!$K$5="",0,MAX(0,MIN(E240,Plan!$L$242-(IF(Crédits!$K$6="",0,IF(Crédits!$K$6&lt;Crédits!$K$5,M240,0))+IF(Crédits!$K$7="",0,IF(Crédits!$K$7&lt;Crédits!$K$5,U240,0))+IF(Crédits!$K$8="",0,IF(Crédits!$K$8&lt;Crédits!$K$5,AC240,0))+IF(Crédits!$K$9="",0,IF(Crédits!$K$9&lt;Crédits!$K$5,AK240,0))+IF(Crédits!$K$10="",0,IF(Crédits!$K$10&lt;Crédits!$K$5,AS240,0))))))</f>
        <v>0</v>
      </c>
      <c r="G240" s="87">
        <f t="shared" si="1"/>
        <v>0</v>
      </c>
      <c r="H240" s="88">
        <f>ROUND(H239+I240-MIN(N(Crédits!$E$5),H239+I240),2)</f>
        <v>0</v>
      </c>
      <c r="I240" s="89">
        <f>H239*N(Crédits!$D$5)/12</f>
        <v>0</v>
      </c>
      <c r="J240" s="90">
        <f t="shared" si="17"/>
        <v>0</v>
      </c>
      <c r="K240" s="90">
        <f>J240*N(Crédits!$D$6)/12</f>
        <v>0</v>
      </c>
      <c r="L240" s="90">
        <f>MIN(N(Crédits!$E$6),J240+K240)</f>
        <v>0</v>
      </c>
      <c r="M240" s="90">
        <f t="shared" si="2"/>
        <v>0</v>
      </c>
      <c r="N240" s="91">
        <f>IF(Crédits!$K$6="",0,MAX(0,MIN(M240,Plan!$L$242-(IF(Crédits!$K$5="",0,IF(Crédits!$K$5&lt;Crédits!$K$6,E240,0))+IF(Crédits!$K$7="",0,IF(Crédits!$K$7&lt;Crédits!$K$6,U240,0))+IF(Crédits!$K$8="",0,IF(Crédits!$K$8&lt;Crédits!$K$6,AC240,0))+IF(Crédits!$K$9="",0,IF(Crédits!$K$9&lt;Crédits!$K$6,AK240,0))+IF(Crédits!$K$10="",0,IF(Crédits!$K$10&lt;Crédits!$K$6,AS240,0))))))</f>
        <v>0</v>
      </c>
      <c r="O240" s="92">
        <f t="shared" si="3"/>
        <v>0</v>
      </c>
      <c r="P240" s="88">
        <f>ROUND(P239+Q240-MIN(N(Crédits!$E$6),P239+Q240),2)</f>
        <v>0</v>
      </c>
      <c r="Q240" s="89">
        <f>P239*N(Crédits!$D$6)/12</f>
        <v>0</v>
      </c>
      <c r="R240" s="93">
        <f t="shared" si="18"/>
        <v>0</v>
      </c>
      <c r="S240" s="93">
        <f>R240*N(Crédits!$D$7)/12</f>
        <v>0</v>
      </c>
      <c r="T240" s="93">
        <f>MIN(N(Crédits!$E$7),R240+S240)</f>
        <v>0</v>
      </c>
      <c r="U240" s="93">
        <f t="shared" si="4"/>
        <v>0</v>
      </c>
      <c r="V240" s="94">
        <f>IF(Crédits!$K$7="",0,MAX(0,MIN(U240,Plan!$L$242-(IF(Crédits!$K$5="",0,IF(Crédits!$K$5&lt;Crédits!$K$7,E240,0))+IF(Crédits!$K$6="",0,IF(Crédits!$K$6&lt;Crédits!$K$7,M240,0))+IF(Crédits!$K$8="",0,IF(Crédits!$K$8&lt;Crédits!$K$7,AC240,0))+IF(Crédits!$K$9="",0,IF(Crédits!$K$9&lt;Crédits!$K$7,AK240,0))+IF(Crédits!$K$10="",0,IF(Crédits!$K$10&lt;Crédits!$K$7,AS240,0))))))</f>
        <v>0</v>
      </c>
      <c r="W240" s="95">
        <f t="shared" si="5"/>
        <v>0</v>
      </c>
      <c r="X240" s="88">
        <f>ROUND(X239+Y240-MIN(N(Crédits!$E$7),X239+Y240),2)</f>
        <v>0</v>
      </c>
      <c r="Y240" s="89">
        <f>X239*N(Crédits!$D$7)/12</f>
        <v>0</v>
      </c>
      <c r="Z240" s="96">
        <f t="shared" si="19"/>
        <v>0</v>
      </c>
      <c r="AA240" s="96">
        <f>Z240*N(Crédits!$D$8)/12</f>
        <v>0</v>
      </c>
      <c r="AB240" s="96">
        <f>MIN(N(Crédits!$E$8),Z240+AA240)</f>
        <v>0</v>
      </c>
      <c r="AC240" s="96">
        <f t="shared" si="6"/>
        <v>0</v>
      </c>
      <c r="AD240" s="97">
        <f>IF(Crédits!$K$8="",0,MAX(0,MIN(AC240,Plan!$L$242-(IF(Crédits!$K$5="",0,IF(Crédits!$K$5&lt;Crédits!$K$8,E240,0))+IF(Crédits!$K$6="",0,IF(Crédits!$K$6&lt;Crédits!$K$8,M240,0))+IF(Crédits!$K$7="",0,IF(Crédits!$K$7&lt;Crédits!$K$8,U240,0))+IF(Crédits!$K$9="",0,IF(Crédits!$K$9&lt;Crédits!$K$8,AK240,0))+IF(Crédits!$K$10="",0,IF(Crédits!$K$10&lt;Crédits!$K$8,AS240,0))))))</f>
        <v>0</v>
      </c>
      <c r="AE240" s="98">
        <f t="shared" si="7"/>
        <v>0</v>
      </c>
      <c r="AF240" s="88">
        <f>ROUND(AF239+AG240-MIN(N(Crédits!$E$8),AF239+AG240),2)</f>
        <v>0</v>
      </c>
      <c r="AG240" s="89">
        <f>AF239*N(Crédits!$D$8)/12</f>
        <v>0</v>
      </c>
      <c r="AH240" s="99">
        <f t="shared" si="20"/>
        <v>0</v>
      </c>
      <c r="AI240" s="99">
        <f>AH240*N(Crédits!$D$9)/12</f>
        <v>0</v>
      </c>
      <c r="AJ240" s="99">
        <f>MIN(N(Crédits!$E$9),AH240+AI240)</f>
        <v>0</v>
      </c>
      <c r="AK240" s="99">
        <f t="shared" si="8"/>
        <v>0</v>
      </c>
      <c r="AL240" s="100">
        <f>IF(Crédits!$K$9="",0,MAX(0,MIN(AK240,Plan!$L$242-(IF(Crédits!$K$5="",0,IF(Crédits!$K$5&lt;Crédits!$K$9,E240,0))+IF(Crédits!$K$6="",0,IF(Crédits!$K$6&lt;Crédits!$K$9,M240,0))+IF(Crédits!$K$7="",0,IF(Crédits!$K$7&lt;Crédits!$K$9,U240,0))+IF(Crédits!$K$8="",0,IF(Crédits!$K$8&lt;Crédits!$K$9,AC240,0))+IF(Crédits!$K$10="",0,IF(Crédits!$K$10&lt;Crédits!$K$9,AS240,0))))))</f>
        <v>0</v>
      </c>
      <c r="AM240" s="101">
        <f t="shared" si="9"/>
        <v>0</v>
      </c>
      <c r="AN240" s="88">
        <f>ROUND(AN239+AO240-MIN(N(Crédits!$E$9),AN239+AO240),2)</f>
        <v>0</v>
      </c>
      <c r="AO240" s="89">
        <f>AN239*N(Crédits!$D$9)/12</f>
        <v>0</v>
      </c>
      <c r="AP240" s="102">
        <f t="shared" si="21"/>
        <v>0</v>
      </c>
      <c r="AQ240" s="102">
        <f>AP240*N(Crédits!$D$10)/12</f>
        <v>0</v>
      </c>
      <c r="AR240" s="102">
        <f>MIN(N(Crédits!$E$10),AP240+AQ240)</f>
        <v>0</v>
      </c>
      <c r="AS240" s="102">
        <f t="shared" si="10"/>
        <v>0</v>
      </c>
      <c r="AT240" s="103">
        <f>IF(Crédits!$K$10="",0,MAX(0,MIN(AS240,Plan!$L$242-(IF(Crédits!$K$5="",0,IF(Crédits!$K$5&lt;Crédits!$K$10,E240,0))+IF(Crédits!$K$6="",0,IF(Crédits!$K$6&lt;Crédits!$K$10,M240,0))+IF(Crédits!$K$7="",0,IF(Crédits!$K$7&lt;Crédits!$K$10,U240,0))+IF(Crédits!$K$8="",0,IF(Crédits!$K$8&lt;Crédits!$K$10,AC240,0))+IF(Crédits!$K$9="",0,IF(Crédits!$K$9&lt;Crédits!$K$10,AK240,0))))))</f>
        <v>0</v>
      </c>
      <c r="AU240" s="104">
        <f t="shared" si="11"/>
        <v>0</v>
      </c>
      <c r="AV240" s="88">
        <f>ROUND(AV239+AW240-MIN(N(Crédits!$E$10),AV239+AW240),2)</f>
        <v>0</v>
      </c>
      <c r="AW240" s="89">
        <f>AV239*N(Crédits!$D$10)/12</f>
        <v>0</v>
      </c>
      <c r="AX240" s="105">
        <f t="shared" si="12"/>
        <v>0</v>
      </c>
      <c r="AY240" s="105">
        <f t="shared" ref="AY240:AZ240" si="258">F240+N240+V240+AD240+AL240+AT240</f>
        <v>0</v>
      </c>
      <c r="AZ240" s="105">
        <f t="shared" si="258"/>
        <v>0</v>
      </c>
      <c r="BA240" s="105">
        <f t="shared" si="14"/>
        <v>0</v>
      </c>
      <c r="BB240" s="105">
        <f t="shared" si="15"/>
        <v>0</v>
      </c>
    </row>
    <row r="241" spans="1:54" ht="15" customHeight="1" x14ac:dyDescent="0.25">
      <c r="A241" s="2">
        <v>239</v>
      </c>
      <c r="B241" s="83">
        <f t="shared" si="16"/>
        <v>0</v>
      </c>
      <c r="C241" s="83">
        <f>B241*N(Crédits!$D$5)/12</f>
        <v>0</v>
      </c>
      <c r="D241" s="83">
        <f>MIN(N(Crédits!$E$5),B241+C241)</f>
        <v>0</v>
      </c>
      <c r="E241" s="83">
        <f t="shared" si="0"/>
        <v>0</v>
      </c>
      <c r="F241" s="86">
        <f>IF(Crédits!$K$5="",0,MAX(0,MIN(E241,Plan!$L$243-(IF(Crédits!$K$6="",0,IF(Crédits!$K$6&lt;Crédits!$K$5,M241,0))+IF(Crédits!$K$7="",0,IF(Crédits!$K$7&lt;Crédits!$K$5,U241,0))+IF(Crédits!$K$8="",0,IF(Crédits!$K$8&lt;Crédits!$K$5,AC241,0))+IF(Crédits!$K$9="",0,IF(Crédits!$K$9&lt;Crédits!$K$5,AK241,0))+IF(Crédits!$K$10="",0,IF(Crédits!$K$10&lt;Crédits!$K$5,AS241,0))))))</f>
        <v>0</v>
      </c>
      <c r="G241" s="87">
        <f t="shared" si="1"/>
        <v>0</v>
      </c>
      <c r="H241" s="88">
        <f>ROUND(H240+I241-MIN(N(Crédits!$E$5),H240+I241),2)</f>
        <v>0</v>
      </c>
      <c r="I241" s="89">
        <f>H240*N(Crédits!$D$5)/12</f>
        <v>0</v>
      </c>
      <c r="J241" s="90">
        <f t="shared" si="17"/>
        <v>0</v>
      </c>
      <c r="K241" s="90">
        <f>J241*N(Crédits!$D$6)/12</f>
        <v>0</v>
      </c>
      <c r="L241" s="90">
        <f>MIN(N(Crédits!$E$6),J241+K241)</f>
        <v>0</v>
      </c>
      <c r="M241" s="90">
        <f t="shared" si="2"/>
        <v>0</v>
      </c>
      <c r="N241" s="91">
        <f>IF(Crédits!$K$6="",0,MAX(0,MIN(M241,Plan!$L$243-(IF(Crédits!$K$5="",0,IF(Crédits!$K$5&lt;Crédits!$K$6,E241,0))+IF(Crédits!$K$7="",0,IF(Crédits!$K$7&lt;Crédits!$K$6,U241,0))+IF(Crédits!$K$8="",0,IF(Crédits!$K$8&lt;Crédits!$K$6,AC241,0))+IF(Crédits!$K$9="",0,IF(Crédits!$K$9&lt;Crédits!$K$6,AK241,0))+IF(Crédits!$K$10="",0,IF(Crédits!$K$10&lt;Crédits!$K$6,AS241,0))))))</f>
        <v>0</v>
      </c>
      <c r="O241" s="92">
        <f t="shared" si="3"/>
        <v>0</v>
      </c>
      <c r="P241" s="88">
        <f>ROUND(P240+Q241-MIN(N(Crédits!$E$6),P240+Q241),2)</f>
        <v>0</v>
      </c>
      <c r="Q241" s="89">
        <f>P240*N(Crédits!$D$6)/12</f>
        <v>0</v>
      </c>
      <c r="R241" s="93">
        <f t="shared" si="18"/>
        <v>0</v>
      </c>
      <c r="S241" s="93">
        <f>R241*N(Crédits!$D$7)/12</f>
        <v>0</v>
      </c>
      <c r="T241" s="93">
        <f>MIN(N(Crédits!$E$7),R241+S241)</f>
        <v>0</v>
      </c>
      <c r="U241" s="93">
        <f t="shared" si="4"/>
        <v>0</v>
      </c>
      <c r="V241" s="94">
        <f>IF(Crédits!$K$7="",0,MAX(0,MIN(U241,Plan!$L$243-(IF(Crédits!$K$5="",0,IF(Crédits!$K$5&lt;Crédits!$K$7,E241,0))+IF(Crédits!$K$6="",0,IF(Crédits!$K$6&lt;Crédits!$K$7,M241,0))+IF(Crédits!$K$8="",0,IF(Crédits!$K$8&lt;Crédits!$K$7,AC241,0))+IF(Crédits!$K$9="",0,IF(Crédits!$K$9&lt;Crédits!$K$7,AK241,0))+IF(Crédits!$K$10="",0,IF(Crédits!$K$10&lt;Crédits!$K$7,AS241,0))))))</f>
        <v>0</v>
      </c>
      <c r="W241" s="95">
        <f t="shared" si="5"/>
        <v>0</v>
      </c>
      <c r="X241" s="88">
        <f>ROUND(X240+Y241-MIN(N(Crédits!$E$7),X240+Y241),2)</f>
        <v>0</v>
      </c>
      <c r="Y241" s="89">
        <f>X240*N(Crédits!$D$7)/12</f>
        <v>0</v>
      </c>
      <c r="Z241" s="96">
        <f t="shared" si="19"/>
        <v>0</v>
      </c>
      <c r="AA241" s="96">
        <f>Z241*N(Crédits!$D$8)/12</f>
        <v>0</v>
      </c>
      <c r="AB241" s="96">
        <f>MIN(N(Crédits!$E$8),Z241+AA241)</f>
        <v>0</v>
      </c>
      <c r="AC241" s="96">
        <f t="shared" si="6"/>
        <v>0</v>
      </c>
      <c r="AD241" s="97">
        <f>IF(Crédits!$K$8="",0,MAX(0,MIN(AC241,Plan!$L$243-(IF(Crédits!$K$5="",0,IF(Crédits!$K$5&lt;Crédits!$K$8,E241,0))+IF(Crédits!$K$6="",0,IF(Crédits!$K$6&lt;Crédits!$K$8,M241,0))+IF(Crédits!$K$7="",0,IF(Crédits!$K$7&lt;Crédits!$K$8,U241,0))+IF(Crédits!$K$9="",0,IF(Crédits!$K$9&lt;Crédits!$K$8,AK241,0))+IF(Crédits!$K$10="",0,IF(Crédits!$K$10&lt;Crédits!$K$8,AS241,0))))))</f>
        <v>0</v>
      </c>
      <c r="AE241" s="98">
        <f t="shared" si="7"/>
        <v>0</v>
      </c>
      <c r="AF241" s="88">
        <f>ROUND(AF240+AG241-MIN(N(Crédits!$E$8),AF240+AG241),2)</f>
        <v>0</v>
      </c>
      <c r="AG241" s="89">
        <f>AF240*N(Crédits!$D$8)/12</f>
        <v>0</v>
      </c>
      <c r="AH241" s="99">
        <f t="shared" si="20"/>
        <v>0</v>
      </c>
      <c r="AI241" s="99">
        <f>AH241*N(Crédits!$D$9)/12</f>
        <v>0</v>
      </c>
      <c r="AJ241" s="99">
        <f>MIN(N(Crédits!$E$9),AH241+AI241)</f>
        <v>0</v>
      </c>
      <c r="AK241" s="99">
        <f t="shared" si="8"/>
        <v>0</v>
      </c>
      <c r="AL241" s="100">
        <f>IF(Crédits!$K$9="",0,MAX(0,MIN(AK241,Plan!$L$243-(IF(Crédits!$K$5="",0,IF(Crédits!$K$5&lt;Crédits!$K$9,E241,0))+IF(Crédits!$K$6="",0,IF(Crédits!$K$6&lt;Crédits!$K$9,M241,0))+IF(Crédits!$K$7="",0,IF(Crédits!$K$7&lt;Crédits!$K$9,U241,0))+IF(Crédits!$K$8="",0,IF(Crédits!$K$8&lt;Crédits!$K$9,AC241,0))+IF(Crédits!$K$10="",0,IF(Crédits!$K$10&lt;Crédits!$K$9,AS241,0))))))</f>
        <v>0</v>
      </c>
      <c r="AM241" s="101">
        <f t="shared" si="9"/>
        <v>0</v>
      </c>
      <c r="AN241" s="88">
        <f>ROUND(AN240+AO241-MIN(N(Crédits!$E$9),AN240+AO241),2)</f>
        <v>0</v>
      </c>
      <c r="AO241" s="89">
        <f>AN240*N(Crédits!$D$9)/12</f>
        <v>0</v>
      </c>
      <c r="AP241" s="102">
        <f t="shared" si="21"/>
        <v>0</v>
      </c>
      <c r="AQ241" s="102">
        <f>AP241*N(Crédits!$D$10)/12</f>
        <v>0</v>
      </c>
      <c r="AR241" s="102">
        <f>MIN(N(Crédits!$E$10),AP241+AQ241)</f>
        <v>0</v>
      </c>
      <c r="AS241" s="102">
        <f t="shared" si="10"/>
        <v>0</v>
      </c>
      <c r="AT241" s="103">
        <f>IF(Crédits!$K$10="",0,MAX(0,MIN(AS241,Plan!$L$243-(IF(Crédits!$K$5="",0,IF(Crédits!$K$5&lt;Crédits!$K$10,E241,0))+IF(Crédits!$K$6="",0,IF(Crédits!$K$6&lt;Crédits!$K$10,M241,0))+IF(Crédits!$K$7="",0,IF(Crédits!$K$7&lt;Crédits!$K$10,U241,0))+IF(Crédits!$K$8="",0,IF(Crédits!$K$8&lt;Crédits!$K$10,AC241,0))+IF(Crédits!$K$9="",0,IF(Crédits!$K$9&lt;Crédits!$K$10,AK241,0))))))</f>
        <v>0</v>
      </c>
      <c r="AU241" s="104">
        <f t="shared" si="11"/>
        <v>0</v>
      </c>
      <c r="AV241" s="88">
        <f>ROUND(AV240+AW241-MIN(N(Crédits!$E$10),AV240+AW241),2)</f>
        <v>0</v>
      </c>
      <c r="AW241" s="89">
        <f>AV240*N(Crédits!$D$10)/12</f>
        <v>0</v>
      </c>
      <c r="AX241" s="105">
        <f t="shared" si="12"/>
        <v>0</v>
      </c>
      <c r="AY241" s="105">
        <f t="shared" ref="AY241:AZ241" si="259">F241+N241+V241+AD241+AL241+AT241</f>
        <v>0</v>
      </c>
      <c r="AZ241" s="105">
        <f t="shared" si="259"/>
        <v>0</v>
      </c>
      <c r="BA241" s="105">
        <f t="shared" si="14"/>
        <v>0</v>
      </c>
      <c r="BB241" s="105">
        <f t="shared" si="15"/>
        <v>0</v>
      </c>
    </row>
    <row r="242" spans="1:54" ht="15" customHeight="1" x14ac:dyDescent="0.25">
      <c r="A242" s="2">
        <v>240</v>
      </c>
      <c r="B242" s="83">
        <f t="shared" si="16"/>
        <v>0</v>
      </c>
      <c r="C242" s="83">
        <f>B242*N(Crédits!$D$5)/12</f>
        <v>0</v>
      </c>
      <c r="D242" s="83">
        <f>MIN(N(Crédits!$E$5),B242+C242)</f>
        <v>0</v>
      </c>
      <c r="E242" s="83">
        <f t="shared" si="0"/>
        <v>0</v>
      </c>
      <c r="F242" s="86">
        <f>IF(Crédits!$K$5="",0,MAX(0,MIN(E242,Plan!$L$244-(IF(Crédits!$K$6="",0,IF(Crédits!$K$6&lt;Crédits!$K$5,M242,0))+IF(Crédits!$K$7="",0,IF(Crédits!$K$7&lt;Crédits!$K$5,U242,0))+IF(Crédits!$K$8="",0,IF(Crédits!$K$8&lt;Crédits!$K$5,AC242,0))+IF(Crédits!$K$9="",0,IF(Crédits!$K$9&lt;Crédits!$K$5,AK242,0))+IF(Crédits!$K$10="",0,IF(Crédits!$K$10&lt;Crédits!$K$5,AS242,0))))))</f>
        <v>0</v>
      </c>
      <c r="G242" s="87">
        <f t="shared" si="1"/>
        <v>0</v>
      </c>
      <c r="H242" s="88">
        <f>ROUND(H241+I242-MIN(N(Crédits!$E$5),H241+I242),2)</f>
        <v>0</v>
      </c>
      <c r="I242" s="89">
        <f>H241*N(Crédits!$D$5)/12</f>
        <v>0</v>
      </c>
      <c r="J242" s="90">
        <f t="shared" si="17"/>
        <v>0</v>
      </c>
      <c r="K242" s="90">
        <f>J242*N(Crédits!$D$6)/12</f>
        <v>0</v>
      </c>
      <c r="L242" s="90">
        <f>MIN(N(Crédits!$E$6),J242+K242)</f>
        <v>0</v>
      </c>
      <c r="M242" s="90">
        <f t="shared" si="2"/>
        <v>0</v>
      </c>
      <c r="N242" s="91">
        <f>IF(Crédits!$K$6="",0,MAX(0,MIN(M242,Plan!$L$244-(IF(Crédits!$K$5="",0,IF(Crédits!$K$5&lt;Crédits!$K$6,E242,0))+IF(Crédits!$K$7="",0,IF(Crédits!$K$7&lt;Crédits!$K$6,U242,0))+IF(Crédits!$K$8="",0,IF(Crédits!$K$8&lt;Crédits!$K$6,AC242,0))+IF(Crédits!$K$9="",0,IF(Crédits!$K$9&lt;Crédits!$K$6,AK242,0))+IF(Crédits!$K$10="",0,IF(Crédits!$K$10&lt;Crédits!$K$6,AS242,0))))))</f>
        <v>0</v>
      </c>
      <c r="O242" s="92">
        <f t="shared" si="3"/>
        <v>0</v>
      </c>
      <c r="P242" s="88">
        <f>ROUND(P241+Q242-MIN(N(Crédits!$E$6),P241+Q242),2)</f>
        <v>0</v>
      </c>
      <c r="Q242" s="89">
        <f>P241*N(Crédits!$D$6)/12</f>
        <v>0</v>
      </c>
      <c r="R242" s="93">
        <f t="shared" si="18"/>
        <v>0</v>
      </c>
      <c r="S242" s="93">
        <f>R242*N(Crédits!$D$7)/12</f>
        <v>0</v>
      </c>
      <c r="T242" s="93">
        <f>MIN(N(Crédits!$E$7),R242+S242)</f>
        <v>0</v>
      </c>
      <c r="U242" s="93">
        <f t="shared" si="4"/>
        <v>0</v>
      </c>
      <c r="V242" s="94">
        <f>IF(Crédits!$K$7="",0,MAX(0,MIN(U242,Plan!$L$244-(IF(Crédits!$K$5="",0,IF(Crédits!$K$5&lt;Crédits!$K$7,E242,0))+IF(Crédits!$K$6="",0,IF(Crédits!$K$6&lt;Crédits!$K$7,M242,0))+IF(Crédits!$K$8="",0,IF(Crédits!$K$8&lt;Crédits!$K$7,AC242,0))+IF(Crédits!$K$9="",0,IF(Crédits!$K$9&lt;Crédits!$K$7,AK242,0))+IF(Crédits!$K$10="",0,IF(Crédits!$K$10&lt;Crédits!$K$7,AS242,0))))))</f>
        <v>0</v>
      </c>
      <c r="W242" s="95">
        <f t="shared" si="5"/>
        <v>0</v>
      </c>
      <c r="X242" s="88">
        <f>ROUND(X241+Y242-MIN(N(Crédits!$E$7),X241+Y242),2)</f>
        <v>0</v>
      </c>
      <c r="Y242" s="89">
        <f>X241*N(Crédits!$D$7)/12</f>
        <v>0</v>
      </c>
      <c r="Z242" s="96">
        <f t="shared" si="19"/>
        <v>0</v>
      </c>
      <c r="AA242" s="96">
        <f>Z242*N(Crédits!$D$8)/12</f>
        <v>0</v>
      </c>
      <c r="AB242" s="96">
        <f>MIN(N(Crédits!$E$8),Z242+AA242)</f>
        <v>0</v>
      </c>
      <c r="AC242" s="96">
        <f t="shared" si="6"/>
        <v>0</v>
      </c>
      <c r="AD242" s="97">
        <f>IF(Crédits!$K$8="",0,MAX(0,MIN(AC242,Plan!$L$244-(IF(Crédits!$K$5="",0,IF(Crédits!$K$5&lt;Crédits!$K$8,E242,0))+IF(Crédits!$K$6="",0,IF(Crédits!$K$6&lt;Crédits!$K$8,M242,0))+IF(Crédits!$K$7="",0,IF(Crédits!$K$7&lt;Crédits!$K$8,U242,0))+IF(Crédits!$K$9="",0,IF(Crédits!$K$9&lt;Crédits!$K$8,AK242,0))+IF(Crédits!$K$10="",0,IF(Crédits!$K$10&lt;Crédits!$K$8,AS242,0))))))</f>
        <v>0</v>
      </c>
      <c r="AE242" s="98">
        <f t="shared" si="7"/>
        <v>0</v>
      </c>
      <c r="AF242" s="88">
        <f>ROUND(AF241+AG242-MIN(N(Crédits!$E$8),AF241+AG242),2)</f>
        <v>0</v>
      </c>
      <c r="AG242" s="89">
        <f>AF241*N(Crédits!$D$8)/12</f>
        <v>0</v>
      </c>
      <c r="AH242" s="99">
        <f t="shared" si="20"/>
        <v>0</v>
      </c>
      <c r="AI242" s="99">
        <f>AH242*N(Crédits!$D$9)/12</f>
        <v>0</v>
      </c>
      <c r="AJ242" s="99">
        <f>MIN(N(Crédits!$E$9),AH242+AI242)</f>
        <v>0</v>
      </c>
      <c r="AK242" s="99">
        <f t="shared" si="8"/>
        <v>0</v>
      </c>
      <c r="AL242" s="100">
        <f>IF(Crédits!$K$9="",0,MAX(0,MIN(AK242,Plan!$L$244-(IF(Crédits!$K$5="",0,IF(Crédits!$K$5&lt;Crédits!$K$9,E242,0))+IF(Crédits!$K$6="",0,IF(Crédits!$K$6&lt;Crédits!$K$9,M242,0))+IF(Crédits!$K$7="",0,IF(Crédits!$K$7&lt;Crédits!$K$9,U242,0))+IF(Crédits!$K$8="",0,IF(Crédits!$K$8&lt;Crédits!$K$9,AC242,0))+IF(Crédits!$K$10="",0,IF(Crédits!$K$10&lt;Crédits!$K$9,AS242,0))))))</f>
        <v>0</v>
      </c>
      <c r="AM242" s="101">
        <f t="shared" si="9"/>
        <v>0</v>
      </c>
      <c r="AN242" s="88">
        <f>ROUND(AN241+AO242-MIN(N(Crédits!$E$9),AN241+AO242),2)</f>
        <v>0</v>
      </c>
      <c r="AO242" s="89">
        <f>AN241*N(Crédits!$D$9)/12</f>
        <v>0</v>
      </c>
      <c r="AP242" s="102">
        <f t="shared" si="21"/>
        <v>0</v>
      </c>
      <c r="AQ242" s="102">
        <f>AP242*N(Crédits!$D$10)/12</f>
        <v>0</v>
      </c>
      <c r="AR242" s="102">
        <f>MIN(N(Crédits!$E$10),AP242+AQ242)</f>
        <v>0</v>
      </c>
      <c r="AS242" s="102">
        <f t="shared" si="10"/>
        <v>0</v>
      </c>
      <c r="AT242" s="103">
        <f>IF(Crédits!$K$10="",0,MAX(0,MIN(AS242,Plan!$L$244-(IF(Crédits!$K$5="",0,IF(Crédits!$K$5&lt;Crédits!$K$10,E242,0))+IF(Crédits!$K$6="",0,IF(Crédits!$K$6&lt;Crédits!$K$10,M242,0))+IF(Crédits!$K$7="",0,IF(Crédits!$K$7&lt;Crédits!$K$10,U242,0))+IF(Crédits!$K$8="",0,IF(Crédits!$K$8&lt;Crédits!$K$10,AC242,0))+IF(Crédits!$K$9="",0,IF(Crédits!$K$9&lt;Crédits!$K$10,AK242,0))))))</f>
        <v>0</v>
      </c>
      <c r="AU242" s="104">
        <f t="shared" si="11"/>
        <v>0</v>
      </c>
      <c r="AV242" s="88">
        <f>ROUND(AV241+AW242-MIN(N(Crédits!$E$10),AV241+AW242),2)</f>
        <v>0</v>
      </c>
      <c r="AW242" s="89">
        <f>AV241*N(Crédits!$D$10)/12</f>
        <v>0</v>
      </c>
      <c r="AX242" s="105">
        <f t="shared" si="12"/>
        <v>0</v>
      </c>
      <c r="AY242" s="105">
        <f t="shared" ref="AY242:AZ242" si="260">F242+N242+V242+AD242+AL242+AT242</f>
        <v>0</v>
      </c>
      <c r="AZ242" s="105">
        <f t="shared" si="260"/>
        <v>0</v>
      </c>
      <c r="BA242" s="105">
        <f t="shared" si="14"/>
        <v>0</v>
      </c>
      <c r="BB242" s="105">
        <f t="shared" si="15"/>
        <v>0</v>
      </c>
    </row>
    <row r="243" spans="1:54" ht="15" customHeight="1" x14ac:dyDescent="0.25">
      <c r="A243" s="2">
        <v>241</v>
      </c>
      <c r="B243" s="83">
        <f t="shared" si="16"/>
        <v>0</v>
      </c>
      <c r="C243" s="83">
        <f>B243*N(Crédits!$D$5)/12</f>
        <v>0</v>
      </c>
      <c r="D243" s="83">
        <f>MIN(N(Crédits!$E$5),B243+C243)</f>
        <v>0</v>
      </c>
      <c r="E243" s="83">
        <f t="shared" si="0"/>
        <v>0</v>
      </c>
      <c r="F243" s="86">
        <f>IF(Crédits!$K$5="",0,MAX(0,MIN(E243,Plan!$L$245-(IF(Crédits!$K$6="",0,IF(Crédits!$K$6&lt;Crédits!$K$5,M243,0))+IF(Crédits!$K$7="",0,IF(Crédits!$K$7&lt;Crédits!$K$5,U243,0))+IF(Crédits!$K$8="",0,IF(Crédits!$K$8&lt;Crédits!$K$5,AC243,0))+IF(Crédits!$K$9="",0,IF(Crédits!$K$9&lt;Crédits!$K$5,AK243,0))+IF(Crédits!$K$10="",0,IF(Crédits!$K$10&lt;Crédits!$K$5,AS243,0))))))</f>
        <v>0</v>
      </c>
      <c r="G243" s="87">
        <f t="shared" si="1"/>
        <v>0</v>
      </c>
      <c r="H243" s="88">
        <f>ROUND(H242+I243-MIN(N(Crédits!$E$5),H242+I243),2)</f>
        <v>0</v>
      </c>
      <c r="I243" s="89">
        <f>H242*N(Crédits!$D$5)/12</f>
        <v>0</v>
      </c>
      <c r="J243" s="90">
        <f t="shared" si="17"/>
        <v>0</v>
      </c>
      <c r="K243" s="90">
        <f>J243*N(Crédits!$D$6)/12</f>
        <v>0</v>
      </c>
      <c r="L243" s="90">
        <f>MIN(N(Crédits!$E$6),J243+K243)</f>
        <v>0</v>
      </c>
      <c r="M243" s="90">
        <f t="shared" si="2"/>
        <v>0</v>
      </c>
      <c r="N243" s="91">
        <f>IF(Crédits!$K$6="",0,MAX(0,MIN(M243,Plan!$L$245-(IF(Crédits!$K$5="",0,IF(Crédits!$K$5&lt;Crédits!$K$6,E243,0))+IF(Crédits!$K$7="",0,IF(Crédits!$K$7&lt;Crédits!$K$6,U243,0))+IF(Crédits!$K$8="",0,IF(Crédits!$K$8&lt;Crédits!$K$6,AC243,0))+IF(Crédits!$K$9="",0,IF(Crédits!$K$9&lt;Crédits!$K$6,AK243,0))+IF(Crédits!$K$10="",0,IF(Crédits!$K$10&lt;Crédits!$K$6,AS243,0))))))</f>
        <v>0</v>
      </c>
      <c r="O243" s="92">
        <f t="shared" si="3"/>
        <v>0</v>
      </c>
      <c r="P243" s="88">
        <f>ROUND(P242+Q243-MIN(N(Crédits!$E$6),P242+Q243),2)</f>
        <v>0</v>
      </c>
      <c r="Q243" s="89">
        <f>P242*N(Crédits!$D$6)/12</f>
        <v>0</v>
      </c>
      <c r="R243" s="93">
        <f t="shared" si="18"/>
        <v>0</v>
      </c>
      <c r="S243" s="93">
        <f>R243*N(Crédits!$D$7)/12</f>
        <v>0</v>
      </c>
      <c r="T243" s="93">
        <f>MIN(N(Crédits!$E$7),R243+S243)</f>
        <v>0</v>
      </c>
      <c r="U243" s="93">
        <f t="shared" si="4"/>
        <v>0</v>
      </c>
      <c r="V243" s="94">
        <f>IF(Crédits!$K$7="",0,MAX(0,MIN(U243,Plan!$L$245-(IF(Crédits!$K$5="",0,IF(Crédits!$K$5&lt;Crédits!$K$7,E243,0))+IF(Crédits!$K$6="",0,IF(Crédits!$K$6&lt;Crédits!$K$7,M243,0))+IF(Crédits!$K$8="",0,IF(Crédits!$K$8&lt;Crédits!$K$7,AC243,0))+IF(Crédits!$K$9="",0,IF(Crédits!$K$9&lt;Crédits!$K$7,AK243,0))+IF(Crédits!$K$10="",0,IF(Crédits!$K$10&lt;Crédits!$K$7,AS243,0))))))</f>
        <v>0</v>
      </c>
      <c r="W243" s="95">
        <f t="shared" si="5"/>
        <v>0</v>
      </c>
      <c r="X243" s="88">
        <f>ROUND(X242+Y243-MIN(N(Crédits!$E$7),X242+Y243),2)</f>
        <v>0</v>
      </c>
      <c r="Y243" s="89">
        <f>X242*N(Crédits!$D$7)/12</f>
        <v>0</v>
      </c>
      <c r="Z243" s="96">
        <f t="shared" si="19"/>
        <v>0</v>
      </c>
      <c r="AA243" s="96">
        <f>Z243*N(Crédits!$D$8)/12</f>
        <v>0</v>
      </c>
      <c r="AB243" s="96">
        <f>MIN(N(Crédits!$E$8),Z243+AA243)</f>
        <v>0</v>
      </c>
      <c r="AC243" s="96">
        <f t="shared" si="6"/>
        <v>0</v>
      </c>
      <c r="AD243" s="97">
        <f>IF(Crédits!$K$8="",0,MAX(0,MIN(AC243,Plan!$L$245-(IF(Crédits!$K$5="",0,IF(Crédits!$K$5&lt;Crédits!$K$8,E243,0))+IF(Crédits!$K$6="",0,IF(Crédits!$K$6&lt;Crédits!$K$8,M243,0))+IF(Crédits!$K$7="",0,IF(Crédits!$K$7&lt;Crédits!$K$8,U243,0))+IF(Crédits!$K$9="",0,IF(Crédits!$K$9&lt;Crédits!$K$8,AK243,0))+IF(Crédits!$K$10="",0,IF(Crédits!$K$10&lt;Crédits!$K$8,AS243,0))))))</f>
        <v>0</v>
      </c>
      <c r="AE243" s="98">
        <f t="shared" si="7"/>
        <v>0</v>
      </c>
      <c r="AF243" s="88">
        <f>ROUND(AF242+AG243-MIN(N(Crédits!$E$8),AF242+AG243),2)</f>
        <v>0</v>
      </c>
      <c r="AG243" s="89">
        <f>AF242*N(Crédits!$D$8)/12</f>
        <v>0</v>
      </c>
      <c r="AH243" s="99">
        <f t="shared" si="20"/>
        <v>0</v>
      </c>
      <c r="AI243" s="99">
        <f>AH243*N(Crédits!$D$9)/12</f>
        <v>0</v>
      </c>
      <c r="AJ243" s="99">
        <f>MIN(N(Crédits!$E$9),AH243+AI243)</f>
        <v>0</v>
      </c>
      <c r="AK243" s="99">
        <f t="shared" si="8"/>
        <v>0</v>
      </c>
      <c r="AL243" s="100">
        <f>IF(Crédits!$K$9="",0,MAX(0,MIN(AK243,Plan!$L$245-(IF(Crédits!$K$5="",0,IF(Crédits!$K$5&lt;Crédits!$K$9,E243,0))+IF(Crédits!$K$6="",0,IF(Crédits!$K$6&lt;Crédits!$K$9,M243,0))+IF(Crédits!$K$7="",0,IF(Crédits!$K$7&lt;Crédits!$K$9,U243,0))+IF(Crédits!$K$8="",0,IF(Crédits!$K$8&lt;Crédits!$K$9,AC243,0))+IF(Crédits!$K$10="",0,IF(Crédits!$K$10&lt;Crédits!$K$9,AS243,0))))))</f>
        <v>0</v>
      </c>
      <c r="AM243" s="101">
        <f t="shared" si="9"/>
        <v>0</v>
      </c>
      <c r="AN243" s="88">
        <f>ROUND(AN242+AO243-MIN(N(Crédits!$E$9),AN242+AO243),2)</f>
        <v>0</v>
      </c>
      <c r="AO243" s="89">
        <f>AN242*N(Crédits!$D$9)/12</f>
        <v>0</v>
      </c>
      <c r="AP243" s="102">
        <f t="shared" si="21"/>
        <v>0</v>
      </c>
      <c r="AQ243" s="102">
        <f>AP243*N(Crédits!$D$10)/12</f>
        <v>0</v>
      </c>
      <c r="AR243" s="102">
        <f>MIN(N(Crédits!$E$10),AP243+AQ243)</f>
        <v>0</v>
      </c>
      <c r="AS243" s="102">
        <f t="shared" si="10"/>
        <v>0</v>
      </c>
      <c r="AT243" s="103">
        <f>IF(Crédits!$K$10="",0,MAX(0,MIN(AS243,Plan!$L$245-(IF(Crédits!$K$5="",0,IF(Crédits!$K$5&lt;Crédits!$K$10,E243,0))+IF(Crédits!$K$6="",0,IF(Crédits!$K$6&lt;Crédits!$K$10,M243,0))+IF(Crédits!$K$7="",0,IF(Crédits!$K$7&lt;Crédits!$K$10,U243,0))+IF(Crédits!$K$8="",0,IF(Crédits!$K$8&lt;Crédits!$K$10,AC243,0))+IF(Crédits!$K$9="",0,IF(Crédits!$K$9&lt;Crédits!$K$10,AK243,0))))))</f>
        <v>0</v>
      </c>
      <c r="AU243" s="104">
        <f t="shared" si="11"/>
        <v>0</v>
      </c>
      <c r="AV243" s="88">
        <f>ROUND(AV242+AW243-MIN(N(Crédits!$E$10),AV242+AW243),2)</f>
        <v>0</v>
      </c>
      <c r="AW243" s="89">
        <f>AV242*N(Crédits!$D$10)/12</f>
        <v>0</v>
      </c>
      <c r="AX243" s="105">
        <f t="shared" si="12"/>
        <v>0</v>
      </c>
      <c r="AY243" s="105">
        <f t="shared" ref="AY243:AZ243" si="261">F243+N243+V243+AD243+AL243+AT243</f>
        <v>0</v>
      </c>
      <c r="AZ243" s="105">
        <f t="shared" si="261"/>
        <v>0</v>
      </c>
      <c r="BA243" s="105">
        <f t="shared" si="14"/>
        <v>0</v>
      </c>
      <c r="BB243" s="105">
        <f t="shared" si="15"/>
        <v>0</v>
      </c>
    </row>
    <row r="244" spans="1:54" ht="15" customHeight="1" x14ac:dyDescent="0.25">
      <c r="A244" s="2">
        <v>242</v>
      </c>
      <c r="B244" s="83">
        <f t="shared" si="16"/>
        <v>0</v>
      </c>
      <c r="C244" s="83">
        <f>B244*N(Crédits!$D$5)/12</f>
        <v>0</v>
      </c>
      <c r="D244" s="83">
        <f>MIN(N(Crédits!$E$5),B244+C244)</f>
        <v>0</v>
      </c>
      <c r="E244" s="83">
        <f t="shared" si="0"/>
        <v>0</v>
      </c>
      <c r="F244" s="86">
        <f>IF(Crédits!$K$5="",0,MAX(0,MIN(E244,Plan!$L$246-(IF(Crédits!$K$6="",0,IF(Crédits!$K$6&lt;Crédits!$K$5,M244,0))+IF(Crédits!$K$7="",0,IF(Crédits!$K$7&lt;Crédits!$K$5,U244,0))+IF(Crédits!$K$8="",0,IF(Crédits!$K$8&lt;Crédits!$K$5,AC244,0))+IF(Crédits!$K$9="",0,IF(Crédits!$K$9&lt;Crédits!$K$5,AK244,0))+IF(Crédits!$K$10="",0,IF(Crédits!$K$10&lt;Crédits!$K$5,AS244,0))))))</f>
        <v>0</v>
      </c>
      <c r="G244" s="87">
        <f t="shared" si="1"/>
        <v>0</v>
      </c>
      <c r="H244" s="88">
        <f>ROUND(H243+I244-MIN(N(Crédits!$E$5),H243+I244),2)</f>
        <v>0</v>
      </c>
      <c r="I244" s="89">
        <f>H243*N(Crédits!$D$5)/12</f>
        <v>0</v>
      </c>
      <c r="J244" s="90">
        <f t="shared" si="17"/>
        <v>0</v>
      </c>
      <c r="K244" s="90">
        <f>J244*N(Crédits!$D$6)/12</f>
        <v>0</v>
      </c>
      <c r="L244" s="90">
        <f>MIN(N(Crédits!$E$6),J244+K244)</f>
        <v>0</v>
      </c>
      <c r="M244" s="90">
        <f t="shared" si="2"/>
        <v>0</v>
      </c>
      <c r="N244" s="91">
        <f>IF(Crédits!$K$6="",0,MAX(0,MIN(M244,Plan!$L$246-(IF(Crédits!$K$5="",0,IF(Crédits!$K$5&lt;Crédits!$K$6,E244,0))+IF(Crédits!$K$7="",0,IF(Crédits!$K$7&lt;Crédits!$K$6,U244,0))+IF(Crédits!$K$8="",0,IF(Crédits!$K$8&lt;Crédits!$K$6,AC244,0))+IF(Crédits!$K$9="",0,IF(Crédits!$K$9&lt;Crédits!$K$6,AK244,0))+IF(Crédits!$K$10="",0,IF(Crédits!$K$10&lt;Crédits!$K$6,AS244,0))))))</f>
        <v>0</v>
      </c>
      <c r="O244" s="92">
        <f t="shared" si="3"/>
        <v>0</v>
      </c>
      <c r="P244" s="88">
        <f>ROUND(P243+Q244-MIN(N(Crédits!$E$6),P243+Q244),2)</f>
        <v>0</v>
      </c>
      <c r="Q244" s="89">
        <f>P243*N(Crédits!$D$6)/12</f>
        <v>0</v>
      </c>
      <c r="R244" s="93">
        <f t="shared" si="18"/>
        <v>0</v>
      </c>
      <c r="S244" s="93">
        <f>R244*N(Crédits!$D$7)/12</f>
        <v>0</v>
      </c>
      <c r="T244" s="93">
        <f>MIN(N(Crédits!$E$7),R244+S244)</f>
        <v>0</v>
      </c>
      <c r="U244" s="93">
        <f t="shared" si="4"/>
        <v>0</v>
      </c>
      <c r="V244" s="94">
        <f>IF(Crédits!$K$7="",0,MAX(0,MIN(U244,Plan!$L$246-(IF(Crédits!$K$5="",0,IF(Crédits!$K$5&lt;Crédits!$K$7,E244,0))+IF(Crédits!$K$6="",0,IF(Crédits!$K$6&lt;Crédits!$K$7,M244,0))+IF(Crédits!$K$8="",0,IF(Crédits!$K$8&lt;Crédits!$K$7,AC244,0))+IF(Crédits!$K$9="",0,IF(Crédits!$K$9&lt;Crédits!$K$7,AK244,0))+IF(Crédits!$K$10="",0,IF(Crédits!$K$10&lt;Crédits!$K$7,AS244,0))))))</f>
        <v>0</v>
      </c>
      <c r="W244" s="95">
        <f t="shared" si="5"/>
        <v>0</v>
      </c>
      <c r="X244" s="88">
        <f>ROUND(X243+Y244-MIN(N(Crédits!$E$7),X243+Y244),2)</f>
        <v>0</v>
      </c>
      <c r="Y244" s="89">
        <f>X243*N(Crédits!$D$7)/12</f>
        <v>0</v>
      </c>
      <c r="Z244" s="96">
        <f t="shared" si="19"/>
        <v>0</v>
      </c>
      <c r="AA244" s="96">
        <f>Z244*N(Crédits!$D$8)/12</f>
        <v>0</v>
      </c>
      <c r="AB244" s="96">
        <f>MIN(N(Crédits!$E$8),Z244+AA244)</f>
        <v>0</v>
      </c>
      <c r="AC244" s="96">
        <f t="shared" si="6"/>
        <v>0</v>
      </c>
      <c r="AD244" s="97">
        <f>IF(Crédits!$K$8="",0,MAX(0,MIN(AC244,Plan!$L$246-(IF(Crédits!$K$5="",0,IF(Crédits!$K$5&lt;Crédits!$K$8,E244,0))+IF(Crédits!$K$6="",0,IF(Crédits!$K$6&lt;Crédits!$K$8,M244,0))+IF(Crédits!$K$7="",0,IF(Crédits!$K$7&lt;Crédits!$K$8,U244,0))+IF(Crédits!$K$9="",0,IF(Crédits!$K$9&lt;Crédits!$K$8,AK244,0))+IF(Crédits!$K$10="",0,IF(Crédits!$K$10&lt;Crédits!$K$8,AS244,0))))))</f>
        <v>0</v>
      </c>
      <c r="AE244" s="98">
        <f t="shared" si="7"/>
        <v>0</v>
      </c>
      <c r="AF244" s="88">
        <f>ROUND(AF243+AG244-MIN(N(Crédits!$E$8),AF243+AG244),2)</f>
        <v>0</v>
      </c>
      <c r="AG244" s="89">
        <f>AF243*N(Crédits!$D$8)/12</f>
        <v>0</v>
      </c>
      <c r="AH244" s="99">
        <f t="shared" si="20"/>
        <v>0</v>
      </c>
      <c r="AI244" s="99">
        <f>AH244*N(Crédits!$D$9)/12</f>
        <v>0</v>
      </c>
      <c r="AJ244" s="99">
        <f>MIN(N(Crédits!$E$9),AH244+AI244)</f>
        <v>0</v>
      </c>
      <c r="AK244" s="99">
        <f t="shared" si="8"/>
        <v>0</v>
      </c>
      <c r="AL244" s="100">
        <f>IF(Crédits!$K$9="",0,MAX(0,MIN(AK244,Plan!$L$246-(IF(Crédits!$K$5="",0,IF(Crédits!$K$5&lt;Crédits!$K$9,E244,0))+IF(Crédits!$K$6="",0,IF(Crédits!$K$6&lt;Crédits!$K$9,M244,0))+IF(Crédits!$K$7="",0,IF(Crédits!$K$7&lt;Crédits!$K$9,U244,0))+IF(Crédits!$K$8="",0,IF(Crédits!$K$8&lt;Crédits!$K$9,AC244,0))+IF(Crédits!$K$10="",0,IF(Crédits!$K$10&lt;Crédits!$K$9,AS244,0))))))</f>
        <v>0</v>
      </c>
      <c r="AM244" s="101">
        <f t="shared" si="9"/>
        <v>0</v>
      </c>
      <c r="AN244" s="88">
        <f>ROUND(AN243+AO244-MIN(N(Crédits!$E$9),AN243+AO244),2)</f>
        <v>0</v>
      </c>
      <c r="AO244" s="89">
        <f>AN243*N(Crédits!$D$9)/12</f>
        <v>0</v>
      </c>
      <c r="AP244" s="102">
        <f t="shared" si="21"/>
        <v>0</v>
      </c>
      <c r="AQ244" s="102">
        <f>AP244*N(Crédits!$D$10)/12</f>
        <v>0</v>
      </c>
      <c r="AR244" s="102">
        <f>MIN(N(Crédits!$E$10),AP244+AQ244)</f>
        <v>0</v>
      </c>
      <c r="AS244" s="102">
        <f t="shared" si="10"/>
        <v>0</v>
      </c>
      <c r="AT244" s="103">
        <f>IF(Crédits!$K$10="",0,MAX(0,MIN(AS244,Plan!$L$246-(IF(Crédits!$K$5="",0,IF(Crédits!$K$5&lt;Crédits!$K$10,E244,0))+IF(Crédits!$K$6="",0,IF(Crédits!$K$6&lt;Crédits!$K$10,M244,0))+IF(Crédits!$K$7="",0,IF(Crédits!$K$7&lt;Crédits!$K$10,U244,0))+IF(Crédits!$K$8="",0,IF(Crédits!$K$8&lt;Crédits!$K$10,AC244,0))+IF(Crédits!$K$9="",0,IF(Crédits!$K$9&lt;Crédits!$K$10,AK244,0))))))</f>
        <v>0</v>
      </c>
      <c r="AU244" s="104">
        <f t="shared" si="11"/>
        <v>0</v>
      </c>
      <c r="AV244" s="88">
        <f>ROUND(AV243+AW244-MIN(N(Crédits!$E$10),AV243+AW244),2)</f>
        <v>0</v>
      </c>
      <c r="AW244" s="89">
        <f>AV243*N(Crédits!$D$10)/12</f>
        <v>0</v>
      </c>
      <c r="AX244" s="105">
        <f t="shared" si="12"/>
        <v>0</v>
      </c>
      <c r="AY244" s="105">
        <f t="shared" ref="AY244:AZ244" si="262">F244+N244+V244+AD244+AL244+AT244</f>
        <v>0</v>
      </c>
      <c r="AZ244" s="105">
        <f t="shared" si="262"/>
        <v>0</v>
      </c>
      <c r="BA244" s="105">
        <f t="shared" si="14"/>
        <v>0</v>
      </c>
      <c r="BB244" s="105">
        <f t="shared" si="15"/>
        <v>0</v>
      </c>
    </row>
    <row r="245" spans="1:54" ht="15" customHeight="1" x14ac:dyDescent="0.25">
      <c r="A245" s="2">
        <v>243</v>
      </c>
      <c r="B245" s="83">
        <f t="shared" si="16"/>
        <v>0</v>
      </c>
      <c r="C245" s="83">
        <f>B245*N(Crédits!$D$5)/12</f>
        <v>0</v>
      </c>
      <c r="D245" s="83">
        <f>MIN(N(Crédits!$E$5),B245+C245)</f>
        <v>0</v>
      </c>
      <c r="E245" s="83">
        <f t="shared" si="0"/>
        <v>0</v>
      </c>
      <c r="F245" s="86">
        <f>IF(Crédits!$K$5="",0,MAX(0,MIN(E245,Plan!$L$247-(IF(Crédits!$K$6="",0,IF(Crédits!$K$6&lt;Crédits!$K$5,M245,0))+IF(Crédits!$K$7="",0,IF(Crédits!$K$7&lt;Crédits!$K$5,U245,0))+IF(Crédits!$K$8="",0,IF(Crédits!$K$8&lt;Crédits!$K$5,AC245,0))+IF(Crédits!$K$9="",0,IF(Crédits!$K$9&lt;Crédits!$K$5,AK245,0))+IF(Crédits!$K$10="",0,IF(Crédits!$K$10&lt;Crédits!$K$5,AS245,0))))))</f>
        <v>0</v>
      </c>
      <c r="G245" s="87">
        <f t="shared" si="1"/>
        <v>0</v>
      </c>
      <c r="H245" s="88">
        <f>ROUND(H244+I245-MIN(N(Crédits!$E$5),H244+I245),2)</f>
        <v>0</v>
      </c>
      <c r="I245" s="89">
        <f>H244*N(Crédits!$D$5)/12</f>
        <v>0</v>
      </c>
      <c r="J245" s="90">
        <f t="shared" si="17"/>
        <v>0</v>
      </c>
      <c r="K245" s="90">
        <f>J245*N(Crédits!$D$6)/12</f>
        <v>0</v>
      </c>
      <c r="L245" s="90">
        <f>MIN(N(Crédits!$E$6),J245+K245)</f>
        <v>0</v>
      </c>
      <c r="M245" s="90">
        <f t="shared" si="2"/>
        <v>0</v>
      </c>
      <c r="N245" s="91">
        <f>IF(Crédits!$K$6="",0,MAX(0,MIN(M245,Plan!$L$247-(IF(Crédits!$K$5="",0,IF(Crédits!$K$5&lt;Crédits!$K$6,E245,0))+IF(Crédits!$K$7="",0,IF(Crédits!$K$7&lt;Crédits!$K$6,U245,0))+IF(Crédits!$K$8="",0,IF(Crédits!$K$8&lt;Crédits!$K$6,AC245,0))+IF(Crédits!$K$9="",0,IF(Crédits!$K$9&lt;Crédits!$K$6,AK245,0))+IF(Crédits!$K$10="",0,IF(Crédits!$K$10&lt;Crédits!$K$6,AS245,0))))))</f>
        <v>0</v>
      </c>
      <c r="O245" s="92">
        <f t="shared" si="3"/>
        <v>0</v>
      </c>
      <c r="P245" s="88">
        <f>ROUND(P244+Q245-MIN(N(Crédits!$E$6),P244+Q245),2)</f>
        <v>0</v>
      </c>
      <c r="Q245" s="89">
        <f>P244*N(Crédits!$D$6)/12</f>
        <v>0</v>
      </c>
      <c r="R245" s="93">
        <f t="shared" si="18"/>
        <v>0</v>
      </c>
      <c r="S245" s="93">
        <f>R245*N(Crédits!$D$7)/12</f>
        <v>0</v>
      </c>
      <c r="T245" s="93">
        <f>MIN(N(Crédits!$E$7),R245+S245)</f>
        <v>0</v>
      </c>
      <c r="U245" s="93">
        <f t="shared" si="4"/>
        <v>0</v>
      </c>
      <c r="V245" s="94">
        <f>IF(Crédits!$K$7="",0,MAX(0,MIN(U245,Plan!$L$247-(IF(Crédits!$K$5="",0,IF(Crédits!$K$5&lt;Crédits!$K$7,E245,0))+IF(Crédits!$K$6="",0,IF(Crédits!$K$6&lt;Crédits!$K$7,M245,0))+IF(Crédits!$K$8="",0,IF(Crédits!$K$8&lt;Crédits!$K$7,AC245,0))+IF(Crédits!$K$9="",0,IF(Crédits!$K$9&lt;Crédits!$K$7,AK245,0))+IF(Crédits!$K$10="",0,IF(Crédits!$K$10&lt;Crédits!$K$7,AS245,0))))))</f>
        <v>0</v>
      </c>
      <c r="W245" s="95">
        <f t="shared" si="5"/>
        <v>0</v>
      </c>
      <c r="X245" s="88">
        <f>ROUND(X244+Y245-MIN(N(Crédits!$E$7),X244+Y245),2)</f>
        <v>0</v>
      </c>
      <c r="Y245" s="89">
        <f>X244*N(Crédits!$D$7)/12</f>
        <v>0</v>
      </c>
      <c r="Z245" s="96">
        <f t="shared" si="19"/>
        <v>0</v>
      </c>
      <c r="AA245" s="96">
        <f>Z245*N(Crédits!$D$8)/12</f>
        <v>0</v>
      </c>
      <c r="AB245" s="96">
        <f>MIN(N(Crédits!$E$8),Z245+AA245)</f>
        <v>0</v>
      </c>
      <c r="AC245" s="96">
        <f t="shared" si="6"/>
        <v>0</v>
      </c>
      <c r="AD245" s="97">
        <f>IF(Crédits!$K$8="",0,MAX(0,MIN(AC245,Plan!$L$247-(IF(Crédits!$K$5="",0,IF(Crédits!$K$5&lt;Crédits!$K$8,E245,0))+IF(Crédits!$K$6="",0,IF(Crédits!$K$6&lt;Crédits!$K$8,M245,0))+IF(Crédits!$K$7="",0,IF(Crédits!$K$7&lt;Crédits!$K$8,U245,0))+IF(Crédits!$K$9="",0,IF(Crédits!$K$9&lt;Crédits!$K$8,AK245,0))+IF(Crédits!$K$10="",0,IF(Crédits!$K$10&lt;Crédits!$K$8,AS245,0))))))</f>
        <v>0</v>
      </c>
      <c r="AE245" s="98">
        <f t="shared" si="7"/>
        <v>0</v>
      </c>
      <c r="AF245" s="88">
        <f>ROUND(AF244+AG245-MIN(N(Crédits!$E$8),AF244+AG245),2)</f>
        <v>0</v>
      </c>
      <c r="AG245" s="89">
        <f>AF244*N(Crédits!$D$8)/12</f>
        <v>0</v>
      </c>
      <c r="AH245" s="99">
        <f t="shared" si="20"/>
        <v>0</v>
      </c>
      <c r="AI245" s="99">
        <f>AH245*N(Crédits!$D$9)/12</f>
        <v>0</v>
      </c>
      <c r="AJ245" s="99">
        <f>MIN(N(Crédits!$E$9),AH245+AI245)</f>
        <v>0</v>
      </c>
      <c r="AK245" s="99">
        <f t="shared" si="8"/>
        <v>0</v>
      </c>
      <c r="AL245" s="100">
        <f>IF(Crédits!$K$9="",0,MAX(0,MIN(AK245,Plan!$L$247-(IF(Crédits!$K$5="",0,IF(Crédits!$K$5&lt;Crédits!$K$9,E245,0))+IF(Crédits!$K$6="",0,IF(Crédits!$K$6&lt;Crédits!$K$9,M245,0))+IF(Crédits!$K$7="",0,IF(Crédits!$K$7&lt;Crédits!$K$9,U245,0))+IF(Crédits!$K$8="",0,IF(Crédits!$K$8&lt;Crédits!$K$9,AC245,0))+IF(Crédits!$K$10="",0,IF(Crédits!$K$10&lt;Crédits!$K$9,AS245,0))))))</f>
        <v>0</v>
      </c>
      <c r="AM245" s="101">
        <f t="shared" si="9"/>
        <v>0</v>
      </c>
      <c r="AN245" s="88">
        <f>ROUND(AN244+AO245-MIN(N(Crédits!$E$9),AN244+AO245),2)</f>
        <v>0</v>
      </c>
      <c r="AO245" s="89">
        <f>AN244*N(Crédits!$D$9)/12</f>
        <v>0</v>
      </c>
      <c r="AP245" s="102">
        <f t="shared" si="21"/>
        <v>0</v>
      </c>
      <c r="AQ245" s="102">
        <f>AP245*N(Crédits!$D$10)/12</f>
        <v>0</v>
      </c>
      <c r="AR245" s="102">
        <f>MIN(N(Crédits!$E$10),AP245+AQ245)</f>
        <v>0</v>
      </c>
      <c r="AS245" s="102">
        <f t="shared" si="10"/>
        <v>0</v>
      </c>
      <c r="AT245" s="103">
        <f>IF(Crédits!$K$10="",0,MAX(0,MIN(AS245,Plan!$L$247-(IF(Crédits!$K$5="",0,IF(Crédits!$K$5&lt;Crédits!$K$10,E245,0))+IF(Crédits!$K$6="",0,IF(Crédits!$K$6&lt;Crédits!$K$10,M245,0))+IF(Crédits!$K$7="",0,IF(Crédits!$K$7&lt;Crédits!$K$10,U245,0))+IF(Crédits!$K$8="",0,IF(Crédits!$K$8&lt;Crédits!$K$10,AC245,0))+IF(Crédits!$K$9="",0,IF(Crédits!$K$9&lt;Crédits!$K$10,AK245,0))))))</f>
        <v>0</v>
      </c>
      <c r="AU245" s="104">
        <f t="shared" si="11"/>
        <v>0</v>
      </c>
      <c r="AV245" s="88">
        <f>ROUND(AV244+AW245-MIN(N(Crédits!$E$10),AV244+AW245),2)</f>
        <v>0</v>
      </c>
      <c r="AW245" s="89">
        <f>AV244*N(Crédits!$D$10)/12</f>
        <v>0</v>
      </c>
      <c r="AX245" s="105">
        <f t="shared" si="12"/>
        <v>0</v>
      </c>
      <c r="AY245" s="105">
        <f t="shared" ref="AY245:AZ245" si="263">F245+N245+V245+AD245+AL245+AT245</f>
        <v>0</v>
      </c>
      <c r="AZ245" s="105">
        <f t="shared" si="263"/>
        <v>0</v>
      </c>
      <c r="BA245" s="105">
        <f t="shared" si="14"/>
        <v>0</v>
      </c>
      <c r="BB245" s="105">
        <f t="shared" si="15"/>
        <v>0</v>
      </c>
    </row>
    <row r="246" spans="1:54" ht="15" customHeight="1" x14ac:dyDescent="0.25">
      <c r="A246" s="2">
        <v>244</v>
      </c>
      <c r="B246" s="83">
        <f t="shared" si="16"/>
        <v>0</v>
      </c>
      <c r="C246" s="83">
        <f>B246*N(Crédits!$D$5)/12</f>
        <v>0</v>
      </c>
      <c r="D246" s="83">
        <f>MIN(N(Crédits!$E$5),B246+C246)</f>
        <v>0</v>
      </c>
      <c r="E246" s="83">
        <f t="shared" si="0"/>
        <v>0</v>
      </c>
      <c r="F246" s="86">
        <f>IF(Crédits!$K$5="",0,MAX(0,MIN(E246,Plan!$L$248-(IF(Crédits!$K$6="",0,IF(Crédits!$K$6&lt;Crédits!$K$5,M246,0))+IF(Crédits!$K$7="",0,IF(Crédits!$K$7&lt;Crédits!$K$5,U246,0))+IF(Crédits!$K$8="",0,IF(Crédits!$K$8&lt;Crédits!$K$5,AC246,0))+IF(Crédits!$K$9="",0,IF(Crédits!$K$9&lt;Crédits!$K$5,AK246,0))+IF(Crédits!$K$10="",0,IF(Crédits!$K$10&lt;Crédits!$K$5,AS246,0))))))</f>
        <v>0</v>
      </c>
      <c r="G246" s="87">
        <f t="shared" si="1"/>
        <v>0</v>
      </c>
      <c r="H246" s="88">
        <f>ROUND(H245+I246-MIN(N(Crédits!$E$5),H245+I246),2)</f>
        <v>0</v>
      </c>
      <c r="I246" s="89">
        <f>H245*N(Crédits!$D$5)/12</f>
        <v>0</v>
      </c>
      <c r="J246" s="90">
        <f t="shared" si="17"/>
        <v>0</v>
      </c>
      <c r="K246" s="90">
        <f>J246*N(Crédits!$D$6)/12</f>
        <v>0</v>
      </c>
      <c r="L246" s="90">
        <f>MIN(N(Crédits!$E$6),J246+K246)</f>
        <v>0</v>
      </c>
      <c r="M246" s="90">
        <f t="shared" si="2"/>
        <v>0</v>
      </c>
      <c r="N246" s="91">
        <f>IF(Crédits!$K$6="",0,MAX(0,MIN(M246,Plan!$L$248-(IF(Crédits!$K$5="",0,IF(Crédits!$K$5&lt;Crédits!$K$6,E246,0))+IF(Crédits!$K$7="",0,IF(Crédits!$K$7&lt;Crédits!$K$6,U246,0))+IF(Crédits!$K$8="",0,IF(Crédits!$K$8&lt;Crédits!$K$6,AC246,0))+IF(Crédits!$K$9="",0,IF(Crédits!$K$9&lt;Crédits!$K$6,AK246,0))+IF(Crédits!$K$10="",0,IF(Crédits!$K$10&lt;Crédits!$K$6,AS246,0))))))</f>
        <v>0</v>
      </c>
      <c r="O246" s="92">
        <f t="shared" si="3"/>
        <v>0</v>
      </c>
      <c r="P246" s="88">
        <f>ROUND(P245+Q246-MIN(N(Crédits!$E$6),P245+Q246),2)</f>
        <v>0</v>
      </c>
      <c r="Q246" s="89">
        <f>P245*N(Crédits!$D$6)/12</f>
        <v>0</v>
      </c>
      <c r="R246" s="93">
        <f t="shared" si="18"/>
        <v>0</v>
      </c>
      <c r="S246" s="93">
        <f>R246*N(Crédits!$D$7)/12</f>
        <v>0</v>
      </c>
      <c r="T246" s="93">
        <f>MIN(N(Crédits!$E$7),R246+S246)</f>
        <v>0</v>
      </c>
      <c r="U246" s="93">
        <f t="shared" si="4"/>
        <v>0</v>
      </c>
      <c r="V246" s="94">
        <f>IF(Crédits!$K$7="",0,MAX(0,MIN(U246,Plan!$L$248-(IF(Crédits!$K$5="",0,IF(Crédits!$K$5&lt;Crédits!$K$7,E246,0))+IF(Crédits!$K$6="",0,IF(Crédits!$K$6&lt;Crédits!$K$7,M246,0))+IF(Crédits!$K$8="",0,IF(Crédits!$K$8&lt;Crédits!$K$7,AC246,0))+IF(Crédits!$K$9="",0,IF(Crédits!$K$9&lt;Crédits!$K$7,AK246,0))+IF(Crédits!$K$10="",0,IF(Crédits!$K$10&lt;Crédits!$K$7,AS246,0))))))</f>
        <v>0</v>
      </c>
      <c r="W246" s="95">
        <f t="shared" si="5"/>
        <v>0</v>
      </c>
      <c r="X246" s="88">
        <f>ROUND(X245+Y246-MIN(N(Crédits!$E$7),X245+Y246),2)</f>
        <v>0</v>
      </c>
      <c r="Y246" s="89">
        <f>X245*N(Crédits!$D$7)/12</f>
        <v>0</v>
      </c>
      <c r="Z246" s="96">
        <f t="shared" si="19"/>
        <v>0</v>
      </c>
      <c r="AA246" s="96">
        <f>Z246*N(Crédits!$D$8)/12</f>
        <v>0</v>
      </c>
      <c r="AB246" s="96">
        <f>MIN(N(Crédits!$E$8),Z246+AA246)</f>
        <v>0</v>
      </c>
      <c r="AC246" s="96">
        <f t="shared" si="6"/>
        <v>0</v>
      </c>
      <c r="AD246" s="97">
        <f>IF(Crédits!$K$8="",0,MAX(0,MIN(AC246,Plan!$L$248-(IF(Crédits!$K$5="",0,IF(Crédits!$K$5&lt;Crédits!$K$8,E246,0))+IF(Crédits!$K$6="",0,IF(Crédits!$K$6&lt;Crédits!$K$8,M246,0))+IF(Crédits!$K$7="",0,IF(Crédits!$K$7&lt;Crédits!$K$8,U246,0))+IF(Crédits!$K$9="",0,IF(Crédits!$K$9&lt;Crédits!$K$8,AK246,0))+IF(Crédits!$K$10="",0,IF(Crédits!$K$10&lt;Crédits!$K$8,AS246,0))))))</f>
        <v>0</v>
      </c>
      <c r="AE246" s="98">
        <f t="shared" si="7"/>
        <v>0</v>
      </c>
      <c r="AF246" s="88">
        <f>ROUND(AF245+AG246-MIN(N(Crédits!$E$8),AF245+AG246),2)</f>
        <v>0</v>
      </c>
      <c r="AG246" s="89">
        <f>AF245*N(Crédits!$D$8)/12</f>
        <v>0</v>
      </c>
      <c r="AH246" s="99">
        <f t="shared" si="20"/>
        <v>0</v>
      </c>
      <c r="AI246" s="99">
        <f>AH246*N(Crédits!$D$9)/12</f>
        <v>0</v>
      </c>
      <c r="AJ246" s="99">
        <f>MIN(N(Crédits!$E$9),AH246+AI246)</f>
        <v>0</v>
      </c>
      <c r="AK246" s="99">
        <f t="shared" si="8"/>
        <v>0</v>
      </c>
      <c r="AL246" s="100">
        <f>IF(Crédits!$K$9="",0,MAX(0,MIN(AK246,Plan!$L$248-(IF(Crédits!$K$5="",0,IF(Crédits!$K$5&lt;Crédits!$K$9,E246,0))+IF(Crédits!$K$6="",0,IF(Crédits!$K$6&lt;Crédits!$K$9,M246,0))+IF(Crédits!$K$7="",0,IF(Crédits!$K$7&lt;Crédits!$K$9,U246,0))+IF(Crédits!$K$8="",0,IF(Crédits!$K$8&lt;Crédits!$K$9,AC246,0))+IF(Crédits!$K$10="",0,IF(Crédits!$K$10&lt;Crédits!$K$9,AS246,0))))))</f>
        <v>0</v>
      </c>
      <c r="AM246" s="101">
        <f t="shared" si="9"/>
        <v>0</v>
      </c>
      <c r="AN246" s="88">
        <f>ROUND(AN245+AO246-MIN(N(Crédits!$E$9),AN245+AO246),2)</f>
        <v>0</v>
      </c>
      <c r="AO246" s="89">
        <f>AN245*N(Crédits!$D$9)/12</f>
        <v>0</v>
      </c>
      <c r="AP246" s="102">
        <f t="shared" si="21"/>
        <v>0</v>
      </c>
      <c r="AQ246" s="102">
        <f>AP246*N(Crédits!$D$10)/12</f>
        <v>0</v>
      </c>
      <c r="AR246" s="102">
        <f>MIN(N(Crédits!$E$10),AP246+AQ246)</f>
        <v>0</v>
      </c>
      <c r="AS246" s="102">
        <f t="shared" si="10"/>
        <v>0</v>
      </c>
      <c r="AT246" s="103">
        <f>IF(Crédits!$K$10="",0,MAX(0,MIN(AS246,Plan!$L$248-(IF(Crédits!$K$5="",0,IF(Crédits!$K$5&lt;Crédits!$K$10,E246,0))+IF(Crédits!$K$6="",0,IF(Crédits!$K$6&lt;Crédits!$K$10,M246,0))+IF(Crédits!$K$7="",0,IF(Crédits!$K$7&lt;Crédits!$K$10,U246,0))+IF(Crédits!$K$8="",0,IF(Crédits!$K$8&lt;Crédits!$K$10,AC246,0))+IF(Crédits!$K$9="",0,IF(Crédits!$K$9&lt;Crédits!$K$10,AK246,0))))))</f>
        <v>0</v>
      </c>
      <c r="AU246" s="104">
        <f t="shared" si="11"/>
        <v>0</v>
      </c>
      <c r="AV246" s="88">
        <f>ROUND(AV245+AW246-MIN(N(Crédits!$E$10),AV245+AW246),2)</f>
        <v>0</v>
      </c>
      <c r="AW246" s="89">
        <f>AV245*N(Crédits!$D$10)/12</f>
        <v>0</v>
      </c>
      <c r="AX246" s="105">
        <f t="shared" si="12"/>
        <v>0</v>
      </c>
      <c r="AY246" s="105">
        <f t="shared" ref="AY246:AZ246" si="264">F246+N246+V246+AD246+AL246+AT246</f>
        <v>0</v>
      </c>
      <c r="AZ246" s="105">
        <f t="shared" si="264"/>
        <v>0</v>
      </c>
      <c r="BA246" s="105">
        <f t="shared" si="14"/>
        <v>0</v>
      </c>
      <c r="BB246" s="105">
        <f t="shared" si="15"/>
        <v>0</v>
      </c>
    </row>
    <row r="247" spans="1:54" ht="15" customHeight="1" x14ac:dyDescent="0.25">
      <c r="A247" s="2">
        <v>245</v>
      </c>
      <c r="B247" s="83">
        <f t="shared" si="16"/>
        <v>0</v>
      </c>
      <c r="C247" s="83">
        <f>B247*N(Crédits!$D$5)/12</f>
        <v>0</v>
      </c>
      <c r="D247" s="83">
        <f>MIN(N(Crédits!$E$5),B247+C247)</f>
        <v>0</v>
      </c>
      <c r="E247" s="83">
        <f t="shared" si="0"/>
        <v>0</v>
      </c>
      <c r="F247" s="86">
        <f>IF(Crédits!$K$5="",0,MAX(0,MIN(E247,Plan!$L$249-(IF(Crédits!$K$6="",0,IF(Crédits!$K$6&lt;Crédits!$K$5,M247,0))+IF(Crédits!$K$7="",0,IF(Crédits!$K$7&lt;Crédits!$K$5,U247,0))+IF(Crédits!$K$8="",0,IF(Crédits!$K$8&lt;Crédits!$K$5,AC247,0))+IF(Crédits!$K$9="",0,IF(Crédits!$K$9&lt;Crédits!$K$5,AK247,0))+IF(Crédits!$K$10="",0,IF(Crédits!$K$10&lt;Crédits!$K$5,AS247,0))))))</f>
        <v>0</v>
      </c>
      <c r="G247" s="87">
        <f t="shared" si="1"/>
        <v>0</v>
      </c>
      <c r="H247" s="88">
        <f>ROUND(H246+I247-MIN(N(Crédits!$E$5),H246+I247),2)</f>
        <v>0</v>
      </c>
      <c r="I247" s="89">
        <f>H246*N(Crédits!$D$5)/12</f>
        <v>0</v>
      </c>
      <c r="J247" s="90">
        <f t="shared" si="17"/>
        <v>0</v>
      </c>
      <c r="K247" s="90">
        <f>J247*N(Crédits!$D$6)/12</f>
        <v>0</v>
      </c>
      <c r="L247" s="90">
        <f>MIN(N(Crédits!$E$6),J247+K247)</f>
        <v>0</v>
      </c>
      <c r="M247" s="90">
        <f t="shared" si="2"/>
        <v>0</v>
      </c>
      <c r="N247" s="91">
        <f>IF(Crédits!$K$6="",0,MAX(0,MIN(M247,Plan!$L$249-(IF(Crédits!$K$5="",0,IF(Crédits!$K$5&lt;Crédits!$K$6,E247,0))+IF(Crédits!$K$7="",0,IF(Crédits!$K$7&lt;Crédits!$K$6,U247,0))+IF(Crédits!$K$8="",0,IF(Crédits!$K$8&lt;Crédits!$K$6,AC247,0))+IF(Crédits!$K$9="",0,IF(Crédits!$K$9&lt;Crédits!$K$6,AK247,0))+IF(Crédits!$K$10="",0,IF(Crédits!$K$10&lt;Crédits!$K$6,AS247,0))))))</f>
        <v>0</v>
      </c>
      <c r="O247" s="92">
        <f t="shared" si="3"/>
        <v>0</v>
      </c>
      <c r="P247" s="88">
        <f>ROUND(P246+Q247-MIN(N(Crédits!$E$6),P246+Q247),2)</f>
        <v>0</v>
      </c>
      <c r="Q247" s="89">
        <f>P246*N(Crédits!$D$6)/12</f>
        <v>0</v>
      </c>
      <c r="R247" s="93">
        <f t="shared" si="18"/>
        <v>0</v>
      </c>
      <c r="S247" s="93">
        <f>R247*N(Crédits!$D$7)/12</f>
        <v>0</v>
      </c>
      <c r="T247" s="93">
        <f>MIN(N(Crédits!$E$7),R247+S247)</f>
        <v>0</v>
      </c>
      <c r="U247" s="93">
        <f t="shared" si="4"/>
        <v>0</v>
      </c>
      <c r="V247" s="94">
        <f>IF(Crédits!$K$7="",0,MAX(0,MIN(U247,Plan!$L$249-(IF(Crédits!$K$5="",0,IF(Crédits!$K$5&lt;Crédits!$K$7,E247,0))+IF(Crédits!$K$6="",0,IF(Crédits!$K$6&lt;Crédits!$K$7,M247,0))+IF(Crédits!$K$8="",0,IF(Crédits!$K$8&lt;Crédits!$K$7,AC247,0))+IF(Crédits!$K$9="",0,IF(Crédits!$K$9&lt;Crédits!$K$7,AK247,0))+IF(Crédits!$K$10="",0,IF(Crédits!$K$10&lt;Crédits!$K$7,AS247,0))))))</f>
        <v>0</v>
      </c>
      <c r="W247" s="95">
        <f t="shared" si="5"/>
        <v>0</v>
      </c>
      <c r="X247" s="88">
        <f>ROUND(X246+Y247-MIN(N(Crédits!$E$7),X246+Y247),2)</f>
        <v>0</v>
      </c>
      <c r="Y247" s="89">
        <f>X246*N(Crédits!$D$7)/12</f>
        <v>0</v>
      </c>
      <c r="Z247" s="96">
        <f t="shared" si="19"/>
        <v>0</v>
      </c>
      <c r="AA247" s="96">
        <f>Z247*N(Crédits!$D$8)/12</f>
        <v>0</v>
      </c>
      <c r="AB247" s="96">
        <f>MIN(N(Crédits!$E$8),Z247+AA247)</f>
        <v>0</v>
      </c>
      <c r="AC247" s="96">
        <f t="shared" si="6"/>
        <v>0</v>
      </c>
      <c r="AD247" s="97">
        <f>IF(Crédits!$K$8="",0,MAX(0,MIN(AC247,Plan!$L$249-(IF(Crédits!$K$5="",0,IF(Crédits!$K$5&lt;Crédits!$K$8,E247,0))+IF(Crédits!$K$6="",0,IF(Crédits!$K$6&lt;Crédits!$K$8,M247,0))+IF(Crédits!$K$7="",0,IF(Crédits!$K$7&lt;Crédits!$K$8,U247,0))+IF(Crédits!$K$9="",0,IF(Crédits!$K$9&lt;Crédits!$K$8,AK247,0))+IF(Crédits!$K$10="",0,IF(Crédits!$K$10&lt;Crédits!$K$8,AS247,0))))))</f>
        <v>0</v>
      </c>
      <c r="AE247" s="98">
        <f t="shared" si="7"/>
        <v>0</v>
      </c>
      <c r="AF247" s="88">
        <f>ROUND(AF246+AG247-MIN(N(Crédits!$E$8),AF246+AG247),2)</f>
        <v>0</v>
      </c>
      <c r="AG247" s="89">
        <f>AF246*N(Crédits!$D$8)/12</f>
        <v>0</v>
      </c>
      <c r="AH247" s="99">
        <f t="shared" si="20"/>
        <v>0</v>
      </c>
      <c r="AI247" s="99">
        <f>AH247*N(Crédits!$D$9)/12</f>
        <v>0</v>
      </c>
      <c r="AJ247" s="99">
        <f>MIN(N(Crédits!$E$9),AH247+AI247)</f>
        <v>0</v>
      </c>
      <c r="AK247" s="99">
        <f t="shared" si="8"/>
        <v>0</v>
      </c>
      <c r="AL247" s="100">
        <f>IF(Crédits!$K$9="",0,MAX(0,MIN(AK247,Plan!$L$249-(IF(Crédits!$K$5="",0,IF(Crédits!$K$5&lt;Crédits!$K$9,E247,0))+IF(Crédits!$K$6="",0,IF(Crédits!$K$6&lt;Crédits!$K$9,M247,0))+IF(Crédits!$K$7="",0,IF(Crédits!$K$7&lt;Crédits!$K$9,U247,0))+IF(Crédits!$K$8="",0,IF(Crédits!$K$8&lt;Crédits!$K$9,AC247,0))+IF(Crédits!$K$10="",0,IF(Crédits!$K$10&lt;Crédits!$K$9,AS247,0))))))</f>
        <v>0</v>
      </c>
      <c r="AM247" s="101">
        <f t="shared" si="9"/>
        <v>0</v>
      </c>
      <c r="AN247" s="88">
        <f>ROUND(AN246+AO247-MIN(N(Crédits!$E$9),AN246+AO247),2)</f>
        <v>0</v>
      </c>
      <c r="AO247" s="89">
        <f>AN246*N(Crédits!$D$9)/12</f>
        <v>0</v>
      </c>
      <c r="AP247" s="102">
        <f t="shared" si="21"/>
        <v>0</v>
      </c>
      <c r="AQ247" s="102">
        <f>AP247*N(Crédits!$D$10)/12</f>
        <v>0</v>
      </c>
      <c r="AR247" s="102">
        <f>MIN(N(Crédits!$E$10),AP247+AQ247)</f>
        <v>0</v>
      </c>
      <c r="AS247" s="102">
        <f t="shared" si="10"/>
        <v>0</v>
      </c>
      <c r="AT247" s="103">
        <f>IF(Crédits!$K$10="",0,MAX(0,MIN(AS247,Plan!$L$249-(IF(Crédits!$K$5="",0,IF(Crédits!$K$5&lt;Crédits!$K$10,E247,0))+IF(Crédits!$K$6="",0,IF(Crédits!$K$6&lt;Crédits!$K$10,M247,0))+IF(Crédits!$K$7="",0,IF(Crédits!$K$7&lt;Crédits!$K$10,U247,0))+IF(Crédits!$K$8="",0,IF(Crédits!$K$8&lt;Crédits!$K$10,AC247,0))+IF(Crédits!$K$9="",0,IF(Crédits!$K$9&lt;Crédits!$K$10,AK247,0))))))</f>
        <v>0</v>
      </c>
      <c r="AU247" s="104">
        <f t="shared" si="11"/>
        <v>0</v>
      </c>
      <c r="AV247" s="88">
        <f>ROUND(AV246+AW247-MIN(N(Crédits!$E$10),AV246+AW247),2)</f>
        <v>0</v>
      </c>
      <c r="AW247" s="89">
        <f>AV246*N(Crédits!$D$10)/12</f>
        <v>0</v>
      </c>
      <c r="AX247" s="105">
        <f t="shared" si="12"/>
        <v>0</v>
      </c>
      <c r="AY247" s="105">
        <f t="shared" ref="AY247:AZ247" si="265">F247+N247+V247+AD247+AL247+AT247</f>
        <v>0</v>
      </c>
      <c r="AZ247" s="105">
        <f t="shared" si="265"/>
        <v>0</v>
      </c>
      <c r="BA247" s="105">
        <f t="shared" si="14"/>
        <v>0</v>
      </c>
      <c r="BB247" s="105">
        <f t="shared" si="15"/>
        <v>0</v>
      </c>
    </row>
    <row r="248" spans="1:54" ht="15" customHeight="1" x14ac:dyDescent="0.25">
      <c r="A248" s="2">
        <v>246</v>
      </c>
      <c r="B248" s="83">
        <f t="shared" si="16"/>
        <v>0</v>
      </c>
      <c r="C248" s="83">
        <f>B248*N(Crédits!$D$5)/12</f>
        <v>0</v>
      </c>
      <c r="D248" s="83">
        <f>MIN(N(Crédits!$E$5),B248+C248)</f>
        <v>0</v>
      </c>
      <c r="E248" s="83">
        <f t="shared" si="0"/>
        <v>0</v>
      </c>
      <c r="F248" s="86">
        <f>IF(Crédits!$K$5="",0,MAX(0,MIN(E248,Plan!$L$250-(IF(Crédits!$K$6="",0,IF(Crédits!$K$6&lt;Crédits!$K$5,M248,0))+IF(Crédits!$K$7="",0,IF(Crédits!$K$7&lt;Crédits!$K$5,U248,0))+IF(Crédits!$K$8="",0,IF(Crédits!$K$8&lt;Crédits!$K$5,AC248,0))+IF(Crédits!$K$9="",0,IF(Crédits!$K$9&lt;Crédits!$K$5,AK248,0))+IF(Crédits!$K$10="",0,IF(Crédits!$K$10&lt;Crédits!$K$5,AS248,0))))))</f>
        <v>0</v>
      </c>
      <c r="G248" s="87">
        <f t="shared" si="1"/>
        <v>0</v>
      </c>
      <c r="H248" s="88">
        <f>ROUND(H247+I248-MIN(N(Crédits!$E$5),H247+I248),2)</f>
        <v>0</v>
      </c>
      <c r="I248" s="89">
        <f>H247*N(Crédits!$D$5)/12</f>
        <v>0</v>
      </c>
      <c r="J248" s="90">
        <f t="shared" si="17"/>
        <v>0</v>
      </c>
      <c r="K248" s="90">
        <f>J248*N(Crédits!$D$6)/12</f>
        <v>0</v>
      </c>
      <c r="L248" s="90">
        <f>MIN(N(Crédits!$E$6),J248+K248)</f>
        <v>0</v>
      </c>
      <c r="M248" s="90">
        <f t="shared" si="2"/>
        <v>0</v>
      </c>
      <c r="N248" s="91">
        <f>IF(Crédits!$K$6="",0,MAX(0,MIN(M248,Plan!$L$250-(IF(Crédits!$K$5="",0,IF(Crédits!$K$5&lt;Crédits!$K$6,E248,0))+IF(Crédits!$K$7="",0,IF(Crédits!$K$7&lt;Crédits!$K$6,U248,0))+IF(Crédits!$K$8="",0,IF(Crédits!$K$8&lt;Crédits!$K$6,AC248,0))+IF(Crédits!$K$9="",0,IF(Crédits!$K$9&lt;Crédits!$K$6,AK248,0))+IF(Crédits!$K$10="",0,IF(Crédits!$K$10&lt;Crédits!$K$6,AS248,0))))))</f>
        <v>0</v>
      </c>
      <c r="O248" s="92">
        <f t="shared" si="3"/>
        <v>0</v>
      </c>
      <c r="P248" s="88">
        <f>ROUND(P247+Q248-MIN(N(Crédits!$E$6),P247+Q248),2)</f>
        <v>0</v>
      </c>
      <c r="Q248" s="89">
        <f>P247*N(Crédits!$D$6)/12</f>
        <v>0</v>
      </c>
      <c r="R248" s="93">
        <f t="shared" si="18"/>
        <v>0</v>
      </c>
      <c r="S248" s="93">
        <f>R248*N(Crédits!$D$7)/12</f>
        <v>0</v>
      </c>
      <c r="T248" s="93">
        <f>MIN(N(Crédits!$E$7),R248+S248)</f>
        <v>0</v>
      </c>
      <c r="U248" s="93">
        <f t="shared" si="4"/>
        <v>0</v>
      </c>
      <c r="V248" s="94">
        <f>IF(Crédits!$K$7="",0,MAX(0,MIN(U248,Plan!$L$250-(IF(Crédits!$K$5="",0,IF(Crédits!$K$5&lt;Crédits!$K$7,E248,0))+IF(Crédits!$K$6="",0,IF(Crédits!$K$6&lt;Crédits!$K$7,M248,0))+IF(Crédits!$K$8="",0,IF(Crédits!$K$8&lt;Crédits!$K$7,AC248,0))+IF(Crédits!$K$9="",0,IF(Crédits!$K$9&lt;Crédits!$K$7,AK248,0))+IF(Crédits!$K$10="",0,IF(Crédits!$K$10&lt;Crédits!$K$7,AS248,0))))))</f>
        <v>0</v>
      </c>
      <c r="W248" s="95">
        <f t="shared" si="5"/>
        <v>0</v>
      </c>
      <c r="X248" s="88">
        <f>ROUND(X247+Y248-MIN(N(Crédits!$E$7),X247+Y248),2)</f>
        <v>0</v>
      </c>
      <c r="Y248" s="89">
        <f>X247*N(Crédits!$D$7)/12</f>
        <v>0</v>
      </c>
      <c r="Z248" s="96">
        <f t="shared" si="19"/>
        <v>0</v>
      </c>
      <c r="AA248" s="96">
        <f>Z248*N(Crédits!$D$8)/12</f>
        <v>0</v>
      </c>
      <c r="AB248" s="96">
        <f>MIN(N(Crédits!$E$8),Z248+AA248)</f>
        <v>0</v>
      </c>
      <c r="AC248" s="96">
        <f t="shared" si="6"/>
        <v>0</v>
      </c>
      <c r="AD248" s="97">
        <f>IF(Crédits!$K$8="",0,MAX(0,MIN(AC248,Plan!$L$250-(IF(Crédits!$K$5="",0,IF(Crédits!$K$5&lt;Crédits!$K$8,E248,0))+IF(Crédits!$K$6="",0,IF(Crédits!$K$6&lt;Crédits!$K$8,M248,0))+IF(Crédits!$K$7="",0,IF(Crédits!$K$7&lt;Crédits!$K$8,U248,0))+IF(Crédits!$K$9="",0,IF(Crédits!$K$9&lt;Crédits!$K$8,AK248,0))+IF(Crédits!$K$10="",0,IF(Crédits!$K$10&lt;Crédits!$K$8,AS248,0))))))</f>
        <v>0</v>
      </c>
      <c r="AE248" s="98">
        <f t="shared" si="7"/>
        <v>0</v>
      </c>
      <c r="AF248" s="88">
        <f>ROUND(AF247+AG248-MIN(N(Crédits!$E$8),AF247+AG248),2)</f>
        <v>0</v>
      </c>
      <c r="AG248" s="89">
        <f>AF247*N(Crédits!$D$8)/12</f>
        <v>0</v>
      </c>
      <c r="AH248" s="99">
        <f t="shared" si="20"/>
        <v>0</v>
      </c>
      <c r="AI248" s="99">
        <f>AH248*N(Crédits!$D$9)/12</f>
        <v>0</v>
      </c>
      <c r="AJ248" s="99">
        <f>MIN(N(Crédits!$E$9),AH248+AI248)</f>
        <v>0</v>
      </c>
      <c r="AK248" s="99">
        <f t="shared" si="8"/>
        <v>0</v>
      </c>
      <c r="AL248" s="100">
        <f>IF(Crédits!$K$9="",0,MAX(0,MIN(AK248,Plan!$L$250-(IF(Crédits!$K$5="",0,IF(Crédits!$K$5&lt;Crédits!$K$9,E248,0))+IF(Crédits!$K$6="",0,IF(Crédits!$K$6&lt;Crédits!$K$9,M248,0))+IF(Crédits!$K$7="",0,IF(Crédits!$K$7&lt;Crédits!$K$9,U248,0))+IF(Crédits!$K$8="",0,IF(Crédits!$K$8&lt;Crédits!$K$9,AC248,0))+IF(Crédits!$K$10="",0,IF(Crédits!$K$10&lt;Crédits!$K$9,AS248,0))))))</f>
        <v>0</v>
      </c>
      <c r="AM248" s="101">
        <f t="shared" si="9"/>
        <v>0</v>
      </c>
      <c r="AN248" s="88">
        <f>ROUND(AN247+AO248-MIN(N(Crédits!$E$9),AN247+AO248),2)</f>
        <v>0</v>
      </c>
      <c r="AO248" s="89">
        <f>AN247*N(Crédits!$D$9)/12</f>
        <v>0</v>
      </c>
      <c r="AP248" s="102">
        <f t="shared" si="21"/>
        <v>0</v>
      </c>
      <c r="AQ248" s="102">
        <f>AP248*N(Crédits!$D$10)/12</f>
        <v>0</v>
      </c>
      <c r="AR248" s="102">
        <f>MIN(N(Crédits!$E$10),AP248+AQ248)</f>
        <v>0</v>
      </c>
      <c r="AS248" s="102">
        <f t="shared" si="10"/>
        <v>0</v>
      </c>
      <c r="AT248" s="103">
        <f>IF(Crédits!$K$10="",0,MAX(0,MIN(AS248,Plan!$L$250-(IF(Crédits!$K$5="",0,IF(Crédits!$K$5&lt;Crédits!$K$10,E248,0))+IF(Crédits!$K$6="",0,IF(Crédits!$K$6&lt;Crédits!$K$10,M248,0))+IF(Crédits!$K$7="",0,IF(Crédits!$K$7&lt;Crédits!$K$10,U248,0))+IF(Crédits!$K$8="",0,IF(Crédits!$K$8&lt;Crédits!$K$10,AC248,0))+IF(Crédits!$K$9="",0,IF(Crédits!$K$9&lt;Crédits!$K$10,AK248,0))))))</f>
        <v>0</v>
      </c>
      <c r="AU248" s="104">
        <f t="shared" si="11"/>
        <v>0</v>
      </c>
      <c r="AV248" s="88">
        <f>ROUND(AV247+AW248-MIN(N(Crédits!$E$10),AV247+AW248),2)</f>
        <v>0</v>
      </c>
      <c r="AW248" s="89">
        <f>AV247*N(Crédits!$D$10)/12</f>
        <v>0</v>
      </c>
      <c r="AX248" s="105">
        <f t="shared" si="12"/>
        <v>0</v>
      </c>
      <c r="AY248" s="105">
        <f t="shared" ref="AY248:AZ248" si="266">F248+N248+V248+AD248+AL248+AT248</f>
        <v>0</v>
      </c>
      <c r="AZ248" s="105">
        <f t="shared" si="266"/>
        <v>0</v>
      </c>
      <c r="BA248" s="105">
        <f t="shared" si="14"/>
        <v>0</v>
      </c>
      <c r="BB248" s="105">
        <f t="shared" si="15"/>
        <v>0</v>
      </c>
    </row>
    <row r="249" spans="1:54" ht="15" customHeight="1" x14ac:dyDescent="0.25">
      <c r="A249" s="2">
        <v>247</v>
      </c>
      <c r="B249" s="83">
        <f t="shared" si="16"/>
        <v>0</v>
      </c>
      <c r="C249" s="83">
        <f>B249*N(Crédits!$D$5)/12</f>
        <v>0</v>
      </c>
      <c r="D249" s="83">
        <f>MIN(N(Crédits!$E$5),B249+C249)</f>
        <v>0</v>
      </c>
      <c r="E249" s="83">
        <f t="shared" si="0"/>
        <v>0</v>
      </c>
      <c r="F249" s="86">
        <f>IF(Crédits!$K$5="",0,MAX(0,MIN(E249,Plan!$L$251-(IF(Crédits!$K$6="",0,IF(Crédits!$K$6&lt;Crédits!$K$5,M249,0))+IF(Crédits!$K$7="",0,IF(Crédits!$K$7&lt;Crédits!$K$5,U249,0))+IF(Crédits!$K$8="",0,IF(Crédits!$K$8&lt;Crédits!$K$5,AC249,0))+IF(Crédits!$K$9="",0,IF(Crédits!$K$9&lt;Crédits!$K$5,AK249,0))+IF(Crédits!$K$10="",0,IF(Crédits!$K$10&lt;Crédits!$K$5,AS249,0))))))</f>
        <v>0</v>
      </c>
      <c r="G249" s="87">
        <f t="shared" si="1"/>
        <v>0</v>
      </c>
      <c r="H249" s="88">
        <f>ROUND(H248+I249-MIN(N(Crédits!$E$5),H248+I249),2)</f>
        <v>0</v>
      </c>
      <c r="I249" s="89">
        <f>H248*N(Crédits!$D$5)/12</f>
        <v>0</v>
      </c>
      <c r="J249" s="90">
        <f t="shared" si="17"/>
        <v>0</v>
      </c>
      <c r="K249" s="90">
        <f>J249*N(Crédits!$D$6)/12</f>
        <v>0</v>
      </c>
      <c r="L249" s="90">
        <f>MIN(N(Crédits!$E$6),J249+K249)</f>
        <v>0</v>
      </c>
      <c r="M249" s="90">
        <f t="shared" si="2"/>
        <v>0</v>
      </c>
      <c r="N249" s="91">
        <f>IF(Crédits!$K$6="",0,MAX(0,MIN(M249,Plan!$L$251-(IF(Crédits!$K$5="",0,IF(Crédits!$K$5&lt;Crédits!$K$6,E249,0))+IF(Crédits!$K$7="",0,IF(Crédits!$K$7&lt;Crédits!$K$6,U249,0))+IF(Crédits!$K$8="",0,IF(Crédits!$K$8&lt;Crédits!$K$6,AC249,0))+IF(Crédits!$K$9="",0,IF(Crédits!$K$9&lt;Crédits!$K$6,AK249,0))+IF(Crédits!$K$10="",0,IF(Crédits!$K$10&lt;Crédits!$K$6,AS249,0))))))</f>
        <v>0</v>
      </c>
      <c r="O249" s="92">
        <f t="shared" si="3"/>
        <v>0</v>
      </c>
      <c r="P249" s="88">
        <f>ROUND(P248+Q249-MIN(N(Crédits!$E$6),P248+Q249),2)</f>
        <v>0</v>
      </c>
      <c r="Q249" s="89">
        <f>P248*N(Crédits!$D$6)/12</f>
        <v>0</v>
      </c>
      <c r="R249" s="93">
        <f t="shared" si="18"/>
        <v>0</v>
      </c>
      <c r="S249" s="93">
        <f>R249*N(Crédits!$D$7)/12</f>
        <v>0</v>
      </c>
      <c r="T249" s="93">
        <f>MIN(N(Crédits!$E$7),R249+S249)</f>
        <v>0</v>
      </c>
      <c r="U249" s="93">
        <f t="shared" si="4"/>
        <v>0</v>
      </c>
      <c r="V249" s="94">
        <f>IF(Crédits!$K$7="",0,MAX(0,MIN(U249,Plan!$L$251-(IF(Crédits!$K$5="",0,IF(Crédits!$K$5&lt;Crédits!$K$7,E249,0))+IF(Crédits!$K$6="",0,IF(Crédits!$K$6&lt;Crédits!$K$7,M249,0))+IF(Crédits!$K$8="",0,IF(Crédits!$K$8&lt;Crédits!$K$7,AC249,0))+IF(Crédits!$K$9="",0,IF(Crédits!$K$9&lt;Crédits!$K$7,AK249,0))+IF(Crédits!$K$10="",0,IF(Crédits!$K$10&lt;Crédits!$K$7,AS249,0))))))</f>
        <v>0</v>
      </c>
      <c r="W249" s="95">
        <f t="shared" si="5"/>
        <v>0</v>
      </c>
      <c r="X249" s="88">
        <f>ROUND(X248+Y249-MIN(N(Crédits!$E$7),X248+Y249),2)</f>
        <v>0</v>
      </c>
      <c r="Y249" s="89">
        <f>X248*N(Crédits!$D$7)/12</f>
        <v>0</v>
      </c>
      <c r="Z249" s="96">
        <f t="shared" si="19"/>
        <v>0</v>
      </c>
      <c r="AA249" s="96">
        <f>Z249*N(Crédits!$D$8)/12</f>
        <v>0</v>
      </c>
      <c r="AB249" s="96">
        <f>MIN(N(Crédits!$E$8),Z249+AA249)</f>
        <v>0</v>
      </c>
      <c r="AC249" s="96">
        <f t="shared" si="6"/>
        <v>0</v>
      </c>
      <c r="AD249" s="97">
        <f>IF(Crédits!$K$8="",0,MAX(0,MIN(AC249,Plan!$L$251-(IF(Crédits!$K$5="",0,IF(Crédits!$K$5&lt;Crédits!$K$8,E249,0))+IF(Crédits!$K$6="",0,IF(Crédits!$K$6&lt;Crédits!$K$8,M249,0))+IF(Crédits!$K$7="",0,IF(Crédits!$K$7&lt;Crédits!$K$8,U249,0))+IF(Crédits!$K$9="",0,IF(Crédits!$K$9&lt;Crédits!$K$8,AK249,0))+IF(Crédits!$K$10="",0,IF(Crédits!$K$10&lt;Crédits!$K$8,AS249,0))))))</f>
        <v>0</v>
      </c>
      <c r="AE249" s="98">
        <f t="shared" si="7"/>
        <v>0</v>
      </c>
      <c r="AF249" s="88">
        <f>ROUND(AF248+AG249-MIN(N(Crédits!$E$8),AF248+AG249),2)</f>
        <v>0</v>
      </c>
      <c r="AG249" s="89">
        <f>AF248*N(Crédits!$D$8)/12</f>
        <v>0</v>
      </c>
      <c r="AH249" s="99">
        <f t="shared" si="20"/>
        <v>0</v>
      </c>
      <c r="AI249" s="99">
        <f>AH249*N(Crédits!$D$9)/12</f>
        <v>0</v>
      </c>
      <c r="AJ249" s="99">
        <f>MIN(N(Crédits!$E$9),AH249+AI249)</f>
        <v>0</v>
      </c>
      <c r="AK249" s="99">
        <f t="shared" si="8"/>
        <v>0</v>
      </c>
      <c r="AL249" s="100">
        <f>IF(Crédits!$K$9="",0,MAX(0,MIN(AK249,Plan!$L$251-(IF(Crédits!$K$5="",0,IF(Crédits!$K$5&lt;Crédits!$K$9,E249,0))+IF(Crédits!$K$6="",0,IF(Crédits!$K$6&lt;Crédits!$K$9,M249,0))+IF(Crédits!$K$7="",0,IF(Crédits!$K$7&lt;Crédits!$K$9,U249,0))+IF(Crédits!$K$8="",0,IF(Crédits!$K$8&lt;Crédits!$K$9,AC249,0))+IF(Crédits!$K$10="",0,IF(Crédits!$K$10&lt;Crédits!$K$9,AS249,0))))))</f>
        <v>0</v>
      </c>
      <c r="AM249" s="101">
        <f t="shared" si="9"/>
        <v>0</v>
      </c>
      <c r="AN249" s="88">
        <f>ROUND(AN248+AO249-MIN(N(Crédits!$E$9),AN248+AO249),2)</f>
        <v>0</v>
      </c>
      <c r="AO249" s="89">
        <f>AN248*N(Crédits!$D$9)/12</f>
        <v>0</v>
      </c>
      <c r="AP249" s="102">
        <f t="shared" si="21"/>
        <v>0</v>
      </c>
      <c r="AQ249" s="102">
        <f>AP249*N(Crédits!$D$10)/12</f>
        <v>0</v>
      </c>
      <c r="AR249" s="102">
        <f>MIN(N(Crédits!$E$10),AP249+AQ249)</f>
        <v>0</v>
      </c>
      <c r="AS249" s="102">
        <f t="shared" si="10"/>
        <v>0</v>
      </c>
      <c r="AT249" s="103">
        <f>IF(Crédits!$K$10="",0,MAX(0,MIN(AS249,Plan!$L$251-(IF(Crédits!$K$5="",0,IF(Crédits!$K$5&lt;Crédits!$K$10,E249,0))+IF(Crédits!$K$6="",0,IF(Crédits!$K$6&lt;Crédits!$K$10,M249,0))+IF(Crédits!$K$7="",0,IF(Crédits!$K$7&lt;Crédits!$K$10,U249,0))+IF(Crédits!$K$8="",0,IF(Crédits!$K$8&lt;Crédits!$K$10,AC249,0))+IF(Crédits!$K$9="",0,IF(Crédits!$K$9&lt;Crédits!$K$10,AK249,0))))))</f>
        <v>0</v>
      </c>
      <c r="AU249" s="104">
        <f t="shared" si="11"/>
        <v>0</v>
      </c>
      <c r="AV249" s="88">
        <f>ROUND(AV248+AW249-MIN(N(Crédits!$E$10),AV248+AW249),2)</f>
        <v>0</v>
      </c>
      <c r="AW249" s="89">
        <f>AV248*N(Crédits!$D$10)/12</f>
        <v>0</v>
      </c>
      <c r="AX249" s="105">
        <f t="shared" si="12"/>
        <v>0</v>
      </c>
      <c r="AY249" s="105">
        <f t="shared" ref="AY249:AZ249" si="267">F249+N249+V249+AD249+AL249+AT249</f>
        <v>0</v>
      </c>
      <c r="AZ249" s="105">
        <f t="shared" si="267"/>
        <v>0</v>
      </c>
      <c r="BA249" s="105">
        <f t="shared" si="14"/>
        <v>0</v>
      </c>
      <c r="BB249" s="105">
        <f t="shared" si="15"/>
        <v>0</v>
      </c>
    </row>
    <row r="250" spans="1:54" ht="15" customHeight="1" x14ac:dyDescent="0.25">
      <c r="A250" s="2">
        <v>248</v>
      </c>
      <c r="B250" s="83">
        <f t="shared" si="16"/>
        <v>0</v>
      </c>
      <c r="C250" s="83">
        <f>B250*N(Crédits!$D$5)/12</f>
        <v>0</v>
      </c>
      <c r="D250" s="83">
        <f>MIN(N(Crédits!$E$5),B250+C250)</f>
        <v>0</v>
      </c>
      <c r="E250" s="83">
        <f t="shared" si="0"/>
        <v>0</v>
      </c>
      <c r="F250" s="86">
        <f>IF(Crédits!$K$5="",0,MAX(0,MIN(E250,Plan!$L$252-(IF(Crédits!$K$6="",0,IF(Crédits!$K$6&lt;Crédits!$K$5,M250,0))+IF(Crédits!$K$7="",0,IF(Crédits!$K$7&lt;Crédits!$K$5,U250,0))+IF(Crédits!$K$8="",0,IF(Crédits!$K$8&lt;Crédits!$K$5,AC250,0))+IF(Crédits!$K$9="",0,IF(Crédits!$K$9&lt;Crédits!$K$5,AK250,0))+IF(Crédits!$K$10="",0,IF(Crédits!$K$10&lt;Crédits!$K$5,AS250,0))))))</f>
        <v>0</v>
      </c>
      <c r="G250" s="87">
        <f t="shared" si="1"/>
        <v>0</v>
      </c>
      <c r="H250" s="88">
        <f>ROUND(H249+I250-MIN(N(Crédits!$E$5),H249+I250),2)</f>
        <v>0</v>
      </c>
      <c r="I250" s="89">
        <f>H249*N(Crédits!$D$5)/12</f>
        <v>0</v>
      </c>
      <c r="J250" s="90">
        <f t="shared" si="17"/>
        <v>0</v>
      </c>
      <c r="K250" s="90">
        <f>J250*N(Crédits!$D$6)/12</f>
        <v>0</v>
      </c>
      <c r="L250" s="90">
        <f>MIN(N(Crédits!$E$6),J250+K250)</f>
        <v>0</v>
      </c>
      <c r="M250" s="90">
        <f t="shared" si="2"/>
        <v>0</v>
      </c>
      <c r="N250" s="91">
        <f>IF(Crédits!$K$6="",0,MAX(0,MIN(M250,Plan!$L$252-(IF(Crédits!$K$5="",0,IF(Crédits!$K$5&lt;Crédits!$K$6,E250,0))+IF(Crédits!$K$7="",0,IF(Crédits!$K$7&lt;Crédits!$K$6,U250,0))+IF(Crédits!$K$8="",0,IF(Crédits!$K$8&lt;Crédits!$K$6,AC250,0))+IF(Crédits!$K$9="",0,IF(Crédits!$K$9&lt;Crédits!$K$6,AK250,0))+IF(Crédits!$K$10="",0,IF(Crédits!$K$10&lt;Crédits!$K$6,AS250,0))))))</f>
        <v>0</v>
      </c>
      <c r="O250" s="92">
        <f t="shared" si="3"/>
        <v>0</v>
      </c>
      <c r="P250" s="88">
        <f>ROUND(P249+Q250-MIN(N(Crédits!$E$6),P249+Q250),2)</f>
        <v>0</v>
      </c>
      <c r="Q250" s="89">
        <f>P249*N(Crédits!$D$6)/12</f>
        <v>0</v>
      </c>
      <c r="R250" s="93">
        <f t="shared" si="18"/>
        <v>0</v>
      </c>
      <c r="S250" s="93">
        <f>R250*N(Crédits!$D$7)/12</f>
        <v>0</v>
      </c>
      <c r="T250" s="93">
        <f>MIN(N(Crédits!$E$7),R250+S250)</f>
        <v>0</v>
      </c>
      <c r="U250" s="93">
        <f t="shared" si="4"/>
        <v>0</v>
      </c>
      <c r="V250" s="94">
        <f>IF(Crédits!$K$7="",0,MAX(0,MIN(U250,Plan!$L$252-(IF(Crédits!$K$5="",0,IF(Crédits!$K$5&lt;Crédits!$K$7,E250,0))+IF(Crédits!$K$6="",0,IF(Crédits!$K$6&lt;Crédits!$K$7,M250,0))+IF(Crédits!$K$8="",0,IF(Crédits!$K$8&lt;Crédits!$K$7,AC250,0))+IF(Crédits!$K$9="",0,IF(Crédits!$K$9&lt;Crédits!$K$7,AK250,0))+IF(Crédits!$K$10="",0,IF(Crédits!$K$10&lt;Crédits!$K$7,AS250,0))))))</f>
        <v>0</v>
      </c>
      <c r="W250" s="95">
        <f t="shared" si="5"/>
        <v>0</v>
      </c>
      <c r="X250" s="88">
        <f>ROUND(X249+Y250-MIN(N(Crédits!$E$7),X249+Y250),2)</f>
        <v>0</v>
      </c>
      <c r="Y250" s="89">
        <f>X249*N(Crédits!$D$7)/12</f>
        <v>0</v>
      </c>
      <c r="Z250" s="96">
        <f t="shared" si="19"/>
        <v>0</v>
      </c>
      <c r="AA250" s="96">
        <f>Z250*N(Crédits!$D$8)/12</f>
        <v>0</v>
      </c>
      <c r="AB250" s="96">
        <f>MIN(N(Crédits!$E$8),Z250+AA250)</f>
        <v>0</v>
      </c>
      <c r="AC250" s="96">
        <f t="shared" si="6"/>
        <v>0</v>
      </c>
      <c r="AD250" s="97">
        <f>IF(Crédits!$K$8="",0,MAX(0,MIN(AC250,Plan!$L$252-(IF(Crédits!$K$5="",0,IF(Crédits!$K$5&lt;Crédits!$K$8,E250,0))+IF(Crédits!$K$6="",0,IF(Crédits!$K$6&lt;Crédits!$K$8,M250,0))+IF(Crédits!$K$7="",0,IF(Crédits!$K$7&lt;Crédits!$K$8,U250,0))+IF(Crédits!$K$9="",0,IF(Crédits!$K$9&lt;Crédits!$K$8,AK250,0))+IF(Crédits!$K$10="",0,IF(Crédits!$K$10&lt;Crédits!$K$8,AS250,0))))))</f>
        <v>0</v>
      </c>
      <c r="AE250" s="98">
        <f t="shared" si="7"/>
        <v>0</v>
      </c>
      <c r="AF250" s="88">
        <f>ROUND(AF249+AG250-MIN(N(Crédits!$E$8),AF249+AG250),2)</f>
        <v>0</v>
      </c>
      <c r="AG250" s="89">
        <f>AF249*N(Crédits!$D$8)/12</f>
        <v>0</v>
      </c>
      <c r="AH250" s="99">
        <f t="shared" si="20"/>
        <v>0</v>
      </c>
      <c r="AI250" s="99">
        <f>AH250*N(Crédits!$D$9)/12</f>
        <v>0</v>
      </c>
      <c r="AJ250" s="99">
        <f>MIN(N(Crédits!$E$9),AH250+AI250)</f>
        <v>0</v>
      </c>
      <c r="AK250" s="99">
        <f t="shared" si="8"/>
        <v>0</v>
      </c>
      <c r="AL250" s="100">
        <f>IF(Crédits!$K$9="",0,MAX(0,MIN(AK250,Plan!$L$252-(IF(Crédits!$K$5="",0,IF(Crédits!$K$5&lt;Crédits!$K$9,E250,0))+IF(Crédits!$K$6="",0,IF(Crédits!$K$6&lt;Crédits!$K$9,M250,0))+IF(Crédits!$K$7="",0,IF(Crédits!$K$7&lt;Crédits!$K$9,U250,0))+IF(Crédits!$K$8="",0,IF(Crédits!$K$8&lt;Crédits!$K$9,AC250,0))+IF(Crédits!$K$10="",0,IF(Crédits!$K$10&lt;Crédits!$K$9,AS250,0))))))</f>
        <v>0</v>
      </c>
      <c r="AM250" s="101">
        <f t="shared" si="9"/>
        <v>0</v>
      </c>
      <c r="AN250" s="88">
        <f>ROUND(AN249+AO250-MIN(N(Crédits!$E$9),AN249+AO250),2)</f>
        <v>0</v>
      </c>
      <c r="AO250" s="89">
        <f>AN249*N(Crédits!$D$9)/12</f>
        <v>0</v>
      </c>
      <c r="AP250" s="102">
        <f t="shared" si="21"/>
        <v>0</v>
      </c>
      <c r="AQ250" s="102">
        <f>AP250*N(Crédits!$D$10)/12</f>
        <v>0</v>
      </c>
      <c r="AR250" s="102">
        <f>MIN(N(Crédits!$E$10),AP250+AQ250)</f>
        <v>0</v>
      </c>
      <c r="AS250" s="102">
        <f t="shared" si="10"/>
        <v>0</v>
      </c>
      <c r="AT250" s="103">
        <f>IF(Crédits!$K$10="",0,MAX(0,MIN(AS250,Plan!$L$252-(IF(Crédits!$K$5="",0,IF(Crédits!$K$5&lt;Crédits!$K$10,E250,0))+IF(Crédits!$K$6="",0,IF(Crédits!$K$6&lt;Crédits!$K$10,M250,0))+IF(Crédits!$K$7="",0,IF(Crédits!$K$7&lt;Crédits!$K$10,U250,0))+IF(Crédits!$K$8="",0,IF(Crédits!$K$8&lt;Crédits!$K$10,AC250,0))+IF(Crédits!$K$9="",0,IF(Crédits!$K$9&lt;Crédits!$K$10,AK250,0))))))</f>
        <v>0</v>
      </c>
      <c r="AU250" s="104">
        <f t="shared" si="11"/>
        <v>0</v>
      </c>
      <c r="AV250" s="88">
        <f>ROUND(AV249+AW250-MIN(N(Crédits!$E$10),AV249+AW250),2)</f>
        <v>0</v>
      </c>
      <c r="AW250" s="89">
        <f>AV249*N(Crédits!$D$10)/12</f>
        <v>0</v>
      </c>
      <c r="AX250" s="105">
        <f t="shared" si="12"/>
        <v>0</v>
      </c>
      <c r="AY250" s="105">
        <f t="shared" ref="AY250:AZ250" si="268">F250+N250+V250+AD250+AL250+AT250</f>
        <v>0</v>
      </c>
      <c r="AZ250" s="105">
        <f t="shared" si="268"/>
        <v>0</v>
      </c>
      <c r="BA250" s="105">
        <f t="shared" si="14"/>
        <v>0</v>
      </c>
      <c r="BB250" s="105">
        <f t="shared" si="15"/>
        <v>0</v>
      </c>
    </row>
    <row r="251" spans="1:54" ht="15" customHeight="1" x14ac:dyDescent="0.25">
      <c r="A251" s="2">
        <v>249</v>
      </c>
      <c r="B251" s="83">
        <f t="shared" si="16"/>
        <v>0</v>
      </c>
      <c r="C251" s="83">
        <f>B251*N(Crédits!$D$5)/12</f>
        <v>0</v>
      </c>
      <c r="D251" s="83">
        <f>MIN(N(Crédits!$E$5),B251+C251)</f>
        <v>0</v>
      </c>
      <c r="E251" s="83">
        <f t="shared" si="0"/>
        <v>0</v>
      </c>
      <c r="F251" s="86">
        <f>IF(Crédits!$K$5="",0,MAX(0,MIN(E251,Plan!$L$253-(IF(Crédits!$K$6="",0,IF(Crédits!$K$6&lt;Crédits!$K$5,M251,0))+IF(Crédits!$K$7="",0,IF(Crédits!$K$7&lt;Crédits!$K$5,U251,0))+IF(Crédits!$K$8="",0,IF(Crédits!$K$8&lt;Crédits!$K$5,AC251,0))+IF(Crédits!$K$9="",0,IF(Crédits!$K$9&lt;Crédits!$K$5,AK251,0))+IF(Crédits!$K$10="",0,IF(Crédits!$K$10&lt;Crédits!$K$5,AS251,0))))))</f>
        <v>0</v>
      </c>
      <c r="G251" s="87">
        <f t="shared" si="1"/>
        <v>0</v>
      </c>
      <c r="H251" s="88">
        <f>ROUND(H250+I251-MIN(N(Crédits!$E$5),H250+I251),2)</f>
        <v>0</v>
      </c>
      <c r="I251" s="89">
        <f>H250*N(Crédits!$D$5)/12</f>
        <v>0</v>
      </c>
      <c r="J251" s="90">
        <f t="shared" si="17"/>
        <v>0</v>
      </c>
      <c r="K251" s="90">
        <f>J251*N(Crédits!$D$6)/12</f>
        <v>0</v>
      </c>
      <c r="L251" s="90">
        <f>MIN(N(Crédits!$E$6),J251+K251)</f>
        <v>0</v>
      </c>
      <c r="M251" s="90">
        <f t="shared" si="2"/>
        <v>0</v>
      </c>
      <c r="N251" s="91">
        <f>IF(Crédits!$K$6="",0,MAX(0,MIN(M251,Plan!$L$253-(IF(Crédits!$K$5="",0,IF(Crédits!$K$5&lt;Crédits!$K$6,E251,0))+IF(Crédits!$K$7="",0,IF(Crédits!$K$7&lt;Crédits!$K$6,U251,0))+IF(Crédits!$K$8="",0,IF(Crédits!$K$8&lt;Crédits!$K$6,AC251,0))+IF(Crédits!$K$9="",0,IF(Crédits!$K$9&lt;Crédits!$K$6,AK251,0))+IF(Crédits!$K$10="",0,IF(Crédits!$K$10&lt;Crédits!$K$6,AS251,0))))))</f>
        <v>0</v>
      </c>
      <c r="O251" s="92">
        <f t="shared" si="3"/>
        <v>0</v>
      </c>
      <c r="P251" s="88">
        <f>ROUND(P250+Q251-MIN(N(Crédits!$E$6),P250+Q251),2)</f>
        <v>0</v>
      </c>
      <c r="Q251" s="89">
        <f>P250*N(Crédits!$D$6)/12</f>
        <v>0</v>
      </c>
      <c r="R251" s="93">
        <f t="shared" si="18"/>
        <v>0</v>
      </c>
      <c r="S251" s="93">
        <f>R251*N(Crédits!$D$7)/12</f>
        <v>0</v>
      </c>
      <c r="T251" s="93">
        <f>MIN(N(Crédits!$E$7),R251+S251)</f>
        <v>0</v>
      </c>
      <c r="U251" s="93">
        <f t="shared" si="4"/>
        <v>0</v>
      </c>
      <c r="V251" s="94">
        <f>IF(Crédits!$K$7="",0,MAX(0,MIN(U251,Plan!$L$253-(IF(Crédits!$K$5="",0,IF(Crédits!$K$5&lt;Crédits!$K$7,E251,0))+IF(Crédits!$K$6="",0,IF(Crédits!$K$6&lt;Crédits!$K$7,M251,0))+IF(Crédits!$K$8="",0,IF(Crédits!$K$8&lt;Crédits!$K$7,AC251,0))+IF(Crédits!$K$9="",0,IF(Crédits!$K$9&lt;Crédits!$K$7,AK251,0))+IF(Crédits!$K$10="",0,IF(Crédits!$K$10&lt;Crédits!$K$7,AS251,0))))))</f>
        <v>0</v>
      </c>
      <c r="W251" s="95">
        <f t="shared" si="5"/>
        <v>0</v>
      </c>
      <c r="X251" s="88">
        <f>ROUND(X250+Y251-MIN(N(Crédits!$E$7),X250+Y251),2)</f>
        <v>0</v>
      </c>
      <c r="Y251" s="89">
        <f>X250*N(Crédits!$D$7)/12</f>
        <v>0</v>
      </c>
      <c r="Z251" s="96">
        <f t="shared" si="19"/>
        <v>0</v>
      </c>
      <c r="AA251" s="96">
        <f>Z251*N(Crédits!$D$8)/12</f>
        <v>0</v>
      </c>
      <c r="AB251" s="96">
        <f>MIN(N(Crédits!$E$8),Z251+AA251)</f>
        <v>0</v>
      </c>
      <c r="AC251" s="96">
        <f t="shared" si="6"/>
        <v>0</v>
      </c>
      <c r="AD251" s="97">
        <f>IF(Crédits!$K$8="",0,MAX(0,MIN(AC251,Plan!$L$253-(IF(Crédits!$K$5="",0,IF(Crédits!$K$5&lt;Crédits!$K$8,E251,0))+IF(Crédits!$K$6="",0,IF(Crédits!$K$6&lt;Crédits!$K$8,M251,0))+IF(Crédits!$K$7="",0,IF(Crédits!$K$7&lt;Crédits!$K$8,U251,0))+IF(Crédits!$K$9="",0,IF(Crédits!$K$9&lt;Crédits!$K$8,AK251,0))+IF(Crédits!$K$10="",0,IF(Crédits!$K$10&lt;Crédits!$K$8,AS251,0))))))</f>
        <v>0</v>
      </c>
      <c r="AE251" s="98">
        <f t="shared" si="7"/>
        <v>0</v>
      </c>
      <c r="AF251" s="88">
        <f>ROUND(AF250+AG251-MIN(N(Crédits!$E$8),AF250+AG251),2)</f>
        <v>0</v>
      </c>
      <c r="AG251" s="89">
        <f>AF250*N(Crédits!$D$8)/12</f>
        <v>0</v>
      </c>
      <c r="AH251" s="99">
        <f t="shared" si="20"/>
        <v>0</v>
      </c>
      <c r="AI251" s="99">
        <f>AH251*N(Crédits!$D$9)/12</f>
        <v>0</v>
      </c>
      <c r="AJ251" s="99">
        <f>MIN(N(Crédits!$E$9),AH251+AI251)</f>
        <v>0</v>
      </c>
      <c r="AK251" s="99">
        <f t="shared" si="8"/>
        <v>0</v>
      </c>
      <c r="AL251" s="100">
        <f>IF(Crédits!$K$9="",0,MAX(0,MIN(AK251,Plan!$L$253-(IF(Crédits!$K$5="",0,IF(Crédits!$K$5&lt;Crédits!$K$9,E251,0))+IF(Crédits!$K$6="",0,IF(Crédits!$K$6&lt;Crédits!$K$9,M251,0))+IF(Crédits!$K$7="",0,IF(Crédits!$K$7&lt;Crédits!$K$9,U251,0))+IF(Crédits!$K$8="",0,IF(Crédits!$K$8&lt;Crédits!$K$9,AC251,0))+IF(Crédits!$K$10="",0,IF(Crédits!$K$10&lt;Crédits!$K$9,AS251,0))))))</f>
        <v>0</v>
      </c>
      <c r="AM251" s="101">
        <f t="shared" si="9"/>
        <v>0</v>
      </c>
      <c r="AN251" s="88">
        <f>ROUND(AN250+AO251-MIN(N(Crédits!$E$9),AN250+AO251),2)</f>
        <v>0</v>
      </c>
      <c r="AO251" s="89">
        <f>AN250*N(Crédits!$D$9)/12</f>
        <v>0</v>
      </c>
      <c r="AP251" s="102">
        <f t="shared" si="21"/>
        <v>0</v>
      </c>
      <c r="AQ251" s="102">
        <f>AP251*N(Crédits!$D$10)/12</f>
        <v>0</v>
      </c>
      <c r="AR251" s="102">
        <f>MIN(N(Crédits!$E$10),AP251+AQ251)</f>
        <v>0</v>
      </c>
      <c r="AS251" s="102">
        <f t="shared" si="10"/>
        <v>0</v>
      </c>
      <c r="AT251" s="103">
        <f>IF(Crédits!$K$10="",0,MAX(0,MIN(AS251,Plan!$L$253-(IF(Crédits!$K$5="",0,IF(Crédits!$K$5&lt;Crédits!$K$10,E251,0))+IF(Crédits!$K$6="",0,IF(Crédits!$K$6&lt;Crédits!$K$10,M251,0))+IF(Crédits!$K$7="",0,IF(Crédits!$K$7&lt;Crédits!$K$10,U251,0))+IF(Crédits!$K$8="",0,IF(Crédits!$K$8&lt;Crédits!$K$10,AC251,0))+IF(Crédits!$K$9="",0,IF(Crédits!$K$9&lt;Crédits!$K$10,AK251,0))))))</f>
        <v>0</v>
      </c>
      <c r="AU251" s="104">
        <f t="shared" si="11"/>
        <v>0</v>
      </c>
      <c r="AV251" s="88">
        <f>ROUND(AV250+AW251-MIN(N(Crédits!$E$10),AV250+AW251),2)</f>
        <v>0</v>
      </c>
      <c r="AW251" s="89">
        <f>AV250*N(Crédits!$D$10)/12</f>
        <v>0</v>
      </c>
      <c r="AX251" s="105">
        <f t="shared" si="12"/>
        <v>0</v>
      </c>
      <c r="AY251" s="105">
        <f t="shared" ref="AY251:AZ251" si="269">F251+N251+V251+AD251+AL251+AT251</f>
        <v>0</v>
      </c>
      <c r="AZ251" s="105">
        <f t="shared" si="269"/>
        <v>0</v>
      </c>
      <c r="BA251" s="105">
        <f t="shared" si="14"/>
        <v>0</v>
      </c>
      <c r="BB251" s="105">
        <f t="shared" si="15"/>
        <v>0</v>
      </c>
    </row>
    <row r="252" spans="1:54" ht="15" customHeight="1" x14ac:dyDescent="0.25">
      <c r="A252" s="2">
        <v>250</v>
      </c>
      <c r="B252" s="83">
        <f t="shared" si="16"/>
        <v>0</v>
      </c>
      <c r="C252" s="83">
        <f>B252*N(Crédits!$D$5)/12</f>
        <v>0</v>
      </c>
      <c r="D252" s="83">
        <f>MIN(N(Crédits!$E$5),B252+C252)</f>
        <v>0</v>
      </c>
      <c r="E252" s="83">
        <f t="shared" si="0"/>
        <v>0</v>
      </c>
      <c r="F252" s="86">
        <f>IF(Crédits!$K$5="",0,MAX(0,MIN(E252,Plan!$L$254-(IF(Crédits!$K$6="",0,IF(Crédits!$K$6&lt;Crédits!$K$5,M252,0))+IF(Crédits!$K$7="",0,IF(Crédits!$K$7&lt;Crédits!$K$5,U252,0))+IF(Crédits!$K$8="",0,IF(Crédits!$K$8&lt;Crédits!$K$5,AC252,0))+IF(Crédits!$K$9="",0,IF(Crédits!$K$9&lt;Crédits!$K$5,AK252,0))+IF(Crédits!$K$10="",0,IF(Crédits!$K$10&lt;Crédits!$K$5,AS252,0))))))</f>
        <v>0</v>
      </c>
      <c r="G252" s="87">
        <f t="shared" si="1"/>
        <v>0</v>
      </c>
      <c r="H252" s="88">
        <f>ROUND(H251+I252-MIN(N(Crédits!$E$5),H251+I252),2)</f>
        <v>0</v>
      </c>
      <c r="I252" s="89">
        <f>H251*N(Crédits!$D$5)/12</f>
        <v>0</v>
      </c>
      <c r="J252" s="90">
        <f t="shared" si="17"/>
        <v>0</v>
      </c>
      <c r="K252" s="90">
        <f>J252*N(Crédits!$D$6)/12</f>
        <v>0</v>
      </c>
      <c r="L252" s="90">
        <f>MIN(N(Crédits!$E$6),J252+K252)</f>
        <v>0</v>
      </c>
      <c r="M252" s="90">
        <f t="shared" si="2"/>
        <v>0</v>
      </c>
      <c r="N252" s="91">
        <f>IF(Crédits!$K$6="",0,MAX(0,MIN(M252,Plan!$L$254-(IF(Crédits!$K$5="",0,IF(Crédits!$K$5&lt;Crédits!$K$6,E252,0))+IF(Crédits!$K$7="",0,IF(Crédits!$K$7&lt;Crédits!$K$6,U252,0))+IF(Crédits!$K$8="",0,IF(Crédits!$K$8&lt;Crédits!$K$6,AC252,0))+IF(Crédits!$K$9="",0,IF(Crédits!$K$9&lt;Crédits!$K$6,AK252,0))+IF(Crédits!$K$10="",0,IF(Crédits!$K$10&lt;Crédits!$K$6,AS252,0))))))</f>
        <v>0</v>
      </c>
      <c r="O252" s="92">
        <f t="shared" si="3"/>
        <v>0</v>
      </c>
      <c r="P252" s="88">
        <f>ROUND(P251+Q252-MIN(N(Crédits!$E$6),P251+Q252),2)</f>
        <v>0</v>
      </c>
      <c r="Q252" s="89">
        <f>P251*N(Crédits!$D$6)/12</f>
        <v>0</v>
      </c>
      <c r="R252" s="93">
        <f t="shared" si="18"/>
        <v>0</v>
      </c>
      <c r="S252" s="93">
        <f>R252*N(Crédits!$D$7)/12</f>
        <v>0</v>
      </c>
      <c r="T252" s="93">
        <f>MIN(N(Crédits!$E$7),R252+S252)</f>
        <v>0</v>
      </c>
      <c r="U252" s="93">
        <f t="shared" si="4"/>
        <v>0</v>
      </c>
      <c r="V252" s="94">
        <f>IF(Crédits!$K$7="",0,MAX(0,MIN(U252,Plan!$L$254-(IF(Crédits!$K$5="",0,IF(Crédits!$K$5&lt;Crédits!$K$7,E252,0))+IF(Crédits!$K$6="",0,IF(Crédits!$K$6&lt;Crédits!$K$7,M252,0))+IF(Crédits!$K$8="",0,IF(Crédits!$K$8&lt;Crédits!$K$7,AC252,0))+IF(Crédits!$K$9="",0,IF(Crédits!$K$9&lt;Crédits!$K$7,AK252,0))+IF(Crédits!$K$10="",0,IF(Crédits!$K$10&lt;Crédits!$K$7,AS252,0))))))</f>
        <v>0</v>
      </c>
      <c r="W252" s="95">
        <f t="shared" si="5"/>
        <v>0</v>
      </c>
      <c r="X252" s="88">
        <f>ROUND(X251+Y252-MIN(N(Crédits!$E$7),X251+Y252),2)</f>
        <v>0</v>
      </c>
      <c r="Y252" s="89">
        <f>X251*N(Crédits!$D$7)/12</f>
        <v>0</v>
      </c>
      <c r="Z252" s="96">
        <f t="shared" si="19"/>
        <v>0</v>
      </c>
      <c r="AA252" s="96">
        <f>Z252*N(Crédits!$D$8)/12</f>
        <v>0</v>
      </c>
      <c r="AB252" s="96">
        <f>MIN(N(Crédits!$E$8),Z252+AA252)</f>
        <v>0</v>
      </c>
      <c r="AC252" s="96">
        <f t="shared" si="6"/>
        <v>0</v>
      </c>
      <c r="AD252" s="97">
        <f>IF(Crédits!$K$8="",0,MAX(0,MIN(AC252,Plan!$L$254-(IF(Crédits!$K$5="",0,IF(Crédits!$K$5&lt;Crédits!$K$8,E252,0))+IF(Crédits!$K$6="",0,IF(Crédits!$K$6&lt;Crédits!$K$8,M252,0))+IF(Crédits!$K$7="",0,IF(Crédits!$K$7&lt;Crédits!$K$8,U252,0))+IF(Crédits!$K$9="",0,IF(Crédits!$K$9&lt;Crédits!$K$8,AK252,0))+IF(Crédits!$K$10="",0,IF(Crédits!$K$10&lt;Crédits!$K$8,AS252,0))))))</f>
        <v>0</v>
      </c>
      <c r="AE252" s="98">
        <f t="shared" si="7"/>
        <v>0</v>
      </c>
      <c r="AF252" s="88">
        <f>ROUND(AF251+AG252-MIN(N(Crédits!$E$8),AF251+AG252),2)</f>
        <v>0</v>
      </c>
      <c r="AG252" s="89">
        <f>AF251*N(Crédits!$D$8)/12</f>
        <v>0</v>
      </c>
      <c r="AH252" s="99">
        <f t="shared" si="20"/>
        <v>0</v>
      </c>
      <c r="AI252" s="99">
        <f>AH252*N(Crédits!$D$9)/12</f>
        <v>0</v>
      </c>
      <c r="AJ252" s="99">
        <f>MIN(N(Crédits!$E$9),AH252+AI252)</f>
        <v>0</v>
      </c>
      <c r="AK252" s="99">
        <f t="shared" si="8"/>
        <v>0</v>
      </c>
      <c r="AL252" s="100">
        <f>IF(Crédits!$K$9="",0,MAX(0,MIN(AK252,Plan!$L$254-(IF(Crédits!$K$5="",0,IF(Crédits!$K$5&lt;Crédits!$K$9,E252,0))+IF(Crédits!$K$6="",0,IF(Crédits!$K$6&lt;Crédits!$K$9,M252,0))+IF(Crédits!$K$7="",0,IF(Crédits!$K$7&lt;Crédits!$K$9,U252,0))+IF(Crédits!$K$8="",0,IF(Crédits!$K$8&lt;Crédits!$K$9,AC252,0))+IF(Crédits!$K$10="",0,IF(Crédits!$K$10&lt;Crédits!$K$9,AS252,0))))))</f>
        <v>0</v>
      </c>
      <c r="AM252" s="101">
        <f t="shared" si="9"/>
        <v>0</v>
      </c>
      <c r="AN252" s="88">
        <f>ROUND(AN251+AO252-MIN(N(Crédits!$E$9),AN251+AO252),2)</f>
        <v>0</v>
      </c>
      <c r="AO252" s="89">
        <f>AN251*N(Crédits!$D$9)/12</f>
        <v>0</v>
      </c>
      <c r="AP252" s="102">
        <f t="shared" si="21"/>
        <v>0</v>
      </c>
      <c r="AQ252" s="102">
        <f>AP252*N(Crédits!$D$10)/12</f>
        <v>0</v>
      </c>
      <c r="AR252" s="102">
        <f>MIN(N(Crédits!$E$10),AP252+AQ252)</f>
        <v>0</v>
      </c>
      <c r="AS252" s="102">
        <f t="shared" si="10"/>
        <v>0</v>
      </c>
      <c r="AT252" s="103">
        <f>IF(Crédits!$K$10="",0,MAX(0,MIN(AS252,Plan!$L$254-(IF(Crédits!$K$5="",0,IF(Crédits!$K$5&lt;Crédits!$K$10,E252,0))+IF(Crédits!$K$6="",0,IF(Crédits!$K$6&lt;Crédits!$K$10,M252,0))+IF(Crédits!$K$7="",0,IF(Crédits!$K$7&lt;Crédits!$K$10,U252,0))+IF(Crédits!$K$8="",0,IF(Crédits!$K$8&lt;Crédits!$K$10,AC252,0))+IF(Crédits!$K$9="",0,IF(Crédits!$K$9&lt;Crédits!$K$10,AK252,0))))))</f>
        <v>0</v>
      </c>
      <c r="AU252" s="104">
        <f t="shared" si="11"/>
        <v>0</v>
      </c>
      <c r="AV252" s="88">
        <f>ROUND(AV251+AW252-MIN(N(Crédits!$E$10),AV251+AW252),2)</f>
        <v>0</v>
      </c>
      <c r="AW252" s="89">
        <f>AV251*N(Crédits!$D$10)/12</f>
        <v>0</v>
      </c>
      <c r="AX252" s="105">
        <f t="shared" si="12"/>
        <v>0</v>
      </c>
      <c r="AY252" s="105">
        <f t="shared" ref="AY252:AZ252" si="270">F252+N252+V252+AD252+AL252+AT252</f>
        <v>0</v>
      </c>
      <c r="AZ252" s="105">
        <f t="shared" si="270"/>
        <v>0</v>
      </c>
      <c r="BA252" s="105">
        <f t="shared" si="14"/>
        <v>0</v>
      </c>
      <c r="BB252" s="105">
        <f t="shared" si="15"/>
        <v>0</v>
      </c>
    </row>
    <row r="253" spans="1:54" ht="15" customHeight="1" x14ac:dyDescent="0.25">
      <c r="A253" s="2">
        <v>251</v>
      </c>
      <c r="B253" s="83">
        <f t="shared" si="16"/>
        <v>0</v>
      </c>
      <c r="C253" s="83">
        <f>B253*N(Crédits!$D$5)/12</f>
        <v>0</v>
      </c>
      <c r="D253" s="83">
        <f>MIN(N(Crédits!$E$5),B253+C253)</f>
        <v>0</v>
      </c>
      <c r="E253" s="83">
        <f t="shared" si="0"/>
        <v>0</v>
      </c>
      <c r="F253" s="86">
        <f>IF(Crédits!$K$5="",0,MAX(0,MIN(E253,Plan!$L$255-(IF(Crédits!$K$6="",0,IF(Crédits!$K$6&lt;Crédits!$K$5,M253,0))+IF(Crédits!$K$7="",0,IF(Crédits!$K$7&lt;Crédits!$K$5,U253,0))+IF(Crédits!$K$8="",0,IF(Crédits!$K$8&lt;Crédits!$K$5,AC253,0))+IF(Crédits!$K$9="",0,IF(Crédits!$K$9&lt;Crédits!$K$5,AK253,0))+IF(Crédits!$K$10="",0,IF(Crédits!$K$10&lt;Crédits!$K$5,AS253,0))))))</f>
        <v>0</v>
      </c>
      <c r="G253" s="87">
        <f t="shared" si="1"/>
        <v>0</v>
      </c>
      <c r="H253" s="88">
        <f>ROUND(H252+I253-MIN(N(Crédits!$E$5),H252+I253),2)</f>
        <v>0</v>
      </c>
      <c r="I253" s="89">
        <f>H252*N(Crédits!$D$5)/12</f>
        <v>0</v>
      </c>
      <c r="J253" s="90">
        <f t="shared" si="17"/>
        <v>0</v>
      </c>
      <c r="K253" s="90">
        <f>J253*N(Crédits!$D$6)/12</f>
        <v>0</v>
      </c>
      <c r="L253" s="90">
        <f>MIN(N(Crédits!$E$6),J253+K253)</f>
        <v>0</v>
      </c>
      <c r="M253" s="90">
        <f t="shared" si="2"/>
        <v>0</v>
      </c>
      <c r="N253" s="91">
        <f>IF(Crédits!$K$6="",0,MAX(0,MIN(M253,Plan!$L$255-(IF(Crédits!$K$5="",0,IF(Crédits!$K$5&lt;Crédits!$K$6,E253,0))+IF(Crédits!$K$7="",0,IF(Crédits!$K$7&lt;Crédits!$K$6,U253,0))+IF(Crédits!$K$8="",0,IF(Crédits!$K$8&lt;Crédits!$K$6,AC253,0))+IF(Crédits!$K$9="",0,IF(Crédits!$K$9&lt;Crédits!$K$6,AK253,0))+IF(Crédits!$K$10="",0,IF(Crédits!$K$10&lt;Crédits!$K$6,AS253,0))))))</f>
        <v>0</v>
      </c>
      <c r="O253" s="92">
        <f t="shared" si="3"/>
        <v>0</v>
      </c>
      <c r="P253" s="88">
        <f>ROUND(P252+Q253-MIN(N(Crédits!$E$6),P252+Q253),2)</f>
        <v>0</v>
      </c>
      <c r="Q253" s="89">
        <f>P252*N(Crédits!$D$6)/12</f>
        <v>0</v>
      </c>
      <c r="R253" s="93">
        <f t="shared" si="18"/>
        <v>0</v>
      </c>
      <c r="S253" s="93">
        <f>R253*N(Crédits!$D$7)/12</f>
        <v>0</v>
      </c>
      <c r="T253" s="93">
        <f>MIN(N(Crédits!$E$7),R253+S253)</f>
        <v>0</v>
      </c>
      <c r="U253" s="93">
        <f t="shared" si="4"/>
        <v>0</v>
      </c>
      <c r="V253" s="94">
        <f>IF(Crédits!$K$7="",0,MAX(0,MIN(U253,Plan!$L$255-(IF(Crédits!$K$5="",0,IF(Crédits!$K$5&lt;Crédits!$K$7,E253,0))+IF(Crédits!$K$6="",0,IF(Crédits!$K$6&lt;Crédits!$K$7,M253,0))+IF(Crédits!$K$8="",0,IF(Crédits!$K$8&lt;Crédits!$K$7,AC253,0))+IF(Crédits!$K$9="",0,IF(Crédits!$K$9&lt;Crédits!$K$7,AK253,0))+IF(Crédits!$K$10="",0,IF(Crédits!$K$10&lt;Crédits!$K$7,AS253,0))))))</f>
        <v>0</v>
      </c>
      <c r="W253" s="95">
        <f t="shared" si="5"/>
        <v>0</v>
      </c>
      <c r="X253" s="88">
        <f>ROUND(X252+Y253-MIN(N(Crédits!$E$7),X252+Y253),2)</f>
        <v>0</v>
      </c>
      <c r="Y253" s="89">
        <f>X252*N(Crédits!$D$7)/12</f>
        <v>0</v>
      </c>
      <c r="Z253" s="96">
        <f t="shared" si="19"/>
        <v>0</v>
      </c>
      <c r="AA253" s="96">
        <f>Z253*N(Crédits!$D$8)/12</f>
        <v>0</v>
      </c>
      <c r="AB253" s="96">
        <f>MIN(N(Crédits!$E$8),Z253+AA253)</f>
        <v>0</v>
      </c>
      <c r="AC253" s="96">
        <f t="shared" si="6"/>
        <v>0</v>
      </c>
      <c r="AD253" s="97">
        <f>IF(Crédits!$K$8="",0,MAX(0,MIN(AC253,Plan!$L$255-(IF(Crédits!$K$5="",0,IF(Crédits!$K$5&lt;Crédits!$K$8,E253,0))+IF(Crédits!$K$6="",0,IF(Crédits!$K$6&lt;Crédits!$K$8,M253,0))+IF(Crédits!$K$7="",0,IF(Crédits!$K$7&lt;Crédits!$K$8,U253,0))+IF(Crédits!$K$9="",0,IF(Crédits!$K$9&lt;Crédits!$K$8,AK253,0))+IF(Crédits!$K$10="",0,IF(Crédits!$K$10&lt;Crédits!$K$8,AS253,0))))))</f>
        <v>0</v>
      </c>
      <c r="AE253" s="98">
        <f t="shared" si="7"/>
        <v>0</v>
      </c>
      <c r="AF253" s="88">
        <f>ROUND(AF252+AG253-MIN(N(Crédits!$E$8),AF252+AG253),2)</f>
        <v>0</v>
      </c>
      <c r="AG253" s="89">
        <f>AF252*N(Crédits!$D$8)/12</f>
        <v>0</v>
      </c>
      <c r="AH253" s="99">
        <f t="shared" si="20"/>
        <v>0</v>
      </c>
      <c r="AI253" s="99">
        <f>AH253*N(Crédits!$D$9)/12</f>
        <v>0</v>
      </c>
      <c r="AJ253" s="99">
        <f>MIN(N(Crédits!$E$9),AH253+AI253)</f>
        <v>0</v>
      </c>
      <c r="AK253" s="99">
        <f t="shared" si="8"/>
        <v>0</v>
      </c>
      <c r="AL253" s="100">
        <f>IF(Crédits!$K$9="",0,MAX(0,MIN(AK253,Plan!$L$255-(IF(Crédits!$K$5="",0,IF(Crédits!$K$5&lt;Crédits!$K$9,E253,0))+IF(Crédits!$K$6="",0,IF(Crédits!$K$6&lt;Crédits!$K$9,M253,0))+IF(Crédits!$K$7="",0,IF(Crédits!$K$7&lt;Crédits!$K$9,U253,0))+IF(Crédits!$K$8="",0,IF(Crédits!$K$8&lt;Crédits!$K$9,AC253,0))+IF(Crédits!$K$10="",0,IF(Crédits!$K$10&lt;Crédits!$K$9,AS253,0))))))</f>
        <v>0</v>
      </c>
      <c r="AM253" s="101">
        <f t="shared" si="9"/>
        <v>0</v>
      </c>
      <c r="AN253" s="88">
        <f>ROUND(AN252+AO253-MIN(N(Crédits!$E$9),AN252+AO253),2)</f>
        <v>0</v>
      </c>
      <c r="AO253" s="89">
        <f>AN252*N(Crédits!$D$9)/12</f>
        <v>0</v>
      </c>
      <c r="AP253" s="102">
        <f t="shared" si="21"/>
        <v>0</v>
      </c>
      <c r="AQ253" s="102">
        <f>AP253*N(Crédits!$D$10)/12</f>
        <v>0</v>
      </c>
      <c r="AR253" s="102">
        <f>MIN(N(Crédits!$E$10),AP253+AQ253)</f>
        <v>0</v>
      </c>
      <c r="AS253" s="102">
        <f t="shared" si="10"/>
        <v>0</v>
      </c>
      <c r="AT253" s="103">
        <f>IF(Crédits!$K$10="",0,MAX(0,MIN(AS253,Plan!$L$255-(IF(Crédits!$K$5="",0,IF(Crédits!$K$5&lt;Crédits!$K$10,E253,0))+IF(Crédits!$K$6="",0,IF(Crédits!$K$6&lt;Crédits!$K$10,M253,0))+IF(Crédits!$K$7="",0,IF(Crédits!$K$7&lt;Crédits!$K$10,U253,0))+IF(Crédits!$K$8="",0,IF(Crédits!$K$8&lt;Crédits!$K$10,AC253,0))+IF(Crédits!$K$9="",0,IF(Crédits!$K$9&lt;Crédits!$K$10,AK253,0))))))</f>
        <v>0</v>
      </c>
      <c r="AU253" s="104">
        <f t="shared" si="11"/>
        <v>0</v>
      </c>
      <c r="AV253" s="88">
        <f>ROUND(AV252+AW253-MIN(N(Crédits!$E$10),AV252+AW253),2)</f>
        <v>0</v>
      </c>
      <c r="AW253" s="89">
        <f>AV252*N(Crédits!$D$10)/12</f>
        <v>0</v>
      </c>
      <c r="AX253" s="105">
        <f t="shared" si="12"/>
        <v>0</v>
      </c>
      <c r="AY253" s="105">
        <f t="shared" ref="AY253:AZ253" si="271">F253+N253+V253+AD253+AL253+AT253</f>
        <v>0</v>
      </c>
      <c r="AZ253" s="105">
        <f t="shared" si="271"/>
        <v>0</v>
      </c>
      <c r="BA253" s="105">
        <f t="shared" si="14"/>
        <v>0</v>
      </c>
      <c r="BB253" s="105">
        <f t="shared" si="15"/>
        <v>0</v>
      </c>
    </row>
    <row r="254" spans="1:54" ht="15" customHeight="1" x14ac:dyDescent="0.25">
      <c r="A254" s="2">
        <v>252</v>
      </c>
      <c r="B254" s="83">
        <f t="shared" si="16"/>
        <v>0</v>
      </c>
      <c r="C254" s="83">
        <f>B254*N(Crédits!$D$5)/12</f>
        <v>0</v>
      </c>
      <c r="D254" s="83">
        <f>MIN(N(Crédits!$E$5),B254+C254)</f>
        <v>0</v>
      </c>
      <c r="E254" s="83">
        <f t="shared" si="0"/>
        <v>0</v>
      </c>
      <c r="F254" s="86">
        <f>IF(Crédits!$K$5="",0,MAX(0,MIN(E254,Plan!$L$256-(IF(Crédits!$K$6="",0,IF(Crédits!$K$6&lt;Crédits!$K$5,M254,0))+IF(Crédits!$K$7="",0,IF(Crédits!$K$7&lt;Crédits!$K$5,U254,0))+IF(Crédits!$K$8="",0,IF(Crédits!$K$8&lt;Crédits!$K$5,AC254,0))+IF(Crédits!$K$9="",0,IF(Crédits!$K$9&lt;Crédits!$K$5,AK254,0))+IF(Crédits!$K$10="",0,IF(Crédits!$K$10&lt;Crédits!$K$5,AS254,0))))))</f>
        <v>0</v>
      </c>
      <c r="G254" s="87">
        <f t="shared" si="1"/>
        <v>0</v>
      </c>
      <c r="H254" s="88">
        <f>ROUND(H253+I254-MIN(N(Crédits!$E$5),H253+I254),2)</f>
        <v>0</v>
      </c>
      <c r="I254" s="89">
        <f>H253*N(Crédits!$D$5)/12</f>
        <v>0</v>
      </c>
      <c r="J254" s="90">
        <f t="shared" si="17"/>
        <v>0</v>
      </c>
      <c r="K254" s="90">
        <f>J254*N(Crédits!$D$6)/12</f>
        <v>0</v>
      </c>
      <c r="L254" s="90">
        <f>MIN(N(Crédits!$E$6),J254+K254)</f>
        <v>0</v>
      </c>
      <c r="M254" s="90">
        <f t="shared" si="2"/>
        <v>0</v>
      </c>
      <c r="N254" s="91">
        <f>IF(Crédits!$K$6="",0,MAX(0,MIN(M254,Plan!$L$256-(IF(Crédits!$K$5="",0,IF(Crédits!$K$5&lt;Crédits!$K$6,E254,0))+IF(Crédits!$K$7="",0,IF(Crédits!$K$7&lt;Crédits!$K$6,U254,0))+IF(Crédits!$K$8="",0,IF(Crédits!$K$8&lt;Crédits!$K$6,AC254,0))+IF(Crédits!$K$9="",0,IF(Crédits!$K$9&lt;Crédits!$K$6,AK254,0))+IF(Crédits!$K$10="",0,IF(Crédits!$K$10&lt;Crédits!$K$6,AS254,0))))))</f>
        <v>0</v>
      </c>
      <c r="O254" s="92">
        <f t="shared" si="3"/>
        <v>0</v>
      </c>
      <c r="P254" s="88">
        <f>ROUND(P253+Q254-MIN(N(Crédits!$E$6),P253+Q254),2)</f>
        <v>0</v>
      </c>
      <c r="Q254" s="89">
        <f>P253*N(Crédits!$D$6)/12</f>
        <v>0</v>
      </c>
      <c r="R254" s="93">
        <f t="shared" si="18"/>
        <v>0</v>
      </c>
      <c r="S254" s="93">
        <f>R254*N(Crédits!$D$7)/12</f>
        <v>0</v>
      </c>
      <c r="T254" s="93">
        <f>MIN(N(Crédits!$E$7),R254+S254)</f>
        <v>0</v>
      </c>
      <c r="U254" s="93">
        <f t="shared" si="4"/>
        <v>0</v>
      </c>
      <c r="V254" s="94">
        <f>IF(Crédits!$K$7="",0,MAX(0,MIN(U254,Plan!$L$256-(IF(Crédits!$K$5="",0,IF(Crédits!$K$5&lt;Crédits!$K$7,E254,0))+IF(Crédits!$K$6="",0,IF(Crédits!$K$6&lt;Crédits!$K$7,M254,0))+IF(Crédits!$K$8="",0,IF(Crédits!$K$8&lt;Crédits!$K$7,AC254,0))+IF(Crédits!$K$9="",0,IF(Crédits!$K$9&lt;Crédits!$K$7,AK254,0))+IF(Crédits!$K$10="",0,IF(Crédits!$K$10&lt;Crédits!$K$7,AS254,0))))))</f>
        <v>0</v>
      </c>
      <c r="W254" s="95">
        <f t="shared" si="5"/>
        <v>0</v>
      </c>
      <c r="X254" s="88">
        <f>ROUND(X253+Y254-MIN(N(Crédits!$E$7),X253+Y254),2)</f>
        <v>0</v>
      </c>
      <c r="Y254" s="89">
        <f>X253*N(Crédits!$D$7)/12</f>
        <v>0</v>
      </c>
      <c r="Z254" s="96">
        <f t="shared" si="19"/>
        <v>0</v>
      </c>
      <c r="AA254" s="96">
        <f>Z254*N(Crédits!$D$8)/12</f>
        <v>0</v>
      </c>
      <c r="AB254" s="96">
        <f>MIN(N(Crédits!$E$8),Z254+AA254)</f>
        <v>0</v>
      </c>
      <c r="AC254" s="96">
        <f t="shared" si="6"/>
        <v>0</v>
      </c>
      <c r="AD254" s="97">
        <f>IF(Crédits!$K$8="",0,MAX(0,MIN(AC254,Plan!$L$256-(IF(Crédits!$K$5="",0,IF(Crédits!$K$5&lt;Crédits!$K$8,E254,0))+IF(Crédits!$K$6="",0,IF(Crédits!$K$6&lt;Crédits!$K$8,M254,0))+IF(Crédits!$K$7="",0,IF(Crédits!$K$7&lt;Crédits!$K$8,U254,0))+IF(Crédits!$K$9="",0,IF(Crédits!$K$9&lt;Crédits!$K$8,AK254,0))+IF(Crédits!$K$10="",0,IF(Crédits!$K$10&lt;Crédits!$K$8,AS254,0))))))</f>
        <v>0</v>
      </c>
      <c r="AE254" s="98">
        <f t="shared" si="7"/>
        <v>0</v>
      </c>
      <c r="AF254" s="88">
        <f>ROUND(AF253+AG254-MIN(N(Crédits!$E$8),AF253+AG254),2)</f>
        <v>0</v>
      </c>
      <c r="AG254" s="89">
        <f>AF253*N(Crédits!$D$8)/12</f>
        <v>0</v>
      </c>
      <c r="AH254" s="99">
        <f t="shared" si="20"/>
        <v>0</v>
      </c>
      <c r="AI254" s="99">
        <f>AH254*N(Crédits!$D$9)/12</f>
        <v>0</v>
      </c>
      <c r="AJ254" s="99">
        <f>MIN(N(Crédits!$E$9),AH254+AI254)</f>
        <v>0</v>
      </c>
      <c r="AK254" s="99">
        <f t="shared" si="8"/>
        <v>0</v>
      </c>
      <c r="AL254" s="100">
        <f>IF(Crédits!$K$9="",0,MAX(0,MIN(AK254,Plan!$L$256-(IF(Crédits!$K$5="",0,IF(Crédits!$K$5&lt;Crédits!$K$9,E254,0))+IF(Crédits!$K$6="",0,IF(Crédits!$K$6&lt;Crédits!$K$9,M254,0))+IF(Crédits!$K$7="",0,IF(Crédits!$K$7&lt;Crédits!$K$9,U254,0))+IF(Crédits!$K$8="",0,IF(Crédits!$K$8&lt;Crédits!$K$9,AC254,0))+IF(Crédits!$K$10="",0,IF(Crédits!$K$10&lt;Crédits!$K$9,AS254,0))))))</f>
        <v>0</v>
      </c>
      <c r="AM254" s="101">
        <f t="shared" si="9"/>
        <v>0</v>
      </c>
      <c r="AN254" s="88">
        <f>ROUND(AN253+AO254-MIN(N(Crédits!$E$9),AN253+AO254),2)</f>
        <v>0</v>
      </c>
      <c r="AO254" s="89">
        <f>AN253*N(Crédits!$D$9)/12</f>
        <v>0</v>
      </c>
      <c r="AP254" s="102">
        <f t="shared" si="21"/>
        <v>0</v>
      </c>
      <c r="AQ254" s="102">
        <f>AP254*N(Crédits!$D$10)/12</f>
        <v>0</v>
      </c>
      <c r="AR254" s="102">
        <f>MIN(N(Crédits!$E$10),AP254+AQ254)</f>
        <v>0</v>
      </c>
      <c r="AS254" s="102">
        <f t="shared" si="10"/>
        <v>0</v>
      </c>
      <c r="AT254" s="103">
        <f>IF(Crédits!$K$10="",0,MAX(0,MIN(AS254,Plan!$L$256-(IF(Crédits!$K$5="",0,IF(Crédits!$K$5&lt;Crédits!$K$10,E254,0))+IF(Crédits!$K$6="",0,IF(Crédits!$K$6&lt;Crédits!$K$10,M254,0))+IF(Crédits!$K$7="",0,IF(Crédits!$K$7&lt;Crédits!$K$10,U254,0))+IF(Crédits!$K$8="",0,IF(Crédits!$K$8&lt;Crédits!$K$10,AC254,0))+IF(Crédits!$K$9="",0,IF(Crédits!$K$9&lt;Crédits!$K$10,AK254,0))))))</f>
        <v>0</v>
      </c>
      <c r="AU254" s="104">
        <f t="shared" si="11"/>
        <v>0</v>
      </c>
      <c r="AV254" s="88">
        <f>ROUND(AV253+AW254-MIN(N(Crédits!$E$10),AV253+AW254),2)</f>
        <v>0</v>
      </c>
      <c r="AW254" s="89">
        <f>AV253*N(Crédits!$D$10)/12</f>
        <v>0</v>
      </c>
      <c r="AX254" s="105">
        <f t="shared" si="12"/>
        <v>0</v>
      </c>
      <c r="AY254" s="105">
        <f t="shared" ref="AY254:AZ254" si="272">F254+N254+V254+AD254+AL254+AT254</f>
        <v>0</v>
      </c>
      <c r="AZ254" s="105">
        <f t="shared" si="272"/>
        <v>0</v>
      </c>
      <c r="BA254" s="105">
        <f t="shared" si="14"/>
        <v>0</v>
      </c>
      <c r="BB254" s="105">
        <f t="shared" si="15"/>
        <v>0</v>
      </c>
    </row>
    <row r="255" spans="1:54" ht="15" customHeight="1" x14ac:dyDescent="0.25">
      <c r="A255" s="2">
        <v>253</v>
      </c>
      <c r="B255" s="83">
        <f t="shared" si="16"/>
        <v>0</v>
      </c>
      <c r="C255" s="83">
        <f>B255*N(Crédits!$D$5)/12</f>
        <v>0</v>
      </c>
      <c r="D255" s="83">
        <f>MIN(N(Crédits!$E$5),B255+C255)</f>
        <v>0</v>
      </c>
      <c r="E255" s="83">
        <f t="shared" si="0"/>
        <v>0</v>
      </c>
      <c r="F255" s="86">
        <f>IF(Crédits!$K$5="",0,MAX(0,MIN(E255,Plan!$L$257-(IF(Crédits!$K$6="",0,IF(Crédits!$K$6&lt;Crédits!$K$5,M255,0))+IF(Crédits!$K$7="",0,IF(Crédits!$K$7&lt;Crédits!$K$5,U255,0))+IF(Crédits!$K$8="",0,IF(Crédits!$K$8&lt;Crédits!$K$5,AC255,0))+IF(Crédits!$K$9="",0,IF(Crédits!$K$9&lt;Crédits!$K$5,AK255,0))+IF(Crédits!$K$10="",0,IF(Crédits!$K$10&lt;Crédits!$K$5,AS255,0))))))</f>
        <v>0</v>
      </c>
      <c r="G255" s="87">
        <f t="shared" si="1"/>
        <v>0</v>
      </c>
      <c r="H255" s="88">
        <f>ROUND(H254+I255-MIN(N(Crédits!$E$5),H254+I255),2)</f>
        <v>0</v>
      </c>
      <c r="I255" s="89">
        <f>H254*N(Crédits!$D$5)/12</f>
        <v>0</v>
      </c>
      <c r="J255" s="90">
        <f t="shared" si="17"/>
        <v>0</v>
      </c>
      <c r="K255" s="90">
        <f>J255*N(Crédits!$D$6)/12</f>
        <v>0</v>
      </c>
      <c r="L255" s="90">
        <f>MIN(N(Crédits!$E$6),J255+K255)</f>
        <v>0</v>
      </c>
      <c r="M255" s="90">
        <f t="shared" si="2"/>
        <v>0</v>
      </c>
      <c r="N255" s="91">
        <f>IF(Crédits!$K$6="",0,MAX(0,MIN(M255,Plan!$L$257-(IF(Crédits!$K$5="",0,IF(Crédits!$K$5&lt;Crédits!$K$6,E255,0))+IF(Crédits!$K$7="",0,IF(Crédits!$K$7&lt;Crédits!$K$6,U255,0))+IF(Crédits!$K$8="",0,IF(Crédits!$K$8&lt;Crédits!$K$6,AC255,0))+IF(Crédits!$K$9="",0,IF(Crédits!$K$9&lt;Crédits!$K$6,AK255,0))+IF(Crédits!$K$10="",0,IF(Crédits!$K$10&lt;Crédits!$K$6,AS255,0))))))</f>
        <v>0</v>
      </c>
      <c r="O255" s="92">
        <f t="shared" si="3"/>
        <v>0</v>
      </c>
      <c r="P255" s="88">
        <f>ROUND(P254+Q255-MIN(N(Crédits!$E$6),P254+Q255),2)</f>
        <v>0</v>
      </c>
      <c r="Q255" s="89">
        <f>P254*N(Crédits!$D$6)/12</f>
        <v>0</v>
      </c>
      <c r="R255" s="93">
        <f t="shared" si="18"/>
        <v>0</v>
      </c>
      <c r="S255" s="93">
        <f>R255*N(Crédits!$D$7)/12</f>
        <v>0</v>
      </c>
      <c r="T255" s="93">
        <f>MIN(N(Crédits!$E$7),R255+S255)</f>
        <v>0</v>
      </c>
      <c r="U255" s="93">
        <f t="shared" si="4"/>
        <v>0</v>
      </c>
      <c r="V255" s="94">
        <f>IF(Crédits!$K$7="",0,MAX(0,MIN(U255,Plan!$L$257-(IF(Crédits!$K$5="",0,IF(Crédits!$K$5&lt;Crédits!$K$7,E255,0))+IF(Crédits!$K$6="",0,IF(Crédits!$K$6&lt;Crédits!$K$7,M255,0))+IF(Crédits!$K$8="",0,IF(Crédits!$K$8&lt;Crédits!$K$7,AC255,0))+IF(Crédits!$K$9="",0,IF(Crédits!$K$9&lt;Crédits!$K$7,AK255,0))+IF(Crédits!$K$10="",0,IF(Crédits!$K$10&lt;Crédits!$K$7,AS255,0))))))</f>
        <v>0</v>
      </c>
      <c r="W255" s="95">
        <f t="shared" si="5"/>
        <v>0</v>
      </c>
      <c r="X255" s="88">
        <f>ROUND(X254+Y255-MIN(N(Crédits!$E$7),X254+Y255),2)</f>
        <v>0</v>
      </c>
      <c r="Y255" s="89">
        <f>X254*N(Crédits!$D$7)/12</f>
        <v>0</v>
      </c>
      <c r="Z255" s="96">
        <f t="shared" si="19"/>
        <v>0</v>
      </c>
      <c r="AA255" s="96">
        <f>Z255*N(Crédits!$D$8)/12</f>
        <v>0</v>
      </c>
      <c r="AB255" s="96">
        <f>MIN(N(Crédits!$E$8),Z255+AA255)</f>
        <v>0</v>
      </c>
      <c r="AC255" s="96">
        <f t="shared" si="6"/>
        <v>0</v>
      </c>
      <c r="AD255" s="97">
        <f>IF(Crédits!$K$8="",0,MAX(0,MIN(AC255,Plan!$L$257-(IF(Crédits!$K$5="",0,IF(Crédits!$K$5&lt;Crédits!$K$8,E255,0))+IF(Crédits!$K$6="",0,IF(Crédits!$K$6&lt;Crédits!$K$8,M255,0))+IF(Crédits!$K$7="",0,IF(Crédits!$K$7&lt;Crédits!$K$8,U255,0))+IF(Crédits!$K$9="",0,IF(Crédits!$K$9&lt;Crédits!$K$8,AK255,0))+IF(Crédits!$K$10="",0,IF(Crédits!$K$10&lt;Crédits!$K$8,AS255,0))))))</f>
        <v>0</v>
      </c>
      <c r="AE255" s="98">
        <f t="shared" si="7"/>
        <v>0</v>
      </c>
      <c r="AF255" s="88">
        <f>ROUND(AF254+AG255-MIN(N(Crédits!$E$8),AF254+AG255),2)</f>
        <v>0</v>
      </c>
      <c r="AG255" s="89">
        <f>AF254*N(Crédits!$D$8)/12</f>
        <v>0</v>
      </c>
      <c r="AH255" s="99">
        <f t="shared" si="20"/>
        <v>0</v>
      </c>
      <c r="AI255" s="99">
        <f>AH255*N(Crédits!$D$9)/12</f>
        <v>0</v>
      </c>
      <c r="AJ255" s="99">
        <f>MIN(N(Crédits!$E$9),AH255+AI255)</f>
        <v>0</v>
      </c>
      <c r="AK255" s="99">
        <f t="shared" si="8"/>
        <v>0</v>
      </c>
      <c r="AL255" s="100">
        <f>IF(Crédits!$K$9="",0,MAX(0,MIN(AK255,Plan!$L$257-(IF(Crédits!$K$5="",0,IF(Crédits!$K$5&lt;Crédits!$K$9,E255,0))+IF(Crédits!$K$6="",0,IF(Crédits!$K$6&lt;Crédits!$K$9,M255,0))+IF(Crédits!$K$7="",0,IF(Crédits!$K$7&lt;Crédits!$K$9,U255,0))+IF(Crédits!$K$8="",0,IF(Crédits!$K$8&lt;Crédits!$K$9,AC255,0))+IF(Crédits!$K$10="",0,IF(Crédits!$K$10&lt;Crédits!$K$9,AS255,0))))))</f>
        <v>0</v>
      </c>
      <c r="AM255" s="101">
        <f t="shared" si="9"/>
        <v>0</v>
      </c>
      <c r="AN255" s="88">
        <f>ROUND(AN254+AO255-MIN(N(Crédits!$E$9),AN254+AO255),2)</f>
        <v>0</v>
      </c>
      <c r="AO255" s="89">
        <f>AN254*N(Crédits!$D$9)/12</f>
        <v>0</v>
      </c>
      <c r="AP255" s="102">
        <f t="shared" si="21"/>
        <v>0</v>
      </c>
      <c r="AQ255" s="102">
        <f>AP255*N(Crédits!$D$10)/12</f>
        <v>0</v>
      </c>
      <c r="AR255" s="102">
        <f>MIN(N(Crédits!$E$10),AP255+AQ255)</f>
        <v>0</v>
      </c>
      <c r="AS255" s="102">
        <f t="shared" si="10"/>
        <v>0</v>
      </c>
      <c r="AT255" s="103">
        <f>IF(Crédits!$K$10="",0,MAX(0,MIN(AS255,Plan!$L$257-(IF(Crédits!$K$5="",0,IF(Crédits!$K$5&lt;Crédits!$K$10,E255,0))+IF(Crédits!$K$6="",0,IF(Crédits!$K$6&lt;Crédits!$K$10,M255,0))+IF(Crédits!$K$7="",0,IF(Crédits!$K$7&lt;Crédits!$K$10,U255,0))+IF(Crédits!$K$8="",0,IF(Crédits!$K$8&lt;Crédits!$K$10,AC255,0))+IF(Crédits!$K$9="",0,IF(Crédits!$K$9&lt;Crédits!$K$10,AK255,0))))))</f>
        <v>0</v>
      </c>
      <c r="AU255" s="104">
        <f t="shared" si="11"/>
        <v>0</v>
      </c>
      <c r="AV255" s="88">
        <f>ROUND(AV254+AW255-MIN(N(Crédits!$E$10),AV254+AW255),2)</f>
        <v>0</v>
      </c>
      <c r="AW255" s="89">
        <f>AV254*N(Crédits!$D$10)/12</f>
        <v>0</v>
      </c>
      <c r="AX255" s="105">
        <f t="shared" si="12"/>
        <v>0</v>
      </c>
      <c r="AY255" s="105">
        <f t="shared" ref="AY255:AZ255" si="273">F255+N255+V255+AD255+AL255+AT255</f>
        <v>0</v>
      </c>
      <c r="AZ255" s="105">
        <f t="shared" si="273"/>
        <v>0</v>
      </c>
      <c r="BA255" s="105">
        <f t="shared" si="14"/>
        <v>0</v>
      </c>
      <c r="BB255" s="105">
        <f t="shared" si="15"/>
        <v>0</v>
      </c>
    </row>
    <row r="256" spans="1:54" ht="15" customHeight="1" x14ac:dyDescent="0.25">
      <c r="A256" s="2">
        <v>254</v>
      </c>
      <c r="B256" s="83">
        <f t="shared" si="16"/>
        <v>0</v>
      </c>
      <c r="C256" s="83">
        <f>B256*N(Crédits!$D$5)/12</f>
        <v>0</v>
      </c>
      <c r="D256" s="83">
        <f>MIN(N(Crédits!$E$5),B256+C256)</f>
        <v>0</v>
      </c>
      <c r="E256" s="83">
        <f t="shared" si="0"/>
        <v>0</v>
      </c>
      <c r="F256" s="86">
        <f>IF(Crédits!$K$5="",0,MAX(0,MIN(E256,Plan!$L$258-(IF(Crédits!$K$6="",0,IF(Crédits!$K$6&lt;Crédits!$K$5,M256,0))+IF(Crédits!$K$7="",0,IF(Crédits!$K$7&lt;Crédits!$K$5,U256,0))+IF(Crédits!$K$8="",0,IF(Crédits!$K$8&lt;Crédits!$K$5,AC256,0))+IF(Crédits!$K$9="",0,IF(Crédits!$K$9&lt;Crédits!$K$5,AK256,0))+IF(Crédits!$K$10="",0,IF(Crédits!$K$10&lt;Crédits!$K$5,AS256,0))))))</f>
        <v>0</v>
      </c>
      <c r="G256" s="87">
        <f t="shared" si="1"/>
        <v>0</v>
      </c>
      <c r="H256" s="88">
        <f>ROUND(H255+I256-MIN(N(Crédits!$E$5),H255+I256),2)</f>
        <v>0</v>
      </c>
      <c r="I256" s="89">
        <f>H255*N(Crédits!$D$5)/12</f>
        <v>0</v>
      </c>
      <c r="J256" s="90">
        <f t="shared" si="17"/>
        <v>0</v>
      </c>
      <c r="K256" s="90">
        <f>J256*N(Crédits!$D$6)/12</f>
        <v>0</v>
      </c>
      <c r="L256" s="90">
        <f>MIN(N(Crédits!$E$6),J256+K256)</f>
        <v>0</v>
      </c>
      <c r="M256" s="90">
        <f t="shared" si="2"/>
        <v>0</v>
      </c>
      <c r="N256" s="91">
        <f>IF(Crédits!$K$6="",0,MAX(0,MIN(M256,Plan!$L$258-(IF(Crédits!$K$5="",0,IF(Crédits!$K$5&lt;Crédits!$K$6,E256,0))+IF(Crédits!$K$7="",0,IF(Crédits!$K$7&lt;Crédits!$K$6,U256,0))+IF(Crédits!$K$8="",0,IF(Crédits!$K$8&lt;Crédits!$K$6,AC256,0))+IF(Crédits!$K$9="",0,IF(Crédits!$K$9&lt;Crédits!$K$6,AK256,0))+IF(Crédits!$K$10="",0,IF(Crédits!$K$10&lt;Crédits!$K$6,AS256,0))))))</f>
        <v>0</v>
      </c>
      <c r="O256" s="92">
        <f t="shared" si="3"/>
        <v>0</v>
      </c>
      <c r="P256" s="88">
        <f>ROUND(P255+Q256-MIN(N(Crédits!$E$6),P255+Q256),2)</f>
        <v>0</v>
      </c>
      <c r="Q256" s="89">
        <f>P255*N(Crédits!$D$6)/12</f>
        <v>0</v>
      </c>
      <c r="R256" s="93">
        <f t="shared" si="18"/>
        <v>0</v>
      </c>
      <c r="S256" s="93">
        <f>R256*N(Crédits!$D$7)/12</f>
        <v>0</v>
      </c>
      <c r="T256" s="93">
        <f>MIN(N(Crédits!$E$7),R256+S256)</f>
        <v>0</v>
      </c>
      <c r="U256" s="93">
        <f t="shared" si="4"/>
        <v>0</v>
      </c>
      <c r="V256" s="94">
        <f>IF(Crédits!$K$7="",0,MAX(0,MIN(U256,Plan!$L$258-(IF(Crédits!$K$5="",0,IF(Crédits!$K$5&lt;Crédits!$K$7,E256,0))+IF(Crédits!$K$6="",0,IF(Crédits!$K$6&lt;Crédits!$K$7,M256,0))+IF(Crédits!$K$8="",0,IF(Crédits!$K$8&lt;Crédits!$K$7,AC256,0))+IF(Crédits!$K$9="",0,IF(Crédits!$K$9&lt;Crédits!$K$7,AK256,0))+IF(Crédits!$K$10="",0,IF(Crédits!$K$10&lt;Crédits!$K$7,AS256,0))))))</f>
        <v>0</v>
      </c>
      <c r="W256" s="95">
        <f t="shared" si="5"/>
        <v>0</v>
      </c>
      <c r="X256" s="88">
        <f>ROUND(X255+Y256-MIN(N(Crédits!$E$7),X255+Y256),2)</f>
        <v>0</v>
      </c>
      <c r="Y256" s="89">
        <f>X255*N(Crédits!$D$7)/12</f>
        <v>0</v>
      </c>
      <c r="Z256" s="96">
        <f t="shared" si="19"/>
        <v>0</v>
      </c>
      <c r="AA256" s="96">
        <f>Z256*N(Crédits!$D$8)/12</f>
        <v>0</v>
      </c>
      <c r="AB256" s="96">
        <f>MIN(N(Crédits!$E$8),Z256+AA256)</f>
        <v>0</v>
      </c>
      <c r="AC256" s="96">
        <f t="shared" si="6"/>
        <v>0</v>
      </c>
      <c r="AD256" s="97">
        <f>IF(Crédits!$K$8="",0,MAX(0,MIN(AC256,Plan!$L$258-(IF(Crédits!$K$5="",0,IF(Crédits!$K$5&lt;Crédits!$K$8,E256,0))+IF(Crédits!$K$6="",0,IF(Crédits!$K$6&lt;Crédits!$K$8,M256,0))+IF(Crédits!$K$7="",0,IF(Crédits!$K$7&lt;Crédits!$K$8,U256,0))+IF(Crédits!$K$9="",0,IF(Crédits!$K$9&lt;Crédits!$K$8,AK256,0))+IF(Crédits!$K$10="",0,IF(Crédits!$K$10&lt;Crédits!$K$8,AS256,0))))))</f>
        <v>0</v>
      </c>
      <c r="AE256" s="98">
        <f t="shared" si="7"/>
        <v>0</v>
      </c>
      <c r="AF256" s="88">
        <f>ROUND(AF255+AG256-MIN(N(Crédits!$E$8),AF255+AG256),2)</f>
        <v>0</v>
      </c>
      <c r="AG256" s="89">
        <f>AF255*N(Crédits!$D$8)/12</f>
        <v>0</v>
      </c>
      <c r="AH256" s="99">
        <f t="shared" si="20"/>
        <v>0</v>
      </c>
      <c r="AI256" s="99">
        <f>AH256*N(Crédits!$D$9)/12</f>
        <v>0</v>
      </c>
      <c r="AJ256" s="99">
        <f>MIN(N(Crédits!$E$9),AH256+AI256)</f>
        <v>0</v>
      </c>
      <c r="AK256" s="99">
        <f t="shared" si="8"/>
        <v>0</v>
      </c>
      <c r="AL256" s="100">
        <f>IF(Crédits!$K$9="",0,MAX(0,MIN(AK256,Plan!$L$258-(IF(Crédits!$K$5="",0,IF(Crédits!$K$5&lt;Crédits!$K$9,E256,0))+IF(Crédits!$K$6="",0,IF(Crédits!$K$6&lt;Crédits!$K$9,M256,0))+IF(Crédits!$K$7="",0,IF(Crédits!$K$7&lt;Crédits!$K$9,U256,0))+IF(Crédits!$K$8="",0,IF(Crédits!$K$8&lt;Crédits!$K$9,AC256,0))+IF(Crédits!$K$10="",0,IF(Crédits!$K$10&lt;Crédits!$K$9,AS256,0))))))</f>
        <v>0</v>
      </c>
      <c r="AM256" s="101">
        <f t="shared" si="9"/>
        <v>0</v>
      </c>
      <c r="AN256" s="88">
        <f>ROUND(AN255+AO256-MIN(N(Crédits!$E$9),AN255+AO256),2)</f>
        <v>0</v>
      </c>
      <c r="AO256" s="89">
        <f>AN255*N(Crédits!$D$9)/12</f>
        <v>0</v>
      </c>
      <c r="AP256" s="102">
        <f t="shared" si="21"/>
        <v>0</v>
      </c>
      <c r="AQ256" s="102">
        <f>AP256*N(Crédits!$D$10)/12</f>
        <v>0</v>
      </c>
      <c r="AR256" s="102">
        <f>MIN(N(Crédits!$E$10),AP256+AQ256)</f>
        <v>0</v>
      </c>
      <c r="AS256" s="102">
        <f t="shared" si="10"/>
        <v>0</v>
      </c>
      <c r="AT256" s="103">
        <f>IF(Crédits!$K$10="",0,MAX(0,MIN(AS256,Plan!$L$258-(IF(Crédits!$K$5="",0,IF(Crédits!$K$5&lt;Crédits!$K$10,E256,0))+IF(Crédits!$K$6="",0,IF(Crédits!$K$6&lt;Crédits!$K$10,M256,0))+IF(Crédits!$K$7="",0,IF(Crédits!$K$7&lt;Crédits!$K$10,U256,0))+IF(Crédits!$K$8="",0,IF(Crédits!$K$8&lt;Crédits!$K$10,AC256,0))+IF(Crédits!$K$9="",0,IF(Crédits!$K$9&lt;Crédits!$K$10,AK256,0))))))</f>
        <v>0</v>
      </c>
      <c r="AU256" s="104">
        <f t="shared" si="11"/>
        <v>0</v>
      </c>
      <c r="AV256" s="88">
        <f>ROUND(AV255+AW256-MIN(N(Crédits!$E$10),AV255+AW256),2)</f>
        <v>0</v>
      </c>
      <c r="AW256" s="89">
        <f>AV255*N(Crédits!$D$10)/12</f>
        <v>0</v>
      </c>
      <c r="AX256" s="105">
        <f t="shared" si="12"/>
        <v>0</v>
      </c>
      <c r="AY256" s="105">
        <f t="shared" ref="AY256:AZ256" si="274">F256+N256+V256+AD256+AL256+AT256</f>
        <v>0</v>
      </c>
      <c r="AZ256" s="105">
        <f t="shared" si="274"/>
        <v>0</v>
      </c>
      <c r="BA256" s="105">
        <f t="shared" si="14"/>
        <v>0</v>
      </c>
      <c r="BB256" s="105">
        <f t="shared" si="15"/>
        <v>0</v>
      </c>
    </row>
    <row r="257" spans="1:54" ht="15" customHeight="1" x14ac:dyDescent="0.25">
      <c r="A257" s="2">
        <v>255</v>
      </c>
      <c r="B257" s="83">
        <f t="shared" si="16"/>
        <v>0</v>
      </c>
      <c r="C257" s="83">
        <f>B257*N(Crédits!$D$5)/12</f>
        <v>0</v>
      </c>
      <c r="D257" s="83">
        <f>MIN(N(Crédits!$E$5),B257+C257)</f>
        <v>0</v>
      </c>
      <c r="E257" s="83">
        <f t="shared" si="0"/>
        <v>0</v>
      </c>
      <c r="F257" s="86">
        <f>IF(Crédits!$K$5="",0,MAX(0,MIN(E257,Plan!$L$259-(IF(Crédits!$K$6="",0,IF(Crédits!$K$6&lt;Crédits!$K$5,M257,0))+IF(Crédits!$K$7="",0,IF(Crédits!$K$7&lt;Crédits!$K$5,U257,0))+IF(Crédits!$K$8="",0,IF(Crédits!$K$8&lt;Crédits!$K$5,AC257,0))+IF(Crédits!$K$9="",0,IF(Crédits!$K$9&lt;Crédits!$K$5,AK257,0))+IF(Crédits!$K$10="",0,IF(Crédits!$K$10&lt;Crédits!$K$5,AS257,0))))))</f>
        <v>0</v>
      </c>
      <c r="G257" s="87">
        <f t="shared" si="1"/>
        <v>0</v>
      </c>
      <c r="H257" s="88">
        <f>ROUND(H256+I257-MIN(N(Crédits!$E$5),H256+I257),2)</f>
        <v>0</v>
      </c>
      <c r="I257" s="89">
        <f>H256*N(Crédits!$D$5)/12</f>
        <v>0</v>
      </c>
      <c r="J257" s="90">
        <f t="shared" si="17"/>
        <v>0</v>
      </c>
      <c r="K257" s="90">
        <f>J257*N(Crédits!$D$6)/12</f>
        <v>0</v>
      </c>
      <c r="L257" s="90">
        <f>MIN(N(Crédits!$E$6),J257+K257)</f>
        <v>0</v>
      </c>
      <c r="M257" s="90">
        <f t="shared" si="2"/>
        <v>0</v>
      </c>
      <c r="N257" s="91">
        <f>IF(Crédits!$K$6="",0,MAX(0,MIN(M257,Plan!$L$259-(IF(Crédits!$K$5="",0,IF(Crédits!$K$5&lt;Crédits!$K$6,E257,0))+IF(Crédits!$K$7="",0,IF(Crédits!$K$7&lt;Crédits!$K$6,U257,0))+IF(Crédits!$K$8="",0,IF(Crédits!$K$8&lt;Crédits!$K$6,AC257,0))+IF(Crédits!$K$9="",0,IF(Crédits!$K$9&lt;Crédits!$K$6,AK257,0))+IF(Crédits!$K$10="",0,IF(Crédits!$K$10&lt;Crédits!$K$6,AS257,0))))))</f>
        <v>0</v>
      </c>
      <c r="O257" s="92">
        <f t="shared" si="3"/>
        <v>0</v>
      </c>
      <c r="P257" s="88">
        <f>ROUND(P256+Q257-MIN(N(Crédits!$E$6),P256+Q257),2)</f>
        <v>0</v>
      </c>
      <c r="Q257" s="89">
        <f>P256*N(Crédits!$D$6)/12</f>
        <v>0</v>
      </c>
      <c r="R257" s="93">
        <f t="shared" si="18"/>
        <v>0</v>
      </c>
      <c r="S257" s="93">
        <f>R257*N(Crédits!$D$7)/12</f>
        <v>0</v>
      </c>
      <c r="T257" s="93">
        <f>MIN(N(Crédits!$E$7),R257+S257)</f>
        <v>0</v>
      </c>
      <c r="U257" s="93">
        <f t="shared" si="4"/>
        <v>0</v>
      </c>
      <c r="V257" s="94">
        <f>IF(Crédits!$K$7="",0,MAX(0,MIN(U257,Plan!$L$259-(IF(Crédits!$K$5="",0,IF(Crédits!$K$5&lt;Crédits!$K$7,E257,0))+IF(Crédits!$K$6="",0,IF(Crédits!$K$6&lt;Crédits!$K$7,M257,0))+IF(Crédits!$K$8="",0,IF(Crédits!$K$8&lt;Crédits!$K$7,AC257,0))+IF(Crédits!$K$9="",0,IF(Crédits!$K$9&lt;Crédits!$K$7,AK257,0))+IF(Crédits!$K$10="",0,IF(Crédits!$K$10&lt;Crédits!$K$7,AS257,0))))))</f>
        <v>0</v>
      </c>
      <c r="W257" s="95">
        <f t="shared" si="5"/>
        <v>0</v>
      </c>
      <c r="X257" s="88">
        <f>ROUND(X256+Y257-MIN(N(Crédits!$E$7),X256+Y257),2)</f>
        <v>0</v>
      </c>
      <c r="Y257" s="89">
        <f>X256*N(Crédits!$D$7)/12</f>
        <v>0</v>
      </c>
      <c r="Z257" s="96">
        <f t="shared" si="19"/>
        <v>0</v>
      </c>
      <c r="AA257" s="96">
        <f>Z257*N(Crédits!$D$8)/12</f>
        <v>0</v>
      </c>
      <c r="AB257" s="96">
        <f>MIN(N(Crédits!$E$8),Z257+AA257)</f>
        <v>0</v>
      </c>
      <c r="AC257" s="96">
        <f t="shared" si="6"/>
        <v>0</v>
      </c>
      <c r="AD257" s="97">
        <f>IF(Crédits!$K$8="",0,MAX(0,MIN(AC257,Plan!$L$259-(IF(Crédits!$K$5="",0,IF(Crédits!$K$5&lt;Crédits!$K$8,E257,0))+IF(Crédits!$K$6="",0,IF(Crédits!$K$6&lt;Crédits!$K$8,M257,0))+IF(Crédits!$K$7="",0,IF(Crédits!$K$7&lt;Crédits!$K$8,U257,0))+IF(Crédits!$K$9="",0,IF(Crédits!$K$9&lt;Crédits!$K$8,AK257,0))+IF(Crédits!$K$10="",0,IF(Crédits!$K$10&lt;Crédits!$K$8,AS257,0))))))</f>
        <v>0</v>
      </c>
      <c r="AE257" s="98">
        <f t="shared" si="7"/>
        <v>0</v>
      </c>
      <c r="AF257" s="88">
        <f>ROUND(AF256+AG257-MIN(N(Crédits!$E$8),AF256+AG257),2)</f>
        <v>0</v>
      </c>
      <c r="AG257" s="89">
        <f>AF256*N(Crédits!$D$8)/12</f>
        <v>0</v>
      </c>
      <c r="AH257" s="99">
        <f t="shared" si="20"/>
        <v>0</v>
      </c>
      <c r="AI257" s="99">
        <f>AH257*N(Crédits!$D$9)/12</f>
        <v>0</v>
      </c>
      <c r="AJ257" s="99">
        <f>MIN(N(Crédits!$E$9),AH257+AI257)</f>
        <v>0</v>
      </c>
      <c r="AK257" s="99">
        <f t="shared" si="8"/>
        <v>0</v>
      </c>
      <c r="AL257" s="100">
        <f>IF(Crédits!$K$9="",0,MAX(0,MIN(AK257,Plan!$L$259-(IF(Crédits!$K$5="",0,IF(Crédits!$K$5&lt;Crédits!$K$9,E257,0))+IF(Crédits!$K$6="",0,IF(Crédits!$K$6&lt;Crédits!$K$9,M257,0))+IF(Crédits!$K$7="",0,IF(Crédits!$K$7&lt;Crédits!$K$9,U257,0))+IF(Crédits!$K$8="",0,IF(Crédits!$K$8&lt;Crédits!$K$9,AC257,0))+IF(Crédits!$K$10="",0,IF(Crédits!$K$10&lt;Crédits!$K$9,AS257,0))))))</f>
        <v>0</v>
      </c>
      <c r="AM257" s="101">
        <f t="shared" si="9"/>
        <v>0</v>
      </c>
      <c r="AN257" s="88">
        <f>ROUND(AN256+AO257-MIN(N(Crédits!$E$9),AN256+AO257),2)</f>
        <v>0</v>
      </c>
      <c r="AO257" s="89">
        <f>AN256*N(Crédits!$D$9)/12</f>
        <v>0</v>
      </c>
      <c r="AP257" s="102">
        <f t="shared" si="21"/>
        <v>0</v>
      </c>
      <c r="AQ257" s="102">
        <f>AP257*N(Crédits!$D$10)/12</f>
        <v>0</v>
      </c>
      <c r="AR257" s="102">
        <f>MIN(N(Crédits!$E$10),AP257+AQ257)</f>
        <v>0</v>
      </c>
      <c r="AS257" s="102">
        <f t="shared" si="10"/>
        <v>0</v>
      </c>
      <c r="AT257" s="103">
        <f>IF(Crédits!$K$10="",0,MAX(0,MIN(AS257,Plan!$L$259-(IF(Crédits!$K$5="",0,IF(Crédits!$K$5&lt;Crédits!$K$10,E257,0))+IF(Crédits!$K$6="",0,IF(Crédits!$K$6&lt;Crédits!$K$10,M257,0))+IF(Crédits!$K$7="",0,IF(Crédits!$K$7&lt;Crédits!$K$10,U257,0))+IF(Crédits!$K$8="",0,IF(Crédits!$K$8&lt;Crédits!$K$10,AC257,0))+IF(Crédits!$K$9="",0,IF(Crédits!$K$9&lt;Crédits!$K$10,AK257,0))))))</f>
        <v>0</v>
      </c>
      <c r="AU257" s="104">
        <f t="shared" si="11"/>
        <v>0</v>
      </c>
      <c r="AV257" s="88">
        <f>ROUND(AV256+AW257-MIN(N(Crédits!$E$10),AV256+AW257),2)</f>
        <v>0</v>
      </c>
      <c r="AW257" s="89">
        <f>AV256*N(Crédits!$D$10)/12</f>
        <v>0</v>
      </c>
      <c r="AX257" s="105">
        <f t="shared" si="12"/>
        <v>0</v>
      </c>
      <c r="AY257" s="105">
        <f t="shared" ref="AY257:AZ257" si="275">F257+N257+V257+AD257+AL257+AT257</f>
        <v>0</v>
      </c>
      <c r="AZ257" s="105">
        <f t="shared" si="275"/>
        <v>0</v>
      </c>
      <c r="BA257" s="105">
        <f t="shared" si="14"/>
        <v>0</v>
      </c>
      <c r="BB257" s="105">
        <f t="shared" si="15"/>
        <v>0</v>
      </c>
    </row>
    <row r="258" spans="1:54" ht="15" customHeight="1" x14ac:dyDescent="0.25">
      <c r="A258" s="2">
        <v>256</v>
      </c>
      <c r="B258" s="83">
        <f t="shared" si="16"/>
        <v>0</v>
      </c>
      <c r="C258" s="83">
        <f>B258*N(Crédits!$D$5)/12</f>
        <v>0</v>
      </c>
      <c r="D258" s="83">
        <f>MIN(N(Crédits!$E$5),B258+C258)</f>
        <v>0</v>
      </c>
      <c r="E258" s="83">
        <f t="shared" ref="E258:E302" si="276">ROUND(B258+C258-D258,2)</f>
        <v>0</v>
      </c>
      <c r="F258" s="86">
        <f>IF(Crédits!$K$5="",0,MAX(0,MIN(E258,Plan!$L$260-(IF(Crédits!$K$6="",0,IF(Crédits!$K$6&lt;Crédits!$K$5,M258,0))+IF(Crédits!$K$7="",0,IF(Crédits!$K$7&lt;Crédits!$K$5,U258,0))+IF(Crédits!$K$8="",0,IF(Crédits!$K$8&lt;Crédits!$K$5,AC258,0))+IF(Crédits!$K$9="",0,IF(Crédits!$K$9&lt;Crédits!$K$5,AK258,0))+IF(Crédits!$K$10="",0,IF(Crédits!$K$10&lt;Crédits!$K$5,AS258,0))))))</f>
        <v>0</v>
      </c>
      <c r="G258" s="87">
        <f t="shared" ref="G258:G302" si="277">ROUND(E258-F258,2)</f>
        <v>0</v>
      </c>
      <c r="H258" s="88">
        <f>ROUND(H257+I258-MIN(N(Crédits!$E$5),H257+I258),2)</f>
        <v>0</v>
      </c>
      <c r="I258" s="89">
        <f>H257*N(Crédits!$D$5)/12</f>
        <v>0</v>
      </c>
      <c r="J258" s="90">
        <f t="shared" si="17"/>
        <v>0</v>
      </c>
      <c r="K258" s="90">
        <f>J258*N(Crédits!$D$6)/12</f>
        <v>0</v>
      </c>
      <c r="L258" s="90">
        <f>MIN(N(Crédits!$E$6),J258+K258)</f>
        <v>0</v>
      </c>
      <c r="M258" s="90">
        <f t="shared" ref="M258:M302" si="278">ROUND(J258+K258-L258,2)</f>
        <v>0</v>
      </c>
      <c r="N258" s="91">
        <f>IF(Crédits!$K$6="",0,MAX(0,MIN(M258,Plan!$L$260-(IF(Crédits!$K$5="",0,IF(Crédits!$K$5&lt;Crédits!$K$6,E258,0))+IF(Crédits!$K$7="",0,IF(Crédits!$K$7&lt;Crédits!$K$6,U258,0))+IF(Crédits!$K$8="",0,IF(Crédits!$K$8&lt;Crédits!$K$6,AC258,0))+IF(Crédits!$K$9="",0,IF(Crédits!$K$9&lt;Crédits!$K$6,AK258,0))+IF(Crédits!$K$10="",0,IF(Crédits!$K$10&lt;Crédits!$K$6,AS258,0))))))</f>
        <v>0</v>
      </c>
      <c r="O258" s="92">
        <f t="shared" ref="O258:O302" si="279">ROUND(M258-N258,2)</f>
        <v>0</v>
      </c>
      <c r="P258" s="88">
        <f>ROUND(P257+Q258-MIN(N(Crédits!$E$6),P257+Q258),2)</f>
        <v>0</v>
      </c>
      <c r="Q258" s="89">
        <f>P257*N(Crédits!$D$6)/12</f>
        <v>0</v>
      </c>
      <c r="R258" s="93">
        <f t="shared" si="18"/>
        <v>0</v>
      </c>
      <c r="S258" s="93">
        <f>R258*N(Crédits!$D$7)/12</f>
        <v>0</v>
      </c>
      <c r="T258" s="93">
        <f>MIN(N(Crédits!$E$7),R258+S258)</f>
        <v>0</v>
      </c>
      <c r="U258" s="93">
        <f t="shared" ref="U258:U302" si="280">ROUND(R258+S258-T258,2)</f>
        <v>0</v>
      </c>
      <c r="V258" s="94">
        <f>IF(Crédits!$K$7="",0,MAX(0,MIN(U258,Plan!$L$260-(IF(Crédits!$K$5="",0,IF(Crédits!$K$5&lt;Crédits!$K$7,E258,0))+IF(Crédits!$K$6="",0,IF(Crédits!$K$6&lt;Crédits!$K$7,M258,0))+IF(Crédits!$K$8="",0,IF(Crédits!$K$8&lt;Crédits!$K$7,AC258,0))+IF(Crédits!$K$9="",0,IF(Crédits!$K$9&lt;Crédits!$K$7,AK258,0))+IF(Crédits!$K$10="",0,IF(Crédits!$K$10&lt;Crédits!$K$7,AS258,0))))))</f>
        <v>0</v>
      </c>
      <c r="W258" s="95">
        <f t="shared" ref="W258:W302" si="281">ROUND(U258-V258,2)</f>
        <v>0</v>
      </c>
      <c r="X258" s="88">
        <f>ROUND(X257+Y258-MIN(N(Crédits!$E$7),X257+Y258),2)</f>
        <v>0</v>
      </c>
      <c r="Y258" s="89">
        <f>X257*N(Crédits!$D$7)/12</f>
        <v>0</v>
      </c>
      <c r="Z258" s="96">
        <f t="shared" si="19"/>
        <v>0</v>
      </c>
      <c r="AA258" s="96">
        <f>Z258*N(Crédits!$D$8)/12</f>
        <v>0</v>
      </c>
      <c r="AB258" s="96">
        <f>MIN(N(Crédits!$E$8),Z258+AA258)</f>
        <v>0</v>
      </c>
      <c r="AC258" s="96">
        <f t="shared" ref="AC258:AC302" si="282">ROUND(Z258+AA258-AB258,2)</f>
        <v>0</v>
      </c>
      <c r="AD258" s="97">
        <f>IF(Crédits!$K$8="",0,MAX(0,MIN(AC258,Plan!$L$260-(IF(Crédits!$K$5="",0,IF(Crédits!$K$5&lt;Crédits!$K$8,E258,0))+IF(Crédits!$K$6="",0,IF(Crédits!$K$6&lt;Crédits!$K$8,M258,0))+IF(Crédits!$K$7="",0,IF(Crédits!$K$7&lt;Crédits!$K$8,U258,0))+IF(Crédits!$K$9="",0,IF(Crédits!$K$9&lt;Crédits!$K$8,AK258,0))+IF(Crédits!$K$10="",0,IF(Crédits!$K$10&lt;Crédits!$K$8,AS258,0))))))</f>
        <v>0</v>
      </c>
      <c r="AE258" s="98">
        <f t="shared" ref="AE258:AE302" si="283">ROUND(AC258-AD258,2)</f>
        <v>0</v>
      </c>
      <c r="AF258" s="88">
        <f>ROUND(AF257+AG258-MIN(N(Crédits!$E$8),AF257+AG258),2)</f>
        <v>0</v>
      </c>
      <c r="AG258" s="89">
        <f>AF257*N(Crédits!$D$8)/12</f>
        <v>0</v>
      </c>
      <c r="AH258" s="99">
        <f t="shared" si="20"/>
        <v>0</v>
      </c>
      <c r="AI258" s="99">
        <f>AH258*N(Crédits!$D$9)/12</f>
        <v>0</v>
      </c>
      <c r="AJ258" s="99">
        <f>MIN(N(Crédits!$E$9),AH258+AI258)</f>
        <v>0</v>
      </c>
      <c r="AK258" s="99">
        <f t="shared" ref="AK258:AK302" si="284">ROUND(AH258+AI258-AJ258,2)</f>
        <v>0</v>
      </c>
      <c r="AL258" s="100">
        <f>IF(Crédits!$K$9="",0,MAX(0,MIN(AK258,Plan!$L$260-(IF(Crédits!$K$5="",0,IF(Crédits!$K$5&lt;Crédits!$K$9,E258,0))+IF(Crédits!$K$6="",0,IF(Crédits!$K$6&lt;Crédits!$K$9,M258,0))+IF(Crédits!$K$7="",0,IF(Crédits!$K$7&lt;Crédits!$K$9,U258,0))+IF(Crédits!$K$8="",0,IF(Crédits!$K$8&lt;Crédits!$K$9,AC258,0))+IF(Crédits!$K$10="",0,IF(Crédits!$K$10&lt;Crédits!$K$9,AS258,0))))))</f>
        <v>0</v>
      </c>
      <c r="AM258" s="101">
        <f t="shared" ref="AM258:AM302" si="285">ROUND(AK258-AL258,2)</f>
        <v>0</v>
      </c>
      <c r="AN258" s="88">
        <f>ROUND(AN257+AO258-MIN(N(Crédits!$E$9),AN257+AO258),2)</f>
        <v>0</v>
      </c>
      <c r="AO258" s="89">
        <f>AN257*N(Crédits!$D$9)/12</f>
        <v>0</v>
      </c>
      <c r="AP258" s="102">
        <f t="shared" si="21"/>
        <v>0</v>
      </c>
      <c r="AQ258" s="102">
        <f>AP258*N(Crédits!$D$10)/12</f>
        <v>0</v>
      </c>
      <c r="AR258" s="102">
        <f>MIN(N(Crédits!$E$10),AP258+AQ258)</f>
        <v>0</v>
      </c>
      <c r="AS258" s="102">
        <f t="shared" ref="AS258:AS302" si="286">ROUND(AP258+AQ258-AR258,2)</f>
        <v>0</v>
      </c>
      <c r="AT258" s="103">
        <f>IF(Crédits!$K$10="",0,MAX(0,MIN(AS258,Plan!$L$260-(IF(Crédits!$K$5="",0,IF(Crédits!$K$5&lt;Crédits!$K$10,E258,0))+IF(Crédits!$K$6="",0,IF(Crédits!$K$6&lt;Crédits!$K$10,M258,0))+IF(Crédits!$K$7="",0,IF(Crédits!$K$7&lt;Crédits!$K$10,U258,0))+IF(Crédits!$K$8="",0,IF(Crédits!$K$8&lt;Crédits!$K$10,AC258,0))+IF(Crédits!$K$9="",0,IF(Crédits!$K$9&lt;Crédits!$K$10,AK258,0))))))</f>
        <v>0</v>
      </c>
      <c r="AU258" s="104">
        <f t="shared" ref="AU258:AU302" si="287">ROUND(AS258-AT258,2)</f>
        <v>0</v>
      </c>
      <c r="AV258" s="88">
        <f>ROUND(AV257+AW258-MIN(N(Crédits!$E$10),AV257+AW258),2)</f>
        <v>0</v>
      </c>
      <c r="AW258" s="89">
        <f>AV257*N(Crédits!$D$10)/12</f>
        <v>0</v>
      </c>
      <c r="AX258" s="105">
        <f t="shared" ref="AX258:AX302" si="288">D258+L258+T258+AB258+AJ258+AR258</f>
        <v>0</v>
      </c>
      <c r="AY258" s="105">
        <f t="shared" ref="AY258:AZ258" si="289">F258+N258+V258+AD258+AL258+AT258</f>
        <v>0</v>
      </c>
      <c r="AZ258" s="105">
        <f t="shared" si="289"/>
        <v>0</v>
      </c>
      <c r="BA258" s="105">
        <f t="shared" ref="BA258:BA302" si="290">C258+K258+S258+AA258+AI258+AQ258</f>
        <v>0</v>
      </c>
      <c r="BB258" s="105">
        <f t="shared" ref="BB258:BB302" si="291">I258+Q258+Y258+AG258+AO258+AW258</f>
        <v>0</v>
      </c>
    </row>
    <row r="259" spans="1:54" ht="15" customHeight="1" x14ac:dyDescent="0.25">
      <c r="A259" s="2">
        <v>257</v>
      </c>
      <c r="B259" s="83">
        <f t="shared" ref="B259:B302" si="292">G258</f>
        <v>0</v>
      </c>
      <c r="C259" s="83">
        <f>B259*N(Crédits!$D$5)/12</f>
        <v>0</v>
      </c>
      <c r="D259" s="83">
        <f>MIN(N(Crédits!$E$5),B259+C259)</f>
        <v>0</v>
      </c>
      <c r="E259" s="83">
        <f t="shared" si="276"/>
        <v>0</v>
      </c>
      <c r="F259" s="86">
        <f>IF(Crédits!$K$5="",0,MAX(0,MIN(E259,Plan!$L$261-(IF(Crédits!$K$6="",0,IF(Crédits!$K$6&lt;Crédits!$K$5,M259,0))+IF(Crédits!$K$7="",0,IF(Crédits!$K$7&lt;Crédits!$K$5,U259,0))+IF(Crédits!$K$8="",0,IF(Crédits!$K$8&lt;Crédits!$K$5,AC259,0))+IF(Crédits!$K$9="",0,IF(Crédits!$K$9&lt;Crédits!$K$5,AK259,0))+IF(Crédits!$K$10="",0,IF(Crédits!$K$10&lt;Crédits!$K$5,AS259,0))))))</f>
        <v>0</v>
      </c>
      <c r="G259" s="87">
        <f t="shared" si="277"/>
        <v>0</v>
      </c>
      <c r="H259" s="88">
        <f>ROUND(H258+I259-MIN(N(Crédits!$E$5),H258+I259),2)</f>
        <v>0</v>
      </c>
      <c r="I259" s="89">
        <f>H258*N(Crédits!$D$5)/12</f>
        <v>0</v>
      </c>
      <c r="J259" s="90">
        <f t="shared" ref="J259:J302" si="293">O258</f>
        <v>0</v>
      </c>
      <c r="K259" s="90">
        <f>J259*N(Crédits!$D$6)/12</f>
        <v>0</v>
      </c>
      <c r="L259" s="90">
        <f>MIN(N(Crédits!$E$6),J259+K259)</f>
        <v>0</v>
      </c>
      <c r="M259" s="90">
        <f t="shared" si="278"/>
        <v>0</v>
      </c>
      <c r="N259" s="91">
        <f>IF(Crédits!$K$6="",0,MAX(0,MIN(M259,Plan!$L$261-(IF(Crédits!$K$5="",0,IF(Crédits!$K$5&lt;Crédits!$K$6,E259,0))+IF(Crédits!$K$7="",0,IF(Crédits!$K$7&lt;Crédits!$K$6,U259,0))+IF(Crédits!$K$8="",0,IF(Crédits!$K$8&lt;Crédits!$K$6,AC259,0))+IF(Crédits!$K$9="",0,IF(Crédits!$K$9&lt;Crédits!$K$6,AK259,0))+IF(Crédits!$K$10="",0,IF(Crédits!$K$10&lt;Crédits!$K$6,AS259,0))))))</f>
        <v>0</v>
      </c>
      <c r="O259" s="92">
        <f t="shared" si="279"/>
        <v>0</v>
      </c>
      <c r="P259" s="88">
        <f>ROUND(P258+Q259-MIN(N(Crédits!$E$6),P258+Q259),2)</f>
        <v>0</v>
      </c>
      <c r="Q259" s="89">
        <f>P258*N(Crédits!$D$6)/12</f>
        <v>0</v>
      </c>
      <c r="R259" s="93">
        <f t="shared" ref="R259:R302" si="294">W258</f>
        <v>0</v>
      </c>
      <c r="S259" s="93">
        <f>R259*N(Crédits!$D$7)/12</f>
        <v>0</v>
      </c>
      <c r="T259" s="93">
        <f>MIN(N(Crédits!$E$7),R259+S259)</f>
        <v>0</v>
      </c>
      <c r="U259" s="93">
        <f t="shared" si="280"/>
        <v>0</v>
      </c>
      <c r="V259" s="94">
        <f>IF(Crédits!$K$7="",0,MAX(0,MIN(U259,Plan!$L$261-(IF(Crédits!$K$5="",0,IF(Crédits!$K$5&lt;Crédits!$K$7,E259,0))+IF(Crédits!$K$6="",0,IF(Crédits!$K$6&lt;Crédits!$K$7,M259,0))+IF(Crédits!$K$8="",0,IF(Crédits!$K$8&lt;Crédits!$K$7,AC259,0))+IF(Crédits!$K$9="",0,IF(Crédits!$K$9&lt;Crédits!$K$7,AK259,0))+IF(Crédits!$K$10="",0,IF(Crédits!$K$10&lt;Crédits!$K$7,AS259,0))))))</f>
        <v>0</v>
      </c>
      <c r="W259" s="95">
        <f t="shared" si="281"/>
        <v>0</v>
      </c>
      <c r="X259" s="88">
        <f>ROUND(X258+Y259-MIN(N(Crédits!$E$7),X258+Y259),2)</f>
        <v>0</v>
      </c>
      <c r="Y259" s="89">
        <f>X258*N(Crédits!$D$7)/12</f>
        <v>0</v>
      </c>
      <c r="Z259" s="96">
        <f t="shared" ref="Z259:Z302" si="295">AE258</f>
        <v>0</v>
      </c>
      <c r="AA259" s="96">
        <f>Z259*N(Crédits!$D$8)/12</f>
        <v>0</v>
      </c>
      <c r="AB259" s="96">
        <f>MIN(N(Crédits!$E$8),Z259+AA259)</f>
        <v>0</v>
      </c>
      <c r="AC259" s="96">
        <f t="shared" si="282"/>
        <v>0</v>
      </c>
      <c r="AD259" s="97">
        <f>IF(Crédits!$K$8="",0,MAX(0,MIN(AC259,Plan!$L$261-(IF(Crédits!$K$5="",0,IF(Crédits!$K$5&lt;Crédits!$K$8,E259,0))+IF(Crédits!$K$6="",0,IF(Crédits!$K$6&lt;Crédits!$K$8,M259,0))+IF(Crédits!$K$7="",0,IF(Crédits!$K$7&lt;Crédits!$K$8,U259,0))+IF(Crédits!$K$9="",0,IF(Crédits!$K$9&lt;Crédits!$K$8,AK259,0))+IF(Crédits!$K$10="",0,IF(Crédits!$K$10&lt;Crédits!$K$8,AS259,0))))))</f>
        <v>0</v>
      </c>
      <c r="AE259" s="98">
        <f t="shared" si="283"/>
        <v>0</v>
      </c>
      <c r="AF259" s="88">
        <f>ROUND(AF258+AG259-MIN(N(Crédits!$E$8),AF258+AG259),2)</f>
        <v>0</v>
      </c>
      <c r="AG259" s="89">
        <f>AF258*N(Crédits!$D$8)/12</f>
        <v>0</v>
      </c>
      <c r="AH259" s="99">
        <f t="shared" ref="AH259:AH302" si="296">AM258</f>
        <v>0</v>
      </c>
      <c r="AI259" s="99">
        <f>AH259*N(Crédits!$D$9)/12</f>
        <v>0</v>
      </c>
      <c r="AJ259" s="99">
        <f>MIN(N(Crédits!$E$9),AH259+AI259)</f>
        <v>0</v>
      </c>
      <c r="AK259" s="99">
        <f t="shared" si="284"/>
        <v>0</v>
      </c>
      <c r="AL259" s="100">
        <f>IF(Crédits!$K$9="",0,MAX(0,MIN(AK259,Plan!$L$261-(IF(Crédits!$K$5="",0,IF(Crédits!$K$5&lt;Crédits!$K$9,E259,0))+IF(Crédits!$K$6="",0,IF(Crédits!$K$6&lt;Crédits!$K$9,M259,0))+IF(Crédits!$K$7="",0,IF(Crédits!$K$7&lt;Crédits!$K$9,U259,0))+IF(Crédits!$K$8="",0,IF(Crédits!$K$8&lt;Crédits!$K$9,AC259,0))+IF(Crédits!$K$10="",0,IF(Crédits!$K$10&lt;Crédits!$K$9,AS259,0))))))</f>
        <v>0</v>
      </c>
      <c r="AM259" s="101">
        <f t="shared" si="285"/>
        <v>0</v>
      </c>
      <c r="AN259" s="88">
        <f>ROUND(AN258+AO259-MIN(N(Crédits!$E$9),AN258+AO259),2)</f>
        <v>0</v>
      </c>
      <c r="AO259" s="89">
        <f>AN258*N(Crédits!$D$9)/12</f>
        <v>0</v>
      </c>
      <c r="AP259" s="102">
        <f t="shared" ref="AP259:AP302" si="297">AU258</f>
        <v>0</v>
      </c>
      <c r="AQ259" s="102">
        <f>AP259*N(Crédits!$D$10)/12</f>
        <v>0</v>
      </c>
      <c r="AR259" s="102">
        <f>MIN(N(Crédits!$E$10),AP259+AQ259)</f>
        <v>0</v>
      </c>
      <c r="AS259" s="102">
        <f t="shared" si="286"/>
        <v>0</v>
      </c>
      <c r="AT259" s="103">
        <f>IF(Crédits!$K$10="",0,MAX(0,MIN(AS259,Plan!$L$261-(IF(Crédits!$K$5="",0,IF(Crédits!$K$5&lt;Crédits!$K$10,E259,0))+IF(Crédits!$K$6="",0,IF(Crédits!$K$6&lt;Crédits!$K$10,M259,0))+IF(Crédits!$K$7="",0,IF(Crédits!$K$7&lt;Crédits!$K$10,U259,0))+IF(Crédits!$K$8="",0,IF(Crédits!$K$8&lt;Crédits!$K$10,AC259,0))+IF(Crédits!$K$9="",0,IF(Crédits!$K$9&lt;Crédits!$K$10,AK259,0))))))</f>
        <v>0</v>
      </c>
      <c r="AU259" s="104">
        <f t="shared" si="287"/>
        <v>0</v>
      </c>
      <c r="AV259" s="88">
        <f>ROUND(AV258+AW259-MIN(N(Crédits!$E$10),AV258+AW259),2)</f>
        <v>0</v>
      </c>
      <c r="AW259" s="89">
        <f>AV258*N(Crédits!$D$10)/12</f>
        <v>0</v>
      </c>
      <c r="AX259" s="105">
        <f t="shared" si="288"/>
        <v>0</v>
      </c>
      <c r="AY259" s="105">
        <f t="shared" ref="AY259:AZ259" si="298">F259+N259+V259+AD259+AL259+AT259</f>
        <v>0</v>
      </c>
      <c r="AZ259" s="105">
        <f t="shared" si="298"/>
        <v>0</v>
      </c>
      <c r="BA259" s="105">
        <f t="shared" si="290"/>
        <v>0</v>
      </c>
      <c r="BB259" s="105">
        <f t="shared" si="291"/>
        <v>0</v>
      </c>
    </row>
    <row r="260" spans="1:54" ht="15" customHeight="1" x14ac:dyDescent="0.25">
      <c r="A260" s="2">
        <v>258</v>
      </c>
      <c r="B260" s="83">
        <f t="shared" si="292"/>
        <v>0</v>
      </c>
      <c r="C260" s="83">
        <f>B260*N(Crédits!$D$5)/12</f>
        <v>0</v>
      </c>
      <c r="D260" s="83">
        <f>MIN(N(Crédits!$E$5),B260+C260)</f>
        <v>0</v>
      </c>
      <c r="E260" s="83">
        <f t="shared" si="276"/>
        <v>0</v>
      </c>
      <c r="F260" s="86">
        <f>IF(Crédits!$K$5="",0,MAX(0,MIN(E260,Plan!$L$262-(IF(Crédits!$K$6="",0,IF(Crédits!$K$6&lt;Crédits!$K$5,M260,0))+IF(Crédits!$K$7="",0,IF(Crédits!$K$7&lt;Crédits!$K$5,U260,0))+IF(Crédits!$K$8="",0,IF(Crédits!$K$8&lt;Crédits!$K$5,AC260,0))+IF(Crédits!$K$9="",0,IF(Crédits!$K$9&lt;Crédits!$K$5,AK260,0))+IF(Crédits!$K$10="",0,IF(Crédits!$K$10&lt;Crédits!$K$5,AS260,0))))))</f>
        <v>0</v>
      </c>
      <c r="G260" s="87">
        <f t="shared" si="277"/>
        <v>0</v>
      </c>
      <c r="H260" s="88">
        <f>ROUND(H259+I260-MIN(N(Crédits!$E$5),H259+I260),2)</f>
        <v>0</v>
      </c>
      <c r="I260" s="89">
        <f>H259*N(Crédits!$D$5)/12</f>
        <v>0</v>
      </c>
      <c r="J260" s="90">
        <f t="shared" si="293"/>
        <v>0</v>
      </c>
      <c r="K260" s="90">
        <f>J260*N(Crédits!$D$6)/12</f>
        <v>0</v>
      </c>
      <c r="L260" s="90">
        <f>MIN(N(Crédits!$E$6),J260+K260)</f>
        <v>0</v>
      </c>
      <c r="M260" s="90">
        <f t="shared" si="278"/>
        <v>0</v>
      </c>
      <c r="N260" s="91">
        <f>IF(Crédits!$K$6="",0,MAX(0,MIN(M260,Plan!$L$262-(IF(Crédits!$K$5="",0,IF(Crédits!$K$5&lt;Crédits!$K$6,E260,0))+IF(Crédits!$K$7="",0,IF(Crédits!$K$7&lt;Crédits!$K$6,U260,0))+IF(Crédits!$K$8="",0,IF(Crédits!$K$8&lt;Crédits!$K$6,AC260,0))+IF(Crédits!$K$9="",0,IF(Crédits!$K$9&lt;Crédits!$K$6,AK260,0))+IF(Crédits!$K$10="",0,IF(Crédits!$K$10&lt;Crédits!$K$6,AS260,0))))))</f>
        <v>0</v>
      </c>
      <c r="O260" s="92">
        <f t="shared" si="279"/>
        <v>0</v>
      </c>
      <c r="P260" s="88">
        <f>ROUND(P259+Q260-MIN(N(Crédits!$E$6),P259+Q260),2)</f>
        <v>0</v>
      </c>
      <c r="Q260" s="89">
        <f>P259*N(Crédits!$D$6)/12</f>
        <v>0</v>
      </c>
      <c r="R260" s="93">
        <f t="shared" si="294"/>
        <v>0</v>
      </c>
      <c r="S260" s="93">
        <f>R260*N(Crédits!$D$7)/12</f>
        <v>0</v>
      </c>
      <c r="T260" s="93">
        <f>MIN(N(Crédits!$E$7),R260+S260)</f>
        <v>0</v>
      </c>
      <c r="U260" s="93">
        <f t="shared" si="280"/>
        <v>0</v>
      </c>
      <c r="V260" s="94">
        <f>IF(Crédits!$K$7="",0,MAX(0,MIN(U260,Plan!$L$262-(IF(Crédits!$K$5="",0,IF(Crédits!$K$5&lt;Crédits!$K$7,E260,0))+IF(Crédits!$K$6="",0,IF(Crédits!$K$6&lt;Crédits!$K$7,M260,0))+IF(Crédits!$K$8="",0,IF(Crédits!$K$8&lt;Crédits!$K$7,AC260,0))+IF(Crédits!$K$9="",0,IF(Crédits!$K$9&lt;Crédits!$K$7,AK260,0))+IF(Crédits!$K$10="",0,IF(Crédits!$K$10&lt;Crédits!$K$7,AS260,0))))))</f>
        <v>0</v>
      </c>
      <c r="W260" s="95">
        <f t="shared" si="281"/>
        <v>0</v>
      </c>
      <c r="X260" s="88">
        <f>ROUND(X259+Y260-MIN(N(Crédits!$E$7),X259+Y260),2)</f>
        <v>0</v>
      </c>
      <c r="Y260" s="89">
        <f>X259*N(Crédits!$D$7)/12</f>
        <v>0</v>
      </c>
      <c r="Z260" s="96">
        <f t="shared" si="295"/>
        <v>0</v>
      </c>
      <c r="AA260" s="96">
        <f>Z260*N(Crédits!$D$8)/12</f>
        <v>0</v>
      </c>
      <c r="AB260" s="96">
        <f>MIN(N(Crédits!$E$8),Z260+AA260)</f>
        <v>0</v>
      </c>
      <c r="AC260" s="96">
        <f t="shared" si="282"/>
        <v>0</v>
      </c>
      <c r="AD260" s="97">
        <f>IF(Crédits!$K$8="",0,MAX(0,MIN(AC260,Plan!$L$262-(IF(Crédits!$K$5="",0,IF(Crédits!$K$5&lt;Crédits!$K$8,E260,0))+IF(Crédits!$K$6="",0,IF(Crédits!$K$6&lt;Crédits!$K$8,M260,0))+IF(Crédits!$K$7="",0,IF(Crédits!$K$7&lt;Crédits!$K$8,U260,0))+IF(Crédits!$K$9="",0,IF(Crédits!$K$9&lt;Crédits!$K$8,AK260,0))+IF(Crédits!$K$10="",0,IF(Crédits!$K$10&lt;Crédits!$K$8,AS260,0))))))</f>
        <v>0</v>
      </c>
      <c r="AE260" s="98">
        <f t="shared" si="283"/>
        <v>0</v>
      </c>
      <c r="AF260" s="88">
        <f>ROUND(AF259+AG260-MIN(N(Crédits!$E$8),AF259+AG260),2)</f>
        <v>0</v>
      </c>
      <c r="AG260" s="89">
        <f>AF259*N(Crédits!$D$8)/12</f>
        <v>0</v>
      </c>
      <c r="AH260" s="99">
        <f t="shared" si="296"/>
        <v>0</v>
      </c>
      <c r="AI260" s="99">
        <f>AH260*N(Crédits!$D$9)/12</f>
        <v>0</v>
      </c>
      <c r="AJ260" s="99">
        <f>MIN(N(Crédits!$E$9),AH260+AI260)</f>
        <v>0</v>
      </c>
      <c r="AK260" s="99">
        <f t="shared" si="284"/>
        <v>0</v>
      </c>
      <c r="AL260" s="100">
        <f>IF(Crédits!$K$9="",0,MAX(0,MIN(AK260,Plan!$L$262-(IF(Crédits!$K$5="",0,IF(Crédits!$K$5&lt;Crédits!$K$9,E260,0))+IF(Crédits!$K$6="",0,IF(Crédits!$K$6&lt;Crédits!$K$9,M260,0))+IF(Crédits!$K$7="",0,IF(Crédits!$K$7&lt;Crédits!$K$9,U260,0))+IF(Crédits!$K$8="",0,IF(Crédits!$K$8&lt;Crédits!$K$9,AC260,0))+IF(Crédits!$K$10="",0,IF(Crédits!$K$10&lt;Crédits!$K$9,AS260,0))))))</f>
        <v>0</v>
      </c>
      <c r="AM260" s="101">
        <f t="shared" si="285"/>
        <v>0</v>
      </c>
      <c r="AN260" s="88">
        <f>ROUND(AN259+AO260-MIN(N(Crédits!$E$9),AN259+AO260),2)</f>
        <v>0</v>
      </c>
      <c r="AO260" s="89">
        <f>AN259*N(Crédits!$D$9)/12</f>
        <v>0</v>
      </c>
      <c r="AP260" s="102">
        <f t="shared" si="297"/>
        <v>0</v>
      </c>
      <c r="AQ260" s="102">
        <f>AP260*N(Crédits!$D$10)/12</f>
        <v>0</v>
      </c>
      <c r="AR260" s="102">
        <f>MIN(N(Crédits!$E$10),AP260+AQ260)</f>
        <v>0</v>
      </c>
      <c r="AS260" s="102">
        <f t="shared" si="286"/>
        <v>0</v>
      </c>
      <c r="AT260" s="103">
        <f>IF(Crédits!$K$10="",0,MAX(0,MIN(AS260,Plan!$L$262-(IF(Crédits!$K$5="",0,IF(Crédits!$K$5&lt;Crédits!$K$10,E260,0))+IF(Crédits!$K$6="",0,IF(Crédits!$K$6&lt;Crédits!$K$10,M260,0))+IF(Crédits!$K$7="",0,IF(Crédits!$K$7&lt;Crédits!$K$10,U260,0))+IF(Crédits!$K$8="",0,IF(Crédits!$K$8&lt;Crédits!$K$10,AC260,0))+IF(Crédits!$K$9="",0,IF(Crédits!$K$9&lt;Crédits!$K$10,AK260,0))))))</f>
        <v>0</v>
      </c>
      <c r="AU260" s="104">
        <f t="shared" si="287"/>
        <v>0</v>
      </c>
      <c r="AV260" s="88">
        <f>ROUND(AV259+AW260-MIN(N(Crédits!$E$10),AV259+AW260),2)</f>
        <v>0</v>
      </c>
      <c r="AW260" s="89">
        <f>AV259*N(Crédits!$D$10)/12</f>
        <v>0</v>
      </c>
      <c r="AX260" s="105">
        <f t="shared" si="288"/>
        <v>0</v>
      </c>
      <c r="AY260" s="105">
        <f t="shared" ref="AY260:AZ260" si="299">F260+N260+V260+AD260+AL260+AT260</f>
        <v>0</v>
      </c>
      <c r="AZ260" s="105">
        <f t="shared" si="299"/>
        <v>0</v>
      </c>
      <c r="BA260" s="105">
        <f t="shared" si="290"/>
        <v>0</v>
      </c>
      <c r="BB260" s="105">
        <f t="shared" si="291"/>
        <v>0</v>
      </c>
    </row>
    <row r="261" spans="1:54" ht="15" customHeight="1" x14ac:dyDescent="0.25">
      <c r="A261" s="2">
        <v>259</v>
      </c>
      <c r="B261" s="83">
        <f t="shared" si="292"/>
        <v>0</v>
      </c>
      <c r="C261" s="83">
        <f>B261*N(Crédits!$D$5)/12</f>
        <v>0</v>
      </c>
      <c r="D261" s="83">
        <f>MIN(N(Crédits!$E$5),B261+C261)</f>
        <v>0</v>
      </c>
      <c r="E261" s="83">
        <f t="shared" si="276"/>
        <v>0</v>
      </c>
      <c r="F261" s="86">
        <f>IF(Crédits!$K$5="",0,MAX(0,MIN(E261,Plan!$L$263-(IF(Crédits!$K$6="",0,IF(Crédits!$K$6&lt;Crédits!$K$5,M261,0))+IF(Crédits!$K$7="",0,IF(Crédits!$K$7&lt;Crédits!$K$5,U261,0))+IF(Crédits!$K$8="",0,IF(Crédits!$K$8&lt;Crédits!$K$5,AC261,0))+IF(Crédits!$K$9="",0,IF(Crédits!$K$9&lt;Crédits!$K$5,AK261,0))+IF(Crédits!$K$10="",0,IF(Crédits!$K$10&lt;Crédits!$K$5,AS261,0))))))</f>
        <v>0</v>
      </c>
      <c r="G261" s="87">
        <f t="shared" si="277"/>
        <v>0</v>
      </c>
      <c r="H261" s="88">
        <f>ROUND(H260+I261-MIN(N(Crédits!$E$5),H260+I261),2)</f>
        <v>0</v>
      </c>
      <c r="I261" s="89">
        <f>H260*N(Crédits!$D$5)/12</f>
        <v>0</v>
      </c>
      <c r="J261" s="90">
        <f t="shared" si="293"/>
        <v>0</v>
      </c>
      <c r="K261" s="90">
        <f>J261*N(Crédits!$D$6)/12</f>
        <v>0</v>
      </c>
      <c r="L261" s="90">
        <f>MIN(N(Crédits!$E$6),J261+K261)</f>
        <v>0</v>
      </c>
      <c r="M261" s="90">
        <f t="shared" si="278"/>
        <v>0</v>
      </c>
      <c r="N261" s="91">
        <f>IF(Crédits!$K$6="",0,MAX(0,MIN(M261,Plan!$L$263-(IF(Crédits!$K$5="",0,IF(Crédits!$K$5&lt;Crédits!$K$6,E261,0))+IF(Crédits!$K$7="",0,IF(Crédits!$K$7&lt;Crédits!$K$6,U261,0))+IF(Crédits!$K$8="",0,IF(Crédits!$K$8&lt;Crédits!$K$6,AC261,0))+IF(Crédits!$K$9="",0,IF(Crédits!$K$9&lt;Crédits!$K$6,AK261,0))+IF(Crédits!$K$10="",0,IF(Crédits!$K$10&lt;Crédits!$K$6,AS261,0))))))</f>
        <v>0</v>
      </c>
      <c r="O261" s="92">
        <f t="shared" si="279"/>
        <v>0</v>
      </c>
      <c r="P261" s="88">
        <f>ROUND(P260+Q261-MIN(N(Crédits!$E$6),P260+Q261),2)</f>
        <v>0</v>
      </c>
      <c r="Q261" s="89">
        <f>P260*N(Crédits!$D$6)/12</f>
        <v>0</v>
      </c>
      <c r="R261" s="93">
        <f t="shared" si="294"/>
        <v>0</v>
      </c>
      <c r="S261" s="93">
        <f>R261*N(Crédits!$D$7)/12</f>
        <v>0</v>
      </c>
      <c r="T261" s="93">
        <f>MIN(N(Crédits!$E$7),R261+S261)</f>
        <v>0</v>
      </c>
      <c r="U261" s="93">
        <f t="shared" si="280"/>
        <v>0</v>
      </c>
      <c r="V261" s="94">
        <f>IF(Crédits!$K$7="",0,MAX(0,MIN(U261,Plan!$L$263-(IF(Crédits!$K$5="",0,IF(Crédits!$K$5&lt;Crédits!$K$7,E261,0))+IF(Crédits!$K$6="",0,IF(Crédits!$K$6&lt;Crédits!$K$7,M261,0))+IF(Crédits!$K$8="",0,IF(Crédits!$K$8&lt;Crédits!$K$7,AC261,0))+IF(Crédits!$K$9="",0,IF(Crédits!$K$9&lt;Crédits!$K$7,AK261,0))+IF(Crédits!$K$10="",0,IF(Crédits!$K$10&lt;Crédits!$K$7,AS261,0))))))</f>
        <v>0</v>
      </c>
      <c r="W261" s="95">
        <f t="shared" si="281"/>
        <v>0</v>
      </c>
      <c r="X261" s="88">
        <f>ROUND(X260+Y261-MIN(N(Crédits!$E$7),X260+Y261),2)</f>
        <v>0</v>
      </c>
      <c r="Y261" s="89">
        <f>X260*N(Crédits!$D$7)/12</f>
        <v>0</v>
      </c>
      <c r="Z261" s="96">
        <f t="shared" si="295"/>
        <v>0</v>
      </c>
      <c r="AA261" s="96">
        <f>Z261*N(Crédits!$D$8)/12</f>
        <v>0</v>
      </c>
      <c r="AB261" s="96">
        <f>MIN(N(Crédits!$E$8),Z261+AA261)</f>
        <v>0</v>
      </c>
      <c r="AC261" s="96">
        <f t="shared" si="282"/>
        <v>0</v>
      </c>
      <c r="AD261" s="97">
        <f>IF(Crédits!$K$8="",0,MAX(0,MIN(AC261,Plan!$L$263-(IF(Crédits!$K$5="",0,IF(Crédits!$K$5&lt;Crédits!$K$8,E261,0))+IF(Crédits!$K$6="",0,IF(Crédits!$K$6&lt;Crédits!$K$8,M261,0))+IF(Crédits!$K$7="",0,IF(Crédits!$K$7&lt;Crédits!$K$8,U261,0))+IF(Crédits!$K$9="",0,IF(Crédits!$K$9&lt;Crédits!$K$8,AK261,0))+IF(Crédits!$K$10="",0,IF(Crédits!$K$10&lt;Crédits!$K$8,AS261,0))))))</f>
        <v>0</v>
      </c>
      <c r="AE261" s="98">
        <f t="shared" si="283"/>
        <v>0</v>
      </c>
      <c r="AF261" s="88">
        <f>ROUND(AF260+AG261-MIN(N(Crédits!$E$8),AF260+AG261),2)</f>
        <v>0</v>
      </c>
      <c r="AG261" s="89">
        <f>AF260*N(Crédits!$D$8)/12</f>
        <v>0</v>
      </c>
      <c r="AH261" s="99">
        <f t="shared" si="296"/>
        <v>0</v>
      </c>
      <c r="AI261" s="99">
        <f>AH261*N(Crédits!$D$9)/12</f>
        <v>0</v>
      </c>
      <c r="AJ261" s="99">
        <f>MIN(N(Crédits!$E$9),AH261+AI261)</f>
        <v>0</v>
      </c>
      <c r="AK261" s="99">
        <f t="shared" si="284"/>
        <v>0</v>
      </c>
      <c r="AL261" s="100">
        <f>IF(Crédits!$K$9="",0,MAX(0,MIN(AK261,Plan!$L$263-(IF(Crédits!$K$5="",0,IF(Crédits!$K$5&lt;Crédits!$K$9,E261,0))+IF(Crédits!$K$6="",0,IF(Crédits!$K$6&lt;Crédits!$K$9,M261,0))+IF(Crédits!$K$7="",0,IF(Crédits!$K$7&lt;Crédits!$K$9,U261,0))+IF(Crédits!$K$8="",0,IF(Crédits!$K$8&lt;Crédits!$K$9,AC261,0))+IF(Crédits!$K$10="",0,IF(Crédits!$K$10&lt;Crédits!$K$9,AS261,0))))))</f>
        <v>0</v>
      </c>
      <c r="AM261" s="101">
        <f t="shared" si="285"/>
        <v>0</v>
      </c>
      <c r="AN261" s="88">
        <f>ROUND(AN260+AO261-MIN(N(Crédits!$E$9),AN260+AO261),2)</f>
        <v>0</v>
      </c>
      <c r="AO261" s="89">
        <f>AN260*N(Crédits!$D$9)/12</f>
        <v>0</v>
      </c>
      <c r="AP261" s="102">
        <f t="shared" si="297"/>
        <v>0</v>
      </c>
      <c r="AQ261" s="102">
        <f>AP261*N(Crédits!$D$10)/12</f>
        <v>0</v>
      </c>
      <c r="AR261" s="102">
        <f>MIN(N(Crédits!$E$10),AP261+AQ261)</f>
        <v>0</v>
      </c>
      <c r="AS261" s="102">
        <f t="shared" si="286"/>
        <v>0</v>
      </c>
      <c r="AT261" s="103">
        <f>IF(Crédits!$K$10="",0,MAX(0,MIN(AS261,Plan!$L$263-(IF(Crédits!$K$5="",0,IF(Crédits!$K$5&lt;Crédits!$K$10,E261,0))+IF(Crédits!$K$6="",0,IF(Crédits!$K$6&lt;Crédits!$K$10,M261,0))+IF(Crédits!$K$7="",0,IF(Crédits!$K$7&lt;Crédits!$K$10,U261,0))+IF(Crédits!$K$8="",0,IF(Crédits!$K$8&lt;Crédits!$K$10,AC261,0))+IF(Crédits!$K$9="",0,IF(Crédits!$K$9&lt;Crédits!$K$10,AK261,0))))))</f>
        <v>0</v>
      </c>
      <c r="AU261" s="104">
        <f t="shared" si="287"/>
        <v>0</v>
      </c>
      <c r="AV261" s="88">
        <f>ROUND(AV260+AW261-MIN(N(Crédits!$E$10),AV260+AW261),2)</f>
        <v>0</v>
      </c>
      <c r="AW261" s="89">
        <f>AV260*N(Crédits!$D$10)/12</f>
        <v>0</v>
      </c>
      <c r="AX261" s="105">
        <f t="shared" si="288"/>
        <v>0</v>
      </c>
      <c r="AY261" s="105">
        <f t="shared" ref="AY261:AZ261" si="300">F261+N261+V261+AD261+AL261+AT261</f>
        <v>0</v>
      </c>
      <c r="AZ261" s="105">
        <f t="shared" si="300"/>
        <v>0</v>
      </c>
      <c r="BA261" s="105">
        <f t="shared" si="290"/>
        <v>0</v>
      </c>
      <c r="BB261" s="105">
        <f t="shared" si="291"/>
        <v>0</v>
      </c>
    </row>
    <row r="262" spans="1:54" ht="15" customHeight="1" x14ac:dyDescent="0.25">
      <c r="A262" s="2">
        <v>260</v>
      </c>
      <c r="B262" s="83">
        <f t="shared" si="292"/>
        <v>0</v>
      </c>
      <c r="C262" s="83">
        <f>B262*N(Crédits!$D$5)/12</f>
        <v>0</v>
      </c>
      <c r="D262" s="83">
        <f>MIN(N(Crédits!$E$5),B262+C262)</f>
        <v>0</v>
      </c>
      <c r="E262" s="83">
        <f t="shared" si="276"/>
        <v>0</v>
      </c>
      <c r="F262" s="86">
        <f>IF(Crédits!$K$5="",0,MAX(0,MIN(E262,Plan!$L$264-(IF(Crédits!$K$6="",0,IF(Crédits!$K$6&lt;Crédits!$K$5,M262,0))+IF(Crédits!$K$7="",0,IF(Crédits!$K$7&lt;Crédits!$K$5,U262,0))+IF(Crédits!$K$8="",0,IF(Crédits!$K$8&lt;Crédits!$K$5,AC262,0))+IF(Crédits!$K$9="",0,IF(Crédits!$K$9&lt;Crédits!$K$5,AK262,0))+IF(Crédits!$K$10="",0,IF(Crédits!$K$10&lt;Crédits!$K$5,AS262,0))))))</f>
        <v>0</v>
      </c>
      <c r="G262" s="87">
        <f t="shared" si="277"/>
        <v>0</v>
      </c>
      <c r="H262" s="88">
        <f>ROUND(H261+I262-MIN(N(Crédits!$E$5),H261+I262),2)</f>
        <v>0</v>
      </c>
      <c r="I262" s="89">
        <f>H261*N(Crédits!$D$5)/12</f>
        <v>0</v>
      </c>
      <c r="J262" s="90">
        <f t="shared" si="293"/>
        <v>0</v>
      </c>
      <c r="K262" s="90">
        <f>J262*N(Crédits!$D$6)/12</f>
        <v>0</v>
      </c>
      <c r="L262" s="90">
        <f>MIN(N(Crédits!$E$6),J262+K262)</f>
        <v>0</v>
      </c>
      <c r="M262" s="90">
        <f t="shared" si="278"/>
        <v>0</v>
      </c>
      <c r="N262" s="91">
        <f>IF(Crédits!$K$6="",0,MAX(0,MIN(M262,Plan!$L$264-(IF(Crédits!$K$5="",0,IF(Crédits!$K$5&lt;Crédits!$K$6,E262,0))+IF(Crédits!$K$7="",0,IF(Crédits!$K$7&lt;Crédits!$K$6,U262,0))+IF(Crédits!$K$8="",0,IF(Crédits!$K$8&lt;Crédits!$K$6,AC262,0))+IF(Crédits!$K$9="",0,IF(Crédits!$K$9&lt;Crédits!$K$6,AK262,0))+IF(Crédits!$K$10="",0,IF(Crédits!$K$10&lt;Crédits!$K$6,AS262,0))))))</f>
        <v>0</v>
      </c>
      <c r="O262" s="92">
        <f t="shared" si="279"/>
        <v>0</v>
      </c>
      <c r="P262" s="88">
        <f>ROUND(P261+Q262-MIN(N(Crédits!$E$6),P261+Q262),2)</f>
        <v>0</v>
      </c>
      <c r="Q262" s="89">
        <f>P261*N(Crédits!$D$6)/12</f>
        <v>0</v>
      </c>
      <c r="R262" s="93">
        <f t="shared" si="294"/>
        <v>0</v>
      </c>
      <c r="S262" s="93">
        <f>R262*N(Crédits!$D$7)/12</f>
        <v>0</v>
      </c>
      <c r="T262" s="93">
        <f>MIN(N(Crédits!$E$7),R262+S262)</f>
        <v>0</v>
      </c>
      <c r="U262" s="93">
        <f t="shared" si="280"/>
        <v>0</v>
      </c>
      <c r="V262" s="94">
        <f>IF(Crédits!$K$7="",0,MAX(0,MIN(U262,Plan!$L$264-(IF(Crédits!$K$5="",0,IF(Crédits!$K$5&lt;Crédits!$K$7,E262,0))+IF(Crédits!$K$6="",0,IF(Crédits!$K$6&lt;Crédits!$K$7,M262,0))+IF(Crédits!$K$8="",0,IF(Crédits!$K$8&lt;Crédits!$K$7,AC262,0))+IF(Crédits!$K$9="",0,IF(Crédits!$K$9&lt;Crédits!$K$7,AK262,0))+IF(Crédits!$K$10="",0,IF(Crédits!$K$10&lt;Crédits!$K$7,AS262,0))))))</f>
        <v>0</v>
      </c>
      <c r="W262" s="95">
        <f t="shared" si="281"/>
        <v>0</v>
      </c>
      <c r="X262" s="88">
        <f>ROUND(X261+Y262-MIN(N(Crédits!$E$7),X261+Y262),2)</f>
        <v>0</v>
      </c>
      <c r="Y262" s="89">
        <f>X261*N(Crédits!$D$7)/12</f>
        <v>0</v>
      </c>
      <c r="Z262" s="96">
        <f t="shared" si="295"/>
        <v>0</v>
      </c>
      <c r="AA262" s="96">
        <f>Z262*N(Crédits!$D$8)/12</f>
        <v>0</v>
      </c>
      <c r="AB262" s="96">
        <f>MIN(N(Crédits!$E$8),Z262+AA262)</f>
        <v>0</v>
      </c>
      <c r="AC262" s="96">
        <f t="shared" si="282"/>
        <v>0</v>
      </c>
      <c r="AD262" s="97">
        <f>IF(Crédits!$K$8="",0,MAX(0,MIN(AC262,Plan!$L$264-(IF(Crédits!$K$5="",0,IF(Crédits!$K$5&lt;Crédits!$K$8,E262,0))+IF(Crédits!$K$6="",0,IF(Crédits!$K$6&lt;Crédits!$K$8,M262,0))+IF(Crédits!$K$7="",0,IF(Crédits!$K$7&lt;Crédits!$K$8,U262,0))+IF(Crédits!$K$9="",0,IF(Crédits!$K$9&lt;Crédits!$K$8,AK262,0))+IF(Crédits!$K$10="",0,IF(Crédits!$K$10&lt;Crédits!$K$8,AS262,0))))))</f>
        <v>0</v>
      </c>
      <c r="AE262" s="98">
        <f t="shared" si="283"/>
        <v>0</v>
      </c>
      <c r="AF262" s="88">
        <f>ROUND(AF261+AG262-MIN(N(Crédits!$E$8),AF261+AG262),2)</f>
        <v>0</v>
      </c>
      <c r="AG262" s="89">
        <f>AF261*N(Crédits!$D$8)/12</f>
        <v>0</v>
      </c>
      <c r="AH262" s="99">
        <f t="shared" si="296"/>
        <v>0</v>
      </c>
      <c r="AI262" s="99">
        <f>AH262*N(Crédits!$D$9)/12</f>
        <v>0</v>
      </c>
      <c r="AJ262" s="99">
        <f>MIN(N(Crédits!$E$9),AH262+AI262)</f>
        <v>0</v>
      </c>
      <c r="AK262" s="99">
        <f t="shared" si="284"/>
        <v>0</v>
      </c>
      <c r="AL262" s="100">
        <f>IF(Crédits!$K$9="",0,MAX(0,MIN(AK262,Plan!$L$264-(IF(Crédits!$K$5="",0,IF(Crédits!$K$5&lt;Crédits!$K$9,E262,0))+IF(Crédits!$K$6="",0,IF(Crédits!$K$6&lt;Crédits!$K$9,M262,0))+IF(Crédits!$K$7="",0,IF(Crédits!$K$7&lt;Crédits!$K$9,U262,0))+IF(Crédits!$K$8="",0,IF(Crédits!$K$8&lt;Crédits!$K$9,AC262,0))+IF(Crédits!$K$10="",0,IF(Crédits!$K$10&lt;Crédits!$K$9,AS262,0))))))</f>
        <v>0</v>
      </c>
      <c r="AM262" s="101">
        <f t="shared" si="285"/>
        <v>0</v>
      </c>
      <c r="AN262" s="88">
        <f>ROUND(AN261+AO262-MIN(N(Crédits!$E$9),AN261+AO262),2)</f>
        <v>0</v>
      </c>
      <c r="AO262" s="89">
        <f>AN261*N(Crédits!$D$9)/12</f>
        <v>0</v>
      </c>
      <c r="AP262" s="102">
        <f t="shared" si="297"/>
        <v>0</v>
      </c>
      <c r="AQ262" s="102">
        <f>AP262*N(Crédits!$D$10)/12</f>
        <v>0</v>
      </c>
      <c r="AR262" s="102">
        <f>MIN(N(Crédits!$E$10),AP262+AQ262)</f>
        <v>0</v>
      </c>
      <c r="AS262" s="102">
        <f t="shared" si="286"/>
        <v>0</v>
      </c>
      <c r="AT262" s="103">
        <f>IF(Crédits!$K$10="",0,MAX(0,MIN(AS262,Plan!$L$264-(IF(Crédits!$K$5="",0,IF(Crédits!$K$5&lt;Crédits!$K$10,E262,0))+IF(Crédits!$K$6="",0,IF(Crédits!$K$6&lt;Crédits!$K$10,M262,0))+IF(Crédits!$K$7="",0,IF(Crédits!$K$7&lt;Crédits!$K$10,U262,0))+IF(Crédits!$K$8="",0,IF(Crédits!$K$8&lt;Crédits!$K$10,AC262,0))+IF(Crédits!$K$9="",0,IF(Crédits!$K$9&lt;Crédits!$K$10,AK262,0))))))</f>
        <v>0</v>
      </c>
      <c r="AU262" s="104">
        <f t="shared" si="287"/>
        <v>0</v>
      </c>
      <c r="AV262" s="88">
        <f>ROUND(AV261+AW262-MIN(N(Crédits!$E$10),AV261+AW262),2)</f>
        <v>0</v>
      </c>
      <c r="AW262" s="89">
        <f>AV261*N(Crédits!$D$10)/12</f>
        <v>0</v>
      </c>
      <c r="AX262" s="105">
        <f t="shared" si="288"/>
        <v>0</v>
      </c>
      <c r="AY262" s="105">
        <f t="shared" ref="AY262:AZ262" si="301">F262+N262+V262+AD262+AL262+AT262</f>
        <v>0</v>
      </c>
      <c r="AZ262" s="105">
        <f t="shared" si="301"/>
        <v>0</v>
      </c>
      <c r="BA262" s="105">
        <f t="shared" si="290"/>
        <v>0</v>
      </c>
      <c r="BB262" s="105">
        <f t="shared" si="291"/>
        <v>0</v>
      </c>
    </row>
    <row r="263" spans="1:54" ht="15" customHeight="1" x14ac:dyDescent="0.25">
      <c r="A263" s="2">
        <v>261</v>
      </c>
      <c r="B263" s="83">
        <f t="shared" si="292"/>
        <v>0</v>
      </c>
      <c r="C263" s="83">
        <f>B263*N(Crédits!$D$5)/12</f>
        <v>0</v>
      </c>
      <c r="D263" s="83">
        <f>MIN(N(Crédits!$E$5),B263+C263)</f>
        <v>0</v>
      </c>
      <c r="E263" s="83">
        <f t="shared" si="276"/>
        <v>0</v>
      </c>
      <c r="F263" s="86">
        <f>IF(Crédits!$K$5="",0,MAX(0,MIN(E263,Plan!$L$265-(IF(Crédits!$K$6="",0,IF(Crédits!$K$6&lt;Crédits!$K$5,M263,0))+IF(Crédits!$K$7="",0,IF(Crédits!$K$7&lt;Crédits!$K$5,U263,0))+IF(Crédits!$K$8="",0,IF(Crédits!$K$8&lt;Crédits!$K$5,AC263,0))+IF(Crédits!$K$9="",0,IF(Crédits!$K$9&lt;Crédits!$K$5,AK263,0))+IF(Crédits!$K$10="",0,IF(Crédits!$K$10&lt;Crédits!$K$5,AS263,0))))))</f>
        <v>0</v>
      </c>
      <c r="G263" s="87">
        <f t="shared" si="277"/>
        <v>0</v>
      </c>
      <c r="H263" s="88">
        <f>ROUND(H262+I263-MIN(N(Crédits!$E$5),H262+I263),2)</f>
        <v>0</v>
      </c>
      <c r="I263" s="89">
        <f>H262*N(Crédits!$D$5)/12</f>
        <v>0</v>
      </c>
      <c r="J263" s="90">
        <f t="shared" si="293"/>
        <v>0</v>
      </c>
      <c r="K263" s="90">
        <f>J263*N(Crédits!$D$6)/12</f>
        <v>0</v>
      </c>
      <c r="L263" s="90">
        <f>MIN(N(Crédits!$E$6),J263+K263)</f>
        <v>0</v>
      </c>
      <c r="M263" s="90">
        <f t="shared" si="278"/>
        <v>0</v>
      </c>
      <c r="N263" s="91">
        <f>IF(Crédits!$K$6="",0,MAX(0,MIN(M263,Plan!$L$265-(IF(Crédits!$K$5="",0,IF(Crédits!$K$5&lt;Crédits!$K$6,E263,0))+IF(Crédits!$K$7="",0,IF(Crédits!$K$7&lt;Crédits!$K$6,U263,0))+IF(Crédits!$K$8="",0,IF(Crédits!$K$8&lt;Crédits!$K$6,AC263,0))+IF(Crédits!$K$9="",0,IF(Crédits!$K$9&lt;Crédits!$K$6,AK263,0))+IF(Crédits!$K$10="",0,IF(Crédits!$K$10&lt;Crédits!$K$6,AS263,0))))))</f>
        <v>0</v>
      </c>
      <c r="O263" s="92">
        <f t="shared" si="279"/>
        <v>0</v>
      </c>
      <c r="P263" s="88">
        <f>ROUND(P262+Q263-MIN(N(Crédits!$E$6),P262+Q263),2)</f>
        <v>0</v>
      </c>
      <c r="Q263" s="89">
        <f>P262*N(Crédits!$D$6)/12</f>
        <v>0</v>
      </c>
      <c r="R263" s="93">
        <f t="shared" si="294"/>
        <v>0</v>
      </c>
      <c r="S263" s="93">
        <f>R263*N(Crédits!$D$7)/12</f>
        <v>0</v>
      </c>
      <c r="T263" s="93">
        <f>MIN(N(Crédits!$E$7),R263+S263)</f>
        <v>0</v>
      </c>
      <c r="U263" s="93">
        <f t="shared" si="280"/>
        <v>0</v>
      </c>
      <c r="V263" s="94">
        <f>IF(Crédits!$K$7="",0,MAX(0,MIN(U263,Plan!$L$265-(IF(Crédits!$K$5="",0,IF(Crédits!$K$5&lt;Crédits!$K$7,E263,0))+IF(Crédits!$K$6="",0,IF(Crédits!$K$6&lt;Crédits!$K$7,M263,0))+IF(Crédits!$K$8="",0,IF(Crédits!$K$8&lt;Crédits!$K$7,AC263,0))+IF(Crédits!$K$9="",0,IF(Crédits!$K$9&lt;Crédits!$K$7,AK263,0))+IF(Crédits!$K$10="",0,IF(Crédits!$K$10&lt;Crédits!$K$7,AS263,0))))))</f>
        <v>0</v>
      </c>
      <c r="W263" s="95">
        <f t="shared" si="281"/>
        <v>0</v>
      </c>
      <c r="X263" s="88">
        <f>ROUND(X262+Y263-MIN(N(Crédits!$E$7),X262+Y263),2)</f>
        <v>0</v>
      </c>
      <c r="Y263" s="89">
        <f>X262*N(Crédits!$D$7)/12</f>
        <v>0</v>
      </c>
      <c r="Z263" s="96">
        <f t="shared" si="295"/>
        <v>0</v>
      </c>
      <c r="AA263" s="96">
        <f>Z263*N(Crédits!$D$8)/12</f>
        <v>0</v>
      </c>
      <c r="AB263" s="96">
        <f>MIN(N(Crédits!$E$8),Z263+AA263)</f>
        <v>0</v>
      </c>
      <c r="AC263" s="96">
        <f t="shared" si="282"/>
        <v>0</v>
      </c>
      <c r="AD263" s="97">
        <f>IF(Crédits!$K$8="",0,MAX(0,MIN(AC263,Plan!$L$265-(IF(Crédits!$K$5="",0,IF(Crédits!$K$5&lt;Crédits!$K$8,E263,0))+IF(Crédits!$K$6="",0,IF(Crédits!$K$6&lt;Crédits!$K$8,M263,0))+IF(Crédits!$K$7="",0,IF(Crédits!$K$7&lt;Crédits!$K$8,U263,0))+IF(Crédits!$K$9="",0,IF(Crédits!$K$9&lt;Crédits!$K$8,AK263,0))+IF(Crédits!$K$10="",0,IF(Crédits!$K$10&lt;Crédits!$K$8,AS263,0))))))</f>
        <v>0</v>
      </c>
      <c r="AE263" s="98">
        <f t="shared" si="283"/>
        <v>0</v>
      </c>
      <c r="AF263" s="88">
        <f>ROUND(AF262+AG263-MIN(N(Crédits!$E$8),AF262+AG263),2)</f>
        <v>0</v>
      </c>
      <c r="AG263" s="89">
        <f>AF262*N(Crédits!$D$8)/12</f>
        <v>0</v>
      </c>
      <c r="AH263" s="99">
        <f t="shared" si="296"/>
        <v>0</v>
      </c>
      <c r="AI263" s="99">
        <f>AH263*N(Crédits!$D$9)/12</f>
        <v>0</v>
      </c>
      <c r="AJ263" s="99">
        <f>MIN(N(Crédits!$E$9),AH263+AI263)</f>
        <v>0</v>
      </c>
      <c r="AK263" s="99">
        <f t="shared" si="284"/>
        <v>0</v>
      </c>
      <c r="AL263" s="100">
        <f>IF(Crédits!$K$9="",0,MAX(0,MIN(AK263,Plan!$L$265-(IF(Crédits!$K$5="",0,IF(Crédits!$K$5&lt;Crédits!$K$9,E263,0))+IF(Crédits!$K$6="",0,IF(Crédits!$K$6&lt;Crédits!$K$9,M263,0))+IF(Crédits!$K$7="",0,IF(Crédits!$K$7&lt;Crédits!$K$9,U263,0))+IF(Crédits!$K$8="",0,IF(Crédits!$K$8&lt;Crédits!$K$9,AC263,0))+IF(Crédits!$K$10="",0,IF(Crédits!$K$10&lt;Crédits!$K$9,AS263,0))))))</f>
        <v>0</v>
      </c>
      <c r="AM263" s="101">
        <f t="shared" si="285"/>
        <v>0</v>
      </c>
      <c r="AN263" s="88">
        <f>ROUND(AN262+AO263-MIN(N(Crédits!$E$9),AN262+AO263),2)</f>
        <v>0</v>
      </c>
      <c r="AO263" s="89">
        <f>AN262*N(Crédits!$D$9)/12</f>
        <v>0</v>
      </c>
      <c r="AP263" s="102">
        <f t="shared" si="297"/>
        <v>0</v>
      </c>
      <c r="AQ263" s="102">
        <f>AP263*N(Crédits!$D$10)/12</f>
        <v>0</v>
      </c>
      <c r="AR263" s="102">
        <f>MIN(N(Crédits!$E$10),AP263+AQ263)</f>
        <v>0</v>
      </c>
      <c r="AS263" s="102">
        <f t="shared" si="286"/>
        <v>0</v>
      </c>
      <c r="AT263" s="103">
        <f>IF(Crédits!$K$10="",0,MAX(0,MIN(AS263,Plan!$L$265-(IF(Crédits!$K$5="",0,IF(Crédits!$K$5&lt;Crédits!$K$10,E263,0))+IF(Crédits!$K$6="",0,IF(Crédits!$K$6&lt;Crédits!$K$10,M263,0))+IF(Crédits!$K$7="",0,IF(Crédits!$K$7&lt;Crédits!$K$10,U263,0))+IF(Crédits!$K$8="",0,IF(Crédits!$K$8&lt;Crédits!$K$10,AC263,0))+IF(Crédits!$K$9="",0,IF(Crédits!$K$9&lt;Crédits!$K$10,AK263,0))))))</f>
        <v>0</v>
      </c>
      <c r="AU263" s="104">
        <f t="shared" si="287"/>
        <v>0</v>
      </c>
      <c r="AV263" s="88">
        <f>ROUND(AV262+AW263-MIN(N(Crédits!$E$10),AV262+AW263),2)</f>
        <v>0</v>
      </c>
      <c r="AW263" s="89">
        <f>AV262*N(Crédits!$D$10)/12</f>
        <v>0</v>
      </c>
      <c r="AX263" s="105">
        <f t="shared" si="288"/>
        <v>0</v>
      </c>
      <c r="AY263" s="105">
        <f t="shared" ref="AY263:AZ263" si="302">F263+N263+V263+AD263+AL263+AT263</f>
        <v>0</v>
      </c>
      <c r="AZ263" s="105">
        <f t="shared" si="302"/>
        <v>0</v>
      </c>
      <c r="BA263" s="105">
        <f t="shared" si="290"/>
        <v>0</v>
      </c>
      <c r="BB263" s="105">
        <f t="shared" si="291"/>
        <v>0</v>
      </c>
    </row>
    <row r="264" spans="1:54" ht="15" customHeight="1" x14ac:dyDescent="0.25">
      <c r="A264" s="2">
        <v>262</v>
      </c>
      <c r="B264" s="83">
        <f t="shared" si="292"/>
        <v>0</v>
      </c>
      <c r="C264" s="83">
        <f>B264*N(Crédits!$D$5)/12</f>
        <v>0</v>
      </c>
      <c r="D264" s="83">
        <f>MIN(N(Crédits!$E$5),B264+C264)</f>
        <v>0</v>
      </c>
      <c r="E264" s="83">
        <f t="shared" si="276"/>
        <v>0</v>
      </c>
      <c r="F264" s="86">
        <f>IF(Crédits!$K$5="",0,MAX(0,MIN(E264,Plan!$L$266-(IF(Crédits!$K$6="",0,IF(Crédits!$K$6&lt;Crédits!$K$5,M264,0))+IF(Crédits!$K$7="",0,IF(Crédits!$K$7&lt;Crédits!$K$5,U264,0))+IF(Crédits!$K$8="",0,IF(Crédits!$K$8&lt;Crédits!$K$5,AC264,0))+IF(Crédits!$K$9="",0,IF(Crédits!$K$9&lt;Crédits!$K$5,AK264,0))+IF(Crédits!$K$10="",0,IF(Crédits!$K$10&lt;Crédits!$K$5,AS264,0))))))</f>
        <v>0</v>
      </c>
      <c r="G264" s="87">
        <f t="shared" si="277"/>
        <v>0</v>
      </c>
      <c r="H264" s="88">
        <f>ROUND(H263+I264-MIN(N(Crédits!$E$5),H263+I264),2)</f>
        <v>0</v>
      </c>
      <c r="I264" s="89">
        <f>H263*N(Crédits!$D$5)/12</f>
        <v>0</v>
      </c>
      <c r="J264" s="90">
        <f t="shared" si="293"/>
        <v>0</v>
      </c>
      <c r="K264" s="90">
        <f>J264*N(Crédits!$D$6)/12</f>
        <v>0</v>
      </c>
      <c r="L264" s="90">
        <f>MIN(N(Crédits!$E$6),J264+K264)</f>
        <v>0</v>
      </c>
      <c r="M264" s="90">
        <f t="shared" si="278"/>
        <v>0</v>
      </c>
      <c r="N264" s="91">
        <f>IF(Crédits!$K$6="",0,MAX(0,MIN(M264,Plan!$L$266-(IF(Crédits!$K$5="",0,IF(Crédits!$K$5&lt;Crédits!$K$6,E264,0))+IF(Crédits!$K$7="",0,IF(Crédits!$K$7&lt;Crédits!$K$6,U264,0))+IF(Crédits!$K$8="",0,IF(Crédits!$K$8&lt;Crédits!$K$6,AC264,0))+IF(Crédits!$K$9="",0,IF(Crédits!$K$9&lt;Crédits!$K$6,AK264,0))+IF(Crédits!$K$10="",0,IF(Crédits!$K$10&lt;Crédits!$K$6,AS264,0))))))</f>
        <v>0</v>
      </c>
      <c r="O264" s="92">
        <f t="shared" si="279"/>
        <v>0</v>
      </c>
      <c r="P264" s="88">
        <f>ROUND(P263+Q264-MIN(N(Crédits!$E$6),P263+Q264),2)</f>
        <v>0</v>
      </c>
      <c r="Q264" s="89">
        <f>P263*N(Crédits!$D$6)/12</f>
        <v>0</v>
      </c>
      <c r="R264" s="93">
        <f t="shared" si="294"/>
        <v>0</v>
      </c>
      <c r="S264" s="93">
        <f>R264*N(Crédits!$D$7)/12</f>
        <v>0</v>
      </c>
      <c r="T264" s="93">
        <f>MIN(N(Crédits!$E$7),R264+S264)</f>
        <v>0</v>
      </c>
      <c r="U264" s="93">
        <f t="shared" si="280"/>
        <v>0</v>
      </c>
      <c r="V264" s="94">
        <f>IF(Crédits!$K$7="",0,MAX(0,MIN(U264,Plan!$L$266-(IF(Crédits!$K$5="",0,IF(Crédits!$K$5&lt;Crédits!$K$7,E264,0))+IF(Crédits!$K$6="",0,IF(Crédits!$K$6&lt;Crédits!$K$7,M264,0))+IF(Crédits!$K$8="",0,IF(Crédits!$K$8&lt;Crédits!$K$7,AC264,0))+IF(Crédits!$K$9="",0,IF(Crédits!$K$9&lt;Crédits!$K$7,AK264,0))+IF(Crédits!$K$10="",0,IF(Crédits!$K$10&lt;Crédits!$K$7,AS264,0))))))</f>
        <v>0</v>
      </c>
      <c r="W264" s="95">
        <f t="shared" si="281"/>
        <v>0</v>
      </c>
      <c r="X264" s="88">
        <f>ROUND(X263+Y264-MIN(N(Crédits!$E$7),X263+Y264),2)</f>
        <v>0</v>
      </c>
      <c r="Y264" s="89">
        <f>X263*N(Crédits!$D$7)/12</f>
        <v>0</v>
      </c>
      <c r="Z264" s="96">
        <f t="shared" si="295"/>
        <v>0</v>
      </c>
      <c r="AA264" s="96">
        <f>Z264*N(Crédits!$D$8)/12</f>
        <v>0</v>
      </c>
      <c r="AB264" s="96">
        <f>MIN(N(Crédits!$E$8),Z264+AA264)</f>
        <v>0</v>
      </c>
      <c r="AC264" s="96">
        <f t="shared" si="282"/>
        <v>0</v>
      </c>
      <c r="AD264" s="97">
        <f>IF(Crédits!$K$8="",0,MAX(0,MIN(AC264,Plan!$L$266-(IF(Crédits!$K$5="",0,IF(Crédits!$K$5&lt;Crédits!$K$8,E264,0))+IF(Crédits!$K$6="",0,IF(Crédits!$K$6&lt;Crédits!$K$8,M264,0))+IF(Crédits!$K$7="",0,IF(Crédits!$K$7&lt;Crédits!$K$8,U264,0))+IF(Crédits!$K$9="",0,IF(Crédits!$K$9&lt;Crédits!$K$8,AK264,0))+IF(Crédits!$K$10="",0,IF(Crédits!$K$10&lt;Crédits!$K$8,AS264,0))))))</f>
        <v>0</v>
      </c>
      <c r="AE264" s="98">
        <f t="shared" si="283"/>
        <v>0</v>
      </c>
      <c r="AF264" s="88">
        <f>ROUND(AF263+AG264-MIN(N(Crédits!$E$8),AF263+AG264),2)</f>
        <v>0</v>
      </c>
      <c r="AG264" s="89">
        <f>AF263*N(Crédits!$D$8)/12</f>
        <v>0</v>
      </c>
      <c r="AH264" s="99">
        <f t="shared" si="296"/>
        <v>0</v>
      </c>
      <c r="AI264" s="99">
        <f>AH264*N(Crédits!$D$9)/12</f>
        <v>0</v>
      </c>
      <c r="AJ264" s="99">
        <f>MIN(N(Crédits!$E$9),AH264+AI264)</f>
        <v>0</v>
      </c>
      <c r="AK264" s="99">
        <f t="shared" si="284"/>
        <v>0</v>
      </c>
      <c r="AL264" s="100">
        <f>IF(Crédits!$K$9="",0,MAX(0,MIN(AK264,Plan!$L$266-(IF(Crédits!$K$5="",0,IF(Crédits!$K$5&lt;Crédits!$K$9,E264,0))+IF(Crédits!$K$6="",0,IF(Crédits!$K$6&lt;Crédits!$K$9,M264,0))+IF(Crédits!$K$7="",0,IF(Crédits!$K$7&lt;Crédits!$K$9,U264,0))+IF(Crédits!$K$8="",0,IF(Crédits!$K$8&lt;Crédits!$K$9,AC264,0))+IF(Crédits!$K$10="",0,IF(Crédits!$K$10&lt;Crédits!$K$9,AS264,0))))))</f>
        <v>0</v>
      </c>
      <c r="AM264" s="101">
        <f t="shared" si="285"/>
        <v>0</v>
      </c>
      <c r="AN264" s="88">
        <f>ROUND(AN263+AO264-MIN(N(Crédits!$E$9),AN263+AO264),2)</f>
        <v>0</v>
      </c>
      <c r="AO264" s="89">
        <f>AN263*N(Crédits!$D$9)/12</f>
        <v>0</v>
      </c>
      <c r="AP264" s="102">
        <f t="shared" si="297"/>
        <v>0</v>
      </c>
      <c r="AQ264" s="102">
        <f>AP264*N(Crédits!$D$10)/12</f>
        <v>0</v>
      </c>
      <c r="AR264" s="102">
        <f>MIN(N(Crédits!$E$10),AP264+AQ264)</f>
        <v>0</v>
      </c>
      <c r="AS264" s="102">
        <f t="shared" si="286"/>
        <v>0</v>
      </c>
      <c r="AT264" s="103">
        <f>IF(Crédits!$K$10="",0,MAX(0,MIN(AS264,Plan!$L$266-(IF(Crédits!$K$5="",0,IF(Crédits!$K$5&lt;Crédits!$K$10,E264,0))+IF(Crédits!$K$6="",0,IF(Crédits!$K$6&lt;Crédits!$K$10,M264,0))+IF(Crédits!$K$7="",0,IF(Crédits!$K$7&lt;Crédits!$K$10,U264,0))+IF(Crédits!$K$8="",0,IF(Crédits!$K$8&lt;Crédits!$K$10,AC264,0))+IF(Crédits!$K$9="",0,IF(Crédits!$K$9&lt;Crédits!$K$10,AK264,0))))))</f>
        <v>0</v>
      </c>
      <c r="AU264" s="104">
        <f t="shared" si="287"/>
        <v>0</v>
      </c>
      <c r="AV264" s="88">
        <f>ROUND(AV263+AW264-MIN(N(Crédits!$E$10),AV263+AW264),2)</f>
        <v>0</v>
      </c>
      <c r="AW264" s="89">
        <f>AV263*N(Crédits!$D$10)/12</f>
        <v>0</v>
      </c>
      <c r="AX264" s="105">
        <f t="shared" si="288"/>
        <v>0</v>
      </c>
      <c r="AY264" s="105">
        <f t="shared" ref="AY264:AZ264" si="303">F264+N264+V264+AD264+AL264+AT264</f>
        <v>0</v>
      </c>
      <c r="AZ264" s="105">
        <f t="shared" si="303"/>
        <v>0</v>
      </c>
      <c r="BA264" s="105">
        <f t="shared" si="290"/>
        <v>0</v>
      </c>
      <c r="BB264" s="105">
        <f t="shared" si="291"/>
        <v>0</v>
      </c>
    </row>
    <row r="265" spans="1:54" ht="15" customHeight="1" x14ac:dyDescent="0.25">
      <c r="A265" s="2">
        <v>263</v>
      </c>
      <c r="B265" s="83">
        <f t="shared" si="292"/>
        <v>0</v>
      </c>
      <c r="C265" s="83">
        <f>B265*N(Crédits!$D$5)/12</f>
        <v>0</v>
      </c>
      <c r="D265" s="83">
        <f>MIN(N(Crédits!$E$5),B265+C265)</f>
        <v>0</v>
      </c>
      <c r="E265" s="83">
        <f t="shared" si="276"/>
        <v>0</v>
      </c>
      <c r="F265" s="86">
        <f>IF(Crédits!$K$5="",0,MAX(0,MIN(E265,Plan!$L$267-(IF(Crédits!$K$6="",0,IF(Crédits!$K$6&lt;Crédits!$K$5,M265,0))+IF(Crédits!$K$7="",0,IF(Crédits!$K$7&lt;Crédits!$K$5,U265,0))+IF(Crédits!$K$8="",0,IF(Crédits!$K$8&lt;Crédits!$K$5,AC265,0))+IF(Crédits!$K$9="",0,IF(Crédits!$K$9&lt;Crédits!$K$5,AK265,0))+IF(Crédits!$K$10="",0,IF(Crédits!$K$10&lt;Crédits!$K$5,AS265,0))))))</f>
        <v>0</v>
      </c>
      <c r="G265" s="87">
        <f t="shared" si="277"/>
        <v>0</v>
      </c>
      <c r="H265" s="88">
        <f>ROUND(H264+I265-MIN(N(Crédits!$E$5),H264+I265),2)</f>
        <v>0</v>
      </c>
      <c r="I265" s="89">
        <f>H264*N(Crédits!$D$5)/12</f>
        <v>0</v>
      </c>
      <c r="J265" s="90">
        <f t="shared" si="293"/>
        <v>0</v>
      </c>
      <c r="K265" s="90">
        <f>J265*N(Crédits!$D$6)/12</f>
        <v>0</v>
      </c>
      <c r="L265" s="90">
        <f>MIN(N(Crédits!$E$6),J265+K265)</f>
        <v>0</v>
      </c>
      <c r="M265" s="90">
        <f t="shared" si="278"/>
        <v>0</v>
      </c>
      <c r="N265" s="91">
        <f>IF(Crédits!$K$6="",0,MAX(0,MIN(M265,Plan!$L$267-(IF(Crédits!$K$5="",0,IF(Crédits!$K$5&lt;Crédits!$K$6,E265,0))+IF(Crédits!$K$7="",0,IF(Crédits!$K$7&lt;Crédits!$K$6,U265,0))+IF(Crédits!$K$8="",0,IF(Crédits!$K$8&lt;Crédits!$K$6,AC265,0))+IF(Crédits!$K$9="",0,IF(Crédits!$K$9&lt;Crédits!$K$6,AK265,0))+IF(Crédits!$K$10="",0,IF(Crédits!$K$10&lt;Crédits!$K$6,AS265,0))))))</f>
        <v>0</v>
      </c>
      <c r="O265" s="92">
        <f t="shared" si="279"/>
        <v>0</v>
      </c>
      <c r="P265" s="88">
        <f>ROUND(P264+Q265-MIN(N(Crédits!$E$6),P264+Q265),2)</f>
        <v>0</v>
      </c>
      <c r="Q265" s="89">
        <f>P264*N(Crédits!$D$6)/12</f>
        <v>0</v>
      </c>
      <c r="R265" s="93">
        <f t="shared" si="294"/>
        <v>0</v>
      </c>
      <c r="S265" s="93">
        <f>R265*N(Crédits!$D$7)/12</f>
        <v>0</v>
      </c>
      <c r="T265" s="93">
        <f>MIN(N(Crédits!$E$7),R265+S265)</f>
        <v>0</v>
      </c>
      <c r="U265" s="93">
        <f t="shared" si="280"/>
        <v>0</v>
      </c>
      <c r="V265" s="94">
        <f>IF(Crédits!$K$7="",0,MAX(0,MIN(U265,Plan!$L$267-(IF(Crédits!$K$5="",0,IF(Crédits!$K$5&lt;Crédits!$K$7,E265,0))+IF(Crédits!$K$6="",0,IF(Crédits!$K$6&lt;Crédits!$K$7,M265,0))+IF(Crédits!$K$8="",0,IF(Crédits!$K$8&lt;Crédits!$K$7,AC265,0))+IF(Crédits!$K$9="",0,IF(Crédits!$K$9&lt;Crédits!$K$7,AK265,0))+IF(Crédits!$K$10="",0,IF(Crédits!$K$10&lt;Crédits!$K$7,AS265,0))))))</f>
        <v>0</v>
      </c>
      <c r="W265" s="95">
        <f t="shared" si="281"/>
        <v>0</v>
      </c>
      <c r="X265" s="88">
        <f>ROUND(X264+Y265-MIN(N(Crédits!$E$7),X264+Y265),2)</f>
        <v>0</v>
      </c>
      <c r="Y265" s="89">
        <f>X264*N(Crédits!$D$7)/12</f>
        <v>0</v>
      </c>
      <c r="Z265" s="96">
        <f t="shared" si="295"/>
        <v>0</v>
      </c>
      <c r="AA265" s="96">
        <f>Z265*N(Crédits!$D$8)/12</f>
        <v>0</v>
      </c>
      <c r="AB265" s="96">
        <f>MIN(N(Crédits!$E$8),Z265+AA265)</f>
        <v>0</v>
      </c>
      <c r="AC265" s="96">
        <f t="shared" si="282"/>
        <v>0</v>
      </c>
      <c r="AD265" s="97">
        <f>IF(Crédits!$K$8="",0,MAX(0,MIN(AC265,Plan!$L$267-(IF(Crédits!$K$5="",0,IF(Crédits!$K$5&lt;Crédits!$K$8,E265,0))+IF(Crédits!$K$6="",0,IF(Crédits!$K$6&lt;Crédits!$K$8,M265,0))+IF(Crédits!$K$7="",0,IF(Crédits!$K$7&lt;Crédits!$K$8,U265,0))+IF(Crédits!$K$9="",0,IF(Crédits!$K$9&lt;Crédits!$K$8,AK265,0))+IF(Crédits!$K$10="",0,IF(Crédits!$K$10&lt;Crédits!$K$8,AS265,0))))))</f>
        <v>0</v>
      </c>
      <c r="AE265" s="98">
        <f t="shared" si="283"/>
        <v>0</v>
      </c>
      <c r="AF265" s="88">
        <f>ROUND(AF264+AG265-MIN(N(Crédits!$E$8),AF264+AG265),2)</f>
        <v>0</v>
      </c>
      <c r="AG265" s="89">
        <f>AF264*N(Crédits!$D$8)/12</f>
        <v>0</v>
      </c>
      <c r="AH265" s="99">
        <f t="shared" si="296"/>
        <v>0</v>
      </c>
      <c r="AI265" s="99">
        <f>AH265*N(Crédits!$D$9)/12</f>
        <v>0</v>
      </c>
      <c r="AJ265" s="99">
        <f>MIN(N(Crédits!$E$9),AH265+AI265)</f>
        <v>0</v>
      </c>
      <c r="AK265" s="99">
        <f t="shared" si="284"/>
        <v>0</v>
      </c>
      <c r="AL265" s="100">
        <f>IF(Crédits!$K$9="",0,MAX(0,MIN(AK265,Plan!$L$267-(IF(Crédits!$K$5="",0,IF(Crédits!$K$5&lt;Crédits!$K$9,E265,0))+IF(Crédits!$K$6="",0,IF(Crédits!$K$6&lt;Crédits!$K$9,M265,0))+IF(Crédits!$K$7="",0,IF(Crédits!$K$7&lt;Crédits!$K$9,U265,0))+IF(Crédits!$K$8="",0,IF(Crédits!$K$8&lt;Crédits!$K$9,AC265,0))+IF(Crédits!$K$10="",0,IF(Crédits!$K$10&lt;Crédits!$K$9,AS265,0))))))</f>
        <v>0</v>
      </c>
      <c r="AM265" s="101">
        <f t="shared" si="285"/>
        <v>0</v>
      </c>
      <c r="AN265" s="88">
        <f>ROUND(AN264+AO265-MIN(N(Crédits!$E$9),AN264+AO265),2)</f>
        <v>0</v>
      </c>
      <c r="AO265" s="89">
        <f>AN264*N(Crédits!$D$9)/12</f>
        <v>0</v>
      </c>
      <c r="AP265" s="102">
        <f t="shared" si="297"/>
        <v>0</v>
      </c>
      <c r="AQ265" s="102">
        <f>AP265*N(Crédits!$D$10)/12</f>
        <v>0</v>
      </c>
      <c r="AR265" s="102">
        <f>MIN(N(Crédits!$E$10),AP265+AQ265)</f>
        <v>0</v>
      </c>
      <c r="AS265" s="102">
        <f t="shared" si="286"/>
        <v>0</v>
      </c>
      <c r="AT265" s="103">
        <f>IF(Crédits!$K$10="",0,MAX(0,MIN(AS265,Plan!$L$267-(IF(Crédits!$K$5="",0,IF(Crédits!$K$5&lt;Crédits!$K$10,E265,0))+IF(Crédits!$K$6="",0,IF(Crédits!$K$6&lt;Crédits!$K$10,M265,0))+IF(Crédits!$K$7="",0,IF(Crédits!$K$7&lt;Crédits!$K$10,U265,0))+IF(Crédits!$K$8="",0,IF(Crédits!$K$8&lt;Crédits!$K$10,AC265,0))+IF(Crédits!$K$9="",0,IF(Crédits!$K$9&lt;Crédits!$K$10,AK265,0))))))</f>
        <v>0</v>
      </c>
      <c r="AU265" s="104">
        <f t="shared" si="287"/>
        <v>0</v>
      </c>
      <c r="AV265" s="88">
        <f>ROUND(AV264+AW265-MIN(N(Crédits!$E$10),AV264+AW265),2)</f>
        <v>0</v>
      </c>
      <c r="AW265" s="89">
        <f>AV264*N(Crédits!$D$10)/12</f>
        <v>0</v>
      </c>
      <c r="AX265" s="105">
        <f t="shared" si="288"/>
        <v>0</v>
      </c>
      <c r="AY265" s="105">
        <f t="shared" ref="AY265:AZ265" si="304">F265+N265+V265+AD265+AL265+AT265</f>
        <v>0</v>
      </c>
      <c r="AZ265" s="105">
        <f t="shared" si="304"/>
        <v>0</v>
      </c>
      <c r="BA265" s="105">
        <f t="shared" si="290"/>
        <v>0</v>
      </c>
      <c r="BB265" s="105">
        <f t="shared" si="291"/>
        <v>0</v>
      </c>
    </row>
    <row r="266" spans="1:54" ht="15" customHeight="1" x14ac:dyDescent="0.25">
      <c r="A266" s="2">
        <v>264</v>
      </c>
      <c r="B266" s="83">
        <f t="shared" si="292"/>
        <v>0</v>
      </c>
      <c r="C266" s="83">
        <f>B266*N(Crédits!$D$5)/12</f>
        <v>0</v>
      </c>
      <c r="D266" s="83">
        <f>MIN(N(Crédits!$E$5),B266+C266)</f>
        <v>0</v>
      </c>
      <c r="E266" s="83">
        <f t="shared" si="276"/>
        <v>0</v>
      </c>
      <c r="F266" s="86">
        <f>IF(Crédits!$K$5="",0,MAX(0,MIN(E266,Plan!$L$268-(IF(Crédits!$K$6="",0,IF(Crédits!$K$6&lt;Crédits!$K$5,M266,0))+IF(Crédits!$K$7="",0,IF(Crédits!$K$7&lt;Crédits!$K$5,U266,0))+IF(Crédits!$K$8="",0,IF(Crédits!$K$8&lt;Crédits!$K$5,AC266,0))+IF(Crédits!$K$9="",0,IF(Crédits!$K$9&lt;Crédits!$K$5,AK266,0))+IF(Crédits!$K$10="",0,IF(Crédits!$K$10&lt;Crédits!$K$5,AS266,0))))))</f>
        <v>0</v>
      </c>
      <c r="G266" s="87">
        <f t="shared" si="277"/>
        <v>0</v>
      </c>
      <c r="H266" s="88">
        <f>ROUND(H265+I266-MIN(N(Crédits!$E$5),H265+I266),2)</f>
        <v>0</v>
      </c>
      <c r="I266" s="89">
        <f>H265*N(Crédits!$D$5)/12</f>
        <v>0</v>
      </c>
      <c r="J266" s="90">
        <f t="shared" si="293"/>
        <v>0</v>
      </c>
      <c r="K266" s="90">
        <f>J266*N(Crédits!$D$6)/12</f>
        <v>0</v>
      </c>
      <c r="L266" s="90">
        <f>MIN(N(Crédits!$E$6),J266+K266)</f>
        <v>0</v>
      </c>
      <c r="M266" s="90">
        <f t="shared" si="278"/>
        <v>0</v>
      </c>
      <c r="N266" s="91">
        <f>IF(Crédits!$K$6="",0,MAX(0,MIN(M266,Plan!$L$268-(IF(Crédits!$K$5="",0,IF(Crédits!$K$5&lt;Crédits!$K$6,E266,0))+IF(Crédits!$K$7="",0,IF(Crédits!$K$7&lt;Crédits!$K$6,U266,0))+IF(Crédits!$K$8="",0,IF(Crédits!$K$8&lt;Crédits!$K$6,AC266,0))+IF(Crédits!$K$9="",0,IF(Crédits!$K$9&lt;Crédits!$K$6,AK266,0))+IF(Crédits!$K$10="",0,IF(Crédits!$K$10&lt;Crédits!$K$6,AS266,0))))))</f>
        <v>0</v>
      </c>
      <c r="O266" s="92">
        <f t="shared" si="279"/>
        <v>0</v>
      </c>
      <c r="P266" s="88">
        <f>ROUND(P265+Q266-MIN(N(Crédits!$E$6),P265+Q266),2)</f>
        <v>0</v>
      </c>
      <c r="Q266" s="89">
        <f>P265*N(Crédits!$D$6)/12</f>
        <v>0</v>
      </c>
      <c r="R266" s="93">
        <f t="shared" si="294"/>
        <v>0</v>
      </c>
      <c r="S266" s="93">
        <f>R266*N(Crédits!$D$7)/12</f>
        <v>0</v>
      </c>
      <c r="T266" s="93">
        <f>MIN(N(Crédits!$E$7),R266+S266)</f>
        <v>0</v>
      </c>
      <c r="U266" s="93">
        <f t="shared" si="280"/>
        <v>0</v>
      </c>
      <c r="V266" s="94">
        <f>IF(Crédits!$K$7="",0,MAX(0,MIN(U266,Plan!$L$268-(IF(Crédits!$K$5="",0,IF(Crédits!$K$5&lt;Crédits!$K$7,E266,0))+IF(Crédits!$K$6="",0,IF(Crédits!$K$6&lt;Crédits!$K$7,M266,0))+IF(Crédits!$K$8="",0,IF(Crédits!$K$8&lt;Crédits!$K$7,AC266,0))+IF(Crédits!$K$9="",0,IF(Crédits!$K$9&lt;Crédits!$K$7,AK266,0))+IF(Crédits!$K$10="",0,IF(Crédits!$K$10&lt;Crédits!$K$7,AS266,0))))))</f>
        <v>0</v>
      </c>
      <c r="W266" s="95">
        <f t="shared" si="281"/>
        <v>0</v>
      </c>
      <c r="X266" s="88">
        <f>ROUND(X265+Y266-MIN(N(Crédits!$E$7),X265+Y266),2)</f>
        <v>0</v>
      </c>
      <c r="Y266" s="89">
        <f>X265*N(Crédits!$D$7)/12</f>
        <v>0</v>
      </c>
      <c r="Z266" s="96">
        <f t="shared" si="295"/>
        <v>0</v>
      </c>
      <c r="AA266" s="96">
        <f>Z266*N(Crédits!$D$8)/12</f>
        <v>0</v>
      </c>
      <c r="AB266" s="96">
        <f>MIN(N(Crédits!$E$8),Z266+AA266)</f>
        <v>0</v>
      </c>
      <c r="AC266" s="96">
        <f t="shared" si="282"/>
        <v>0</v>
      </c>
      <c r="AD266" s="97">
        <f>IF(Crédits!$K$8="",0,MAX(0,MIN(AC266,Plan!$L$268-(IF(Crédits!$K$5="",0,IF(Crédits!$K$5&lt;Crédits!$K$8,E266,0))+IF(Crédits!$K$6="",0,IF(Crédits!$K$6&lt;Crédits!$K$8,M266,0))+IF(Crédits!$K$7="",0,IF(Crédits!$K$7&lt;Crédits!$K$8,U266,0))+IF(Crédits!$K$9="",0,IF(Crédits!$K$9&lt;Crédits!$K$8,AK266,0))+IF(Crédits!$K$10="",0,IF(Crédits!$K$10&lt;Crédits!$K$8,AS266,0))))))</f>
        <v>0</v>
      </c>
      <c r="AE266" s="98">
        <f t="shared" si="283"/>
        <v>0</v>
      </c>
      <c r="AF266" s="88">
        <f>ROUND(AF265+AG266-MIN(N(Crédits!$E$8),AF265+AG266),2)</f>
        <v>0</v>
      </c>
      <c r="AG266" s="89">
        <f>AF265*N(Crédits!$D$8)/12</f>
        <v>0</v>
      </c>
      <c r="AH266" s="99">
        <f t="shared" si="296"/>
        <v>0</v>
      </c>
      <c r="AI266" s="99">
        <f>AH266*N(Crédits!$D$9)/12</f>
        <v>0</v>
      </c>
      <c r="AJ266" s="99">
        <f>MIN(N(Crédits!$E$9),AH266+AI266)</f>
        <v>0</v>
      </c>
      <c r="AK266" s="99">
        <f t="shared" si="284"/>
        <v>0</v>
      </c>
      <c r="AL266" s="100">
        <f>IF(Crédits!$K$9="",0,MAX(0,MIN(AK266,Plan!$L$268-(IF(Crédits!$K$5="",0,IF(Crédits!$K$5&lt;Crédits!$K$9,E266,0))+IF(Crédits!$K$6="",0,IF(Crédits!$K$6&lt;Crédits!$K$9,M266,0))+IF(Crédits!$K$7="",0,IF(Crédits!$K$7&lt;Crédits!$K$9,U266,0))+IF(Crédits!$K$8="",0,IF(Crédits!$K$8&lt;Crédits!$K$9,AC266,0))+IF(Crédits!$K$10="",0,IF(Crédits!$K$10&lt;Crédits!$K$9,AS266,0))))))</f>
        <v>0</v>
      </c>
      <c r="AM266" s="101">
        <f t="shared" si="285"/>
        <v>0</v>
      </c>
      <c r="AN266" s="88">
        <f>ROUND(AN265+AO266-MIN(N(Crédits!$E$9),AN265+AO266),2)</f>
        <v>0</v>
      </c>
      <c r="AO266" s="89">
        <f>AN265*N(Crédits!$D$9)/12</f>
        <v>0</v>
      </c>
      <c r="AP266" s="102">
        <f t="shared" si="297"/>
        <v>0</v>
      </c>
      <c r="AQ266" s="102">
        <f>AP266*N(Crédits!$D$10)/12</f>
        <v>0</v>
      </c>
      <c r="AR266" s="102">
        <f>MIN(N(Crédits!$E$10),AP266+AQ266)</f>
        <v>0</v>
      </c>
      <c r="AS266" s="102">
        <f t="shared" si="286"/>
        <v>0</v>
      </c>
      <c r="AT266" s="103">
        <f>IF(Crédits!$K$10="",0,MAX(0,MIN(AS266,Plan!$L$268-(IF(Crédits!$K$5="",0,IF(Crédits!$K$5&lt;Crédits!$K$10,E266,0))+IF(Crédits!$K$6="",0,IF(Crédits!$K$6&lt;Crédits!$K$10,M266,0))+IF(Crédits!$K$7="",0,IF(Crédits!$K$7&lt;Crédits!$K$10,U266,0))+IF(Crédits!$K$8="",0,IF(Crédits!$K$8&lt;Crédits!$K$10,AC266,0))+IF(Crédits!$K$9="",0,IF(Crédits!$K$9&lt;Crédits!$K$10,AK266,0))))))</f>
        <v>0</v>
      </c>
      <c r="AU266" s="104">
        <f t="shared" si="287"/>
        <v>0</v>
      </c>
      <c r="AV266" s="88">
        <f>ROUND(AV265+AW266-MIN(N(Crédits!$E$10),AV265+AW266),2)</f>
        <v>0</v>
      </c>
      <c r="AW266" s="89">
        <f>AV265*N(Crédits!$D$10)/12</f>
        <v>0</v>
      </c>
      <c r="AX266" s="105">
        <f t="shared" si="288"/>
        <v>0</v>
      </c>
      <c r="AY266" s="105">
        <f t="shared" ref="AY266:AZ266" si="305">F266+N266+V266+AD266+AL266+AT266</f>
        <v>0</v>
      </c>
      <c r="AZ266" s="105">
        <f t="shared" si="305"/>
        <v>0</v>
      </c>
      <c r="BA266" s="105">
        <f t="shared" si="290"/>
        <v>0</v>
      </c>
      <c r="BB266" s="105">
        <f t="shared" si="291"/>
        <v>0</v>
      </c>
    </row>
    <row r="267" spans="1:54" ht="15" customHeight="1" x14ac:dyDescent="0.25">
      <c r="A267" s="2">
        <v>265</v>
      </c>
      <c r="B267" s="83">
        <f t="shared" si="292"/>
        <v>0</v>
      </c>
      <c r="C267" s="83">
        <f>B267*N(Crédits!$D$5)/12</f>
        <v>0</v>
      </c>
      <c r="D267" s="83">
        <f>MIN(N(Crédits!$E$5),B267+C267)</f>
        <v>0</v>
      </c>
      <c r="E267" s="83">
        <f t="shared" si="276"/>
        <v>0</v>
      </c>
      <c r="F267" s="86">
        <f>IF(Crédits!$K$5="",0,MAX(0,MIN(E267,Plan!$L$269-(IF(Crédits!$K$6="",0,IF(Crédits!$K$6&lt;Crédits!$K$5,M267,0))+IF(Crédits!$K$7="",0,IF(Crédits!$K$7&lt;Crédits!$K$5,U267,0))+IF(Crédits!$K$8="",0,IF(Crédits!$K$8&lt;Crédits!$K$5,AC267,0))+IF(Crédits!$K$9="",0,IF(Crédits!$K$9&lt;Crédits!$K$5,AK267,0))+IF(Crédits!$K$10="",0,IF(Crédits!$K$10&lt;Crédits!$K$5,AS267,0))))))</f>
        <v>0</v>
      </c>
      <c r="G267" s="87">
        <f t="shared" si="277"/>
        <v>0</v>
      </c>
      <c r="H267" s="88">
        <f>ROUND(H266+I267-MIN(N(Crédits!$E$5),H266+I267),2)</f>
        <v>0</v>
      </c>
      <c r="I267" s="89">
        <f>H266*N(Crédits!$D$5)/12</f>
        <v>0</v>
      </c>
      <c r="J267" s="90">
        <f t="shared" si="293"/>
        <v>0</v>
      </c>
      <c r="K267" s="90">
        <f>J267*N(Crédits!$D$6)/12</f>
        <v>0</v>
      </c>
      <c r="L267" s="90">
        <f>MIN(N(Crédits!$E$6),J267+K267)</f>
        <v>0</v>
      </c>
      <c r="M267" s="90">
        <f t="shared" si="278"/>
        <v>0</v>
      </c>
      <c r="N267" s="91">
        <f>IF(Crédits!$K$6="",0,MAX(0,MIN(M267,Plan!$L$269-(IF(Crédits!$K$5="",0,IF(Crédits!$K$5&lt;Crédits!$K$6,E267,0))+IF(Crédits!$K$7="",0,IF(Crédits!$K$7&lt;Crédits!$K$6,U267,0))+IF(Crédits!$K$8="",0,IF(Crédits!$K$8&lt;Crédits!$K$6,AC267,0))+IF(Crédits!$K$9="",0,IF(Crédits!$K$9&lt;Crédits!$K$6,AK267,0))+IF(Crédits!$K$10="",0,IF(Crédits!$K$10&lt;Crédits!$K$6,AS267,0))))))</f>
        <v>0</v>
      </c>
      <c r="O267" s="92">
        <f t="shared" si="279"/>
        <v>0</v>
      </c>
      <c r="P267" s="88">
        <f>ROUND(P266+Q267-MIN(N(Crédits!$E$6),P266+Q267),2)</f>
        <v>0</v>
      </c>
      <c r="Q267" s="89">
        <f>P266*N(Crédits!$D$6)/12</f>
        <v>0</v>
      </c>
      <c r="R267" s="93">
        <f t="shared" si="294"/>
        <v>0</v>
      </c>
      <c r="S267" s="93">
        <f>R267*N(Crédits!$D$7)/12</f>
        <v>0</v>
      </c>
      <c r="T267" s="93">
        <f>MIN(N(Crédits!$E$7),R267+S267)</f>
        <v>0</v>
      </c>
      <c r="U267" s="93">
        <f t="shared" si="280"/>
        <v>0</v>
      </c>
      <c r="V267" s="94">
        <f>IF(Crédits!$K$7="",0,MAX(0,MIN(U267,Plan!$L$269-(IF(Crédits!$K$5="",0,IF(Crédits!$K$5&lt;Crédits!$K$7,E267,0))+IF(Crédits!$K$6="",0,IF(Crédits!$K$6&lt;Crédits!$K$7,M267,0))+IF(Crédits!$K$8="",0,IF(Crédits!$K$8&lt;Crédits!$K$7,AC267,0))+IF(Crédits!$K$9="",0,IF(Crédits!$K$9&lt;Crédits!$K$7,AK267,0))+IF(Crédits!$K$10="",0,IF(Crédits!$K$10&lt;Crédits!$K$7,AS267,0))))))</f>
        <v>0</v>
      </c>
      <c r="W267" s="95">
        <f t="shared" si="281"/>
        <v>0</v>
      </c>
      <c r="X267" s="88">
        <f>ROUND(X266+Y267-MIN(N(Crédits!$E$7),X266+Y267),2)</f>
        <v>0</v>
      </c>
      <c r="Y267" s="89">
        <f>X266*N(Crédits!$D$7)/12</f>
        <v>0</v>
      </c>
      <c r="Z267" s="96">
        <f t="shared" si="295"/>
        <v>0</v>
      </c>
      <c r="AA267" s="96">
        <f>Z267*N(Crédits!$D$8)/12</f>
        <v>0</v>
      </c>
      <c r="AB267" s="96">
        <f>MIN(N(Crédits!$E$8),Z267+AA267)</f>
        <v>0</v>
      </c>
      <c r="AC267" s="96">
        <f t="shared" si="282"/>
        <v>0</v>
      </c>
      <c r="AD267" s="97">
        <f>IF(Crédits!$K$8="",0,MAX(0,MIN(AC267,Plan!$L$269-(IF(Crédits!$K$5="",0,IF(Crédits!$K$5&lt;Crédits!$K$8,E267,0))+IF(Crédits!$K$6="",0,IF(Crédits!$K$6&lt;Crédits!$K$8,M267,0))+IF(Crédits!$K$7="",0,IF(Crédits!$K$7&lt;Crédits!$K$8,U267,0))+IF(Crédits!$K$9="",0,IF(Crédits!$K$9&lt;Crédits!$K$8,AK267,0))+IF(Crédits!$K$10="",0,IF(Crédits!$K$10&lt;Crédits!$K$8,AS267,0))))))</f>
        <v>0</v>
      </c>
      <c r="AE267" s="98">
        <f t="shared" si="283"/>
        <v>0</v>
      </c>
      <c r="AF267" s="88">
        <f>ROUND(AF266+AG267-MIN(N(Crédits!$E$8),AF266+AG267),2)</f>
        <v>0</v>
      </c>
      <c r="AG267" s="89">
        <f>AF266*N(Crédits!$D$8)/12</f>
        <v>0</v>
      </c>
      <c r="AH267" s="99">
        <f t="shared" si="296"/>
        <v>0</v>
      </c>
      <c r="AI267" s="99">
        <f>AH267*N(Crédits!$D$9)/12</f>
        <v>0</v>
      </c>
      <c r="AJ267" s="99">
        <f>MIN(N(Crédits!$E$9),AH267+AI267)</f>
        <v>0</v>
      </c>
      <c r="AK267" s="99">
        <f t="shared" si="284"/>
        <v>0</v>
      </c>
      <c r="AL267" s="100">
        <f>IF(Crédits!$K$9="",0,MAX(0,MIN(AK267,Plan!$L$269-(IF(Crédits!$K$5="",0,IF(Crédits!$K$5&lt;Crédits!$K$9,E267,0))+IF(Crédits!$K$6="",0,IF(Crédits!$K$6&lt;Crédits!$K$9,M267,0))+IF(Crédits!$K$7="",0,IF(Crédits!$K$7&lt;Crédits!$K$9,U267,0))+IF(Crédits!$K$8="",0,IF(Crédits!$K$8&lt;Crédits!$K$9,AC267,0))+IF(Crédits!$K$10="",0,IF(Crédits!$K$10&lt;Crédits!$K$9,AS267,0))))))</f>
        <v>0</v>
      </c>
      <c r="AM267" s="101">
        <f t="shared" si="285"/>
        <v>0</v>
      </c>
      <c r="AN267" s="88">
        <f>ROUND(AN266+AO267-MIN(N(Crédits!$E$9),AN266+AO267),2)</f>
        <v>0</v>
      </c>
      <c r="AO267" s="89">
        <f>AN266*N(Crédits!$D$9)/12</f>
        <v>0</v>
      </c>
      <c r="AP267" s="102">
        <f t="shared" si="297"/>
        <v>0</v>
      </c>
      <c r="AQ267" s="102">
        <f>AP267*N(Crédits!$D$10)/12</f>
        <v>0</v>
      </c>
      <c r="AR267" s="102">
        <f>MIN(N(Crédits!$E$10),AP267+AQ267)</f>
        <v>0</v>
      </c>
      <c r="AS267" s="102">
        <f t="shared" si="286"/>
        <v>0</v>
      </c>
      <c r="AT267" s="103">
        <f>IF(Crédits!$K$10="",0,MAX(0,MIN(AS267,Plan!$L$269-(IF(Crédits!$K$5="",0,IF(Crédits!$K$5&lt;Crédits!$K$10,E267,0))+IF(Crédits!$K$6="",0,IF(Crédits!$K$6&lt;Crédits!$K$10,M267,0))+IF(Crédits!$K$7="",0,IF(Crédits!$K$7&lt;Crédits!$K$10,U267,0))+IF(Crédits!$K$8="",0,IF(Crédits!$K$8&lt;Crédits!$K$10,AC267,0))+IF(Crédits!$K$9="",0,IF(Crédits!$K$9&lt;Crédits!$K$10,AK267,0))))))</f>
        <v>0</v>
      </c>
      <c r="AU267" s="104">
        <f t="shared" si="287"/>
        <v>0</v>
      </c>
      <c r="AV267" s="88">
        <f>ROUND(AV266+AW267-MIN(N(Crédits!$E$10),AV266+AW267),2)</f>
        <v>0</v>
      </c>
      <c r="AW267" s="89">
        <f>AV266*N(Crédits!$D$10)/12</f>
        <v>0</v>
      </c>
      <c r="AX267" s="105">
        <f t="shared" si="288"/>
        <v>0</v>
      </c>
      <c r="AY267" s="105">
        <f t="shared" ref="AY267:AZ267" si="306">F267+N267+V267+AD267+AL267+AT267</f>
        <v>0</v>
      </c>
      <c r="AZ267" s="105">
        <f t="shared" si="306"/>
        <v>0</v>
      </c>
      <c r="BA267" s="105">
        <f t="shared" si="290"/>
        <v>0</v>
      </c>
      <c r="BB267" s="105">
        <f t="shared" si="291"/>
        <v>0</v>
      </c>
    </row>
    <row r="268" spans="1:54" ht="15" customHeight="1" x14ac:dyDescent="0.25">
      <c r="A268" s="2">
        <v>266</v>
      </c>
      <c r="B268" s="83">
        <f t="shared" si="292"/>
        <v>0</v>
      </c>
      <c r="C268" s="83">
        <f>B268*N(Crédits!$D$5)/12</f>
        <v>0</v>
      </c>
      <c r="D268" s="83">
        <f>MIN(N(Crédits!$E$5),B268+C268)</f>
        <v>0</v>
      </c>
      <c r="E268" s="83">
        <f t="shared" si="276"/>
        <v>0</v>
      </c>
      <c r="F268" s="86">
        <f>IF(Crédits!$K$5="",0,MAX(0,MIN(E268,Plan!$L$270-(IF(Crédits!$K$6="",0,IF(Crédits!$K$6&lt;Crédits!$K$5,M268,0))+IF(Crédits!$K$7="",0,IF(Crédits!$K$7&lt;Crédits!$K$5,U268,0))+IF(Crédits!$K$8="",0,IF(Crédits!$K$8&lt;Crédits!$K$5,AC268,0))+IF(Crédits!$K$9="",0,IF(Crédits!$K$9&lt;Crédits!$K$5,AK268,0))+IF(Crédits!$K$10="",0,IF(Crédits!$K$10&lt;Crédits!$K$5,AS268,0))))))</f>
        <v>0</v>
      </c>
      <c r="G268" s="87">
        <f t="shared" si="277"/>
        <v>0</v>
      </c>
      <c r="H268" s="88">
        <f>ROUND(H267+I268-MIN(N(Crédits!$E$5),H267+I268),2)</f>
        <v>0</v>
      </c>
      <c r="I268" s="89">
        <f>H267*N(Crédits!$D$5)/12</f>
        <v>0</v>
      </c>
      <c r="J268" s="90">
        <f t="shared" si="293"/>
        <v>0</v>
      </c>
      <c r="K268" s="90">
        <f>J268*N(Crédits!$D$6)/12</f>
        <v>0</v>
      </c>
      <c r="L268" s="90">
        <f>MIN(N(Crédits!$E$6),J268+K268)</f>
        <v>0</v>
      </c>
      <c r="M268" s="90">
        <f t="shared" si="278"/>
        <v>0</v>
      </c>
      <c r="N268" s="91">
        <f>IF(Crédits!$K$6="",0,MAX(0,MIN(M268,Plan!$L$270-(IF(Crédits!$K$5="",0,IF(Crédits!$K$5&lt;Crédits!$K$6,E268,0))+IF(Crédits!$K$7="",0,IF(Crédits!$K$7&lt;Crédits!$K$6,U268,0))+IF(Crédits!$K$8="",0,IF(Crédits!$K$8&lt;Crédits!$K$6,AC268,0))+IF(Crédits!$K$9="",0,IF(Crédits!$K$9&lt;Crédits!$K$6,AK268,0))+IF(Crédits!$K$10="",0,IF(Crédits!$K$10&lt;Crédits!$K$6,AS268,0))))))</f>
        <v>0</v>
      </c>
      <c r="O268" s="92">
        <f t="shared" si="279"/>
        <v>0</v>
      </c>
      <c r="P268" s="88">
        <f>ROUND(P267+Q268-MIN(N(Crédits!$E$6),P267+Q268),2)</f>
        <v>0</v>
      </c>
      <c r="Q268" s="89">
        <f>P267*N(Crédits!$D$6)/12</f>
        <v>0</v>
      </c>
      <c r="R268" s="93">
        <f t="shared" si="294"/>
        <v>0</v>
      </c>
      <c r="S268" s="93">
        <f>R268*N(Crédits!$D$7)/12</f>
        <v>0</v>
      </c>
      <c r="T268" s="93">
        <f>MIN(N(Crédits!$E$7),R268+S268)</f>
        <v>0</v>
      </c>
      <c r="U268" s="93">
        <f t="shared" si="280"/>
        <v>0</v>
      </c>
      <c r="V268" s="94">
        <f>IF(Crédits!$K$7="",0,MAX(0,MIN(U268,Plan!$L$270-(IF(Crédits!$K$5="",0,IF(Crédits!$K$5&lt;Crédits!$K$7,E268,0))+IF(Crédits!$K$6="",0,IF(Crédits!$K$6&lt;Crédits!$K$7,M268,0))+IF(Crédits!$K$8="",0,IF(Crédits!$K$8&lt;Crédits!$K$7,AC268,0))+IF(Crédits!$K$9="",0,IF(Crédits!$K$9&lt;Crédits!$K$7,AK268,0))+IF(Crédits!$K$10="",0,IF(Crédits!$K$10&lt;Crédits!$K$7,AS268,0))))))</f>
        <v>0</v>
      </c>
      <c r="W268" s="95">
        <f t="shared" si="281"/>
        <v>0</v>
      </c>
      <c r="X268" s="88">
        <f>ROUND(X267+Y268-MIN(N(Crédits!$E$7),X267+Y268),2)</f>
        <v>0</v>
      </c>
      <c r="Y268" s="89">
        <f>X267*N(Crédits!$D$7)/12</f>
        <v>0</v>
      </c>
      <c r="Z268" s="96">
        <f t="shared" si="295"/>
        <v>0</v>
      </c>
      <c r="AA268" s="96">
        <f>Z268*N(Crédits!$D$8)/12</f>
        <v>0</v>
      </c>
      <c r="AB268" s="96">
        <f>MIN(N(Crédits!$E$8),Z268+AA268)</f>
        <v>0</v>
      </c>
      <c r="AC268" s="96">
        <f t="shared" si="282"/>
        <v>0</v>
      </c>
      <c r="AD268" s="97">
        <f>IF(Crédits!$K$8="",0,MAX(0,MIN(AC268,Plan!$L$270-(IF(Crédits!$K$5="",0,IF(Crédits!$K$5&lt;Crédits!$K$8,E268,0))+IF(Crédits!$K$6="",0,IF(Crédits!$K$6&lt;Crédits!$K$8,M268,0))+IF(Crédits!$K$7="",0,IF(Crédits!$K$7&lt;Crédits!$K$8,U268,0))+IF(Crédits!$K$9="",0,IF(Crédits!$K$9&lt;Crédits!$K$8,AK268,0))+IF(Crédits!$K$10="",0,IF(Crédits!$K$10&lt;Crédits!$K$8,AS268,0))))))</f>
        <v>0</v>
      </c>
      <c r="AE268" s="98">
        <f t="shared" si="283"/>
        <v>0</v>
      </c>
      <c r="AF268" s="88">
        <f>ROUND(AF267+AG268-MIN(N(Crédits!$E$8),AF267+AG268),2)</f>
        <v>0</v>
      </c>
      <c r="AG268" s="89">
        <f>AF267*N(Crédits!$D$8)/12</f>
        <v>0</v>
      </c>
      <c r="AH268" s="99">
        <f t="shared" si="296"/>
        <v>0</v>
      </c>
      <c r="AI268" s="99">
        <f>AH268*N(Crédits!$D$9)/12</f>
        <v>0</v>
      </c>
      <c r="AJ268" s="99">
        <f>MIN(N(Crédits!$E$9),AH268+AI268)</f>
        <v>0</v>
      </c>
      <c r="AK268" s="99">
        <f t="shared" si="284"/>
        <v>0</v>
      </c>
      <c r="AL268" s="100">
        <f>IF(Crédits!$K$9="",0,MAX(0,MIN(AK268,Plan!$L$270-(IF(Crédits!$K$5="",0,IF(Crédits!$K$5&lt;Crédits!$K$9,E268,0))+IF(Crédits!$K$6="",0,IF(Crédits!$K$6&lt;Crédits!$K$9,M268,0))+IF(Crédits!$K$7="",0,IF(Crédits!$K$7&lt;Crédits!$K$9,U268,0))+IF(Crédits!$K$8="",0,IF(Crédits!$K$8&lt;Crédits!$K$9,AC268,0))+IF(Crédits!$K$10="",0,IF(Crédits!$K$10&lt;Crédits!$K$9,AS268,0))))))</f>
        <v>0</v>
      </c>
      <c r="AM268" s="101">
        <f t="shared" si="285"/>
        <v>0</v>
      </c>
      <c r="AN268" s="88">
        <f>ROUND(AN267+AO268-MIN(N(Crédits!$E$9),AN267+AO268),2)</f>
        <v>0</v>
      </c>
      <c r="AO268" s="89">
        <f>AN267*N(Crédits!$D$9)/12</f>
        <v>0</v>
      </c>
      <c r="AP268" s="102">
        <f t="shared" si="297"/>
        <v>0</v>
      </c>
      <c r="AQ268" s="102">
        <f>AP268*N(Crédits!$D$10)/12</f>
        <v>0</v>
      </c>
      <c r="AR268" s="102">
        <f>MIN(N(Crédits!$E$10),AP268+AQ268)</f>
        <v>0</v>
      </c>
      <c r="AS268" s="102">
        <f t="shared" si="286"/>
        <v>0</v>
      </c>
      <c r="AT268" s="103">
        <f>IF(Crédits!$K$10="",0,MAX(0,MIN(AS268,Plan!$L$270-(IF(Crédits!$K$5="",0,IF(Crédits!$K$5&lt;Crédits!$K$10,E268,0))+IF(Crédits!$K$6="",0,IF(Crédits!$K$6&lt;Crédits!$K$10,M268,0))+IF(Crédits!$K$7="",0,IF(Crédits!$K$7&lt;Crédits!$K$10,U268,0))+IF(Crédits!$K$8="",0,IF(Crédits!$K$8&lt;Crédits!$K$10,AC268,0))+IF(Crédits!$K$9="",0,IF(Crédits!$K$9&lt;Crédits!$K$10,AK268,0))))))</f>
        <v>0</v>
      </c>
      <c r="AU268" s="104">
        <f t="shared" si="287"/>
        <v>0</v>
      </c>
      <c r="AV268" s="88">
        <f>ROUND(AV267+AW268-MIN(N(Crédits!$E$10),AV267+AW268),2)</f>
        <v>0</v>
      </c>
      <c r="AW268" s="89">
        <f>AV267*N(Crédits!$D$10)/12</f>
        <v>0</v>
      </c>
      <c r="AX268" s="105">
        <f t="shared" si="288"/>
        <v>0</v>
      </c>
      <c r="AY268" s="105">
        <f t="shared" ref="AY268:AZ268" si="307">F268+N268+V268+AD268+AL268+AT268</f>
        <v>0</v>
      </c>
      <c r="AZ268" s="105">
        <f t="shared" si="307"/>
        <v>0</v>
      </c>
      <c r="BA268" s="105">
        <f t="shared" si="290"/>
        <v>0</v>
      </c>
      <c r="BB268" s="105">
        <f t="shared" si="291"/>
        <v>0</v>
      </c>
    </row>
    <row r="269" spans="1:54" ht="15" customHeight="1" x14ac:dyDescent="0.25">
      <c r="A269" s="2">
        <v>267</v>
      </c>
      <c r="B269" s="83">
        <f t="shared" si="292"/>
        <v>0</v>
      </c>
      <c r="C269" s="83">
        <f>B269*N(Crédits!$D$5)/12</f>
        <v>0</v>
      </c>
      <c r="D269" s="83">
        <f>MIN(N(Crédits!$E$5),B269+C269)</f>
        <v>0</v>
      </c>
      <c r="E269" s="83">
        <f t="shared" si="276"/>
        <v>0</v>
      </c>
      <c r="F269" s="86">
        <f>IF(Crédits!$K$5="",0,MAX(0,MIN(E269,Plan!$L$271-(IF(Crédits!$K$6="",0,IF(Crédits!$K$6&lt;Crédits!$K$5,M269,0))+IF(Crédits!$K$7="",0,IF(Crédits!$K$7&lt;Crédits!$K$5,U269,0))+IF(Crédits!$K$8="",0,IF(Crédits!$K$8&lt;Crédits!$K$5,AC269,0))+IF(Crédits!$K$9="",0,IF(Crédits!$K$9&lt;Crédits!$K$5,AK269,0))+IF(Crédits!$K$10="",0,IF(Crédits!$K$10&lt;Crédits!$K$5,AS269,0))))))</f>
        <v>0</v>
      </c>
      <c r="G269" s="87">
        <f t="shared" si="277"/>
        <v>0</v>
      </c>
      <c r="H269" s="88">
        <f>ROUND(H268+I269-MIN(N(Crédits!$E$5),H268+I269),2)</f>
        <v>0</v>
      </c>
      <c r="I269" s="89">
        <f>H268*N(Crédits!$D$5)/12</f>
        <v>0</v>
      </c>
      <c r="J269" s="90">
        <f t="shared" si="293"/>
        <v>0</v>
      </c>
      <c r="K269" s="90">
        <f>J269*N(Crédits!$D$6)/12</f>
        <v>0</v>
      </c>
      <c r="L269" s="90">
        <f>MIN(N(Crédits!$E$6),J269+K269)</f>
        <v>0</v>
      </c>
      <c r="M269" s="90">
        <f t="shared" si="278"/>
        <v>0</v>
      </c>
      <c r="N269" s="91">
        <f>IF(Crédits!$K$6="",0,MAX(0,MIN(M269,Plan!$L$271-(IF(Crédits!$K$5="",0,IF(Crédits!$K$5&lt;Crédits!$K$6,E269,0))+IF(Crédits!$K$7="",0,IF(Crédits!$K$7&lt;Crédits!$K$6,U269,0))+IF(Crédits!$K$8="",0,IF(Crédits!$K$8&lt;Crédits!$K$6,AC269,0))+IF(Crédits!$K$9="",0,IF(Crédits!$K$9&lt;Crédits!$K$6,AK269,0))+IF(Crédits!$K$10="",0,IF(Crédits!$K$10&lt;Crédits!$K$6,AS269,0))))))</f>
        <v>0</v>
      </c>
      <c r="O269" s="92">
        <f t="shared" si="279"/>
        <v>0</v>
      </c>
      <c r="P269" s="88">
        <f>ROUND(P268+Q269-MIN(N(Crédits!$E$6),P268+Q269),2)</f>
        <v>0</v>
      </c>
      <c r="Q269" s="89">
        <f>P268*N(Crédits!$D$6)/12</f>
        <v>0</v>
      </c>
      <c r="R269" s="93">
        <f t="shared" si="294"/>
        <v>0</v>
      </c>
      <c r="S269" s="93">
        <f>R269*N(Crédits!$D$7)/12</f>
        <v>0</v>
      </c>
      <c r="T269" s="93">
        <f>MIN(N(Crédits!$E$7),R269+S269)</f>
        <v>0</v>
      </c>
      <c r="U269" s="93">
        <f t="shared" si="280"/>
        <v>0</v>
      </c>
      <c r="V269" s="94">
        <f>IF(Crédits!$K$7="",0,MAX(0,MIN(U269,Plan!$L$271-(IF(Crédits!$K$5="",0,IF(Crédits!$K$5&lt;Crédits!$K$7,E269,0))+IF(Crédits!$K$6="",0,IF(Crédits!$K$6&lt;Crédits!$K$7,M269,0))+IF(Crédits!$K$8="",0,IF(Crédits!$K$8&lt;Crédits!$K$7,AC269,0))+IF(Crédits!$K$9="",0,IF(Crédits!$K$9&lt;Crédits!$K$7,AK269,0))+IF(Crédits!$K$10="",0,IF(Crédits!$K$10&lt;Crédits!$K$7,AS269,0))))))</f>
        <v>0</v>
      </c>
      <c r="W269" s="95">
        <f t="shared" si="281"/>
        <v>0</v>
      </c>
      <c r="X269" s="88">
        <f>ROUND(X268+Y269-MIN(N(Crédits!$E$7),X268+Y269),2)</f>
        <v>0</v>
      </c>
      <c r="Y269" s="89">
        <f>X268*N(Crédits!$D$7)/12</f>
        <v>0</v>
      </c>
      <c r="Z269" s="96">
        <f t="shared" si="295"/>
        <v>0</v>
      </c>
      <c r="AA269" s="96">
        <f>Z269*N(Crédits!$D$8)/12</f>
        <v>0</v>
      </c>
      <c r="AB269" s="96">
        <f>MIN(N(Crédits!$E$8),Z269+AA269)</f>
        <v>0</v>
      </c>
      <c r="AC269" s="96">
        <f t="shared" si="282"/>
        <v>0</v>
      </c>
      <c r="AD269" s="97">
        <f>IF(Crédits!$K$8="",0,MAX(0,MIN(AC269,Plan!$L$271-(IF(Crédits!$K$5="",0,IF(Crédits!$K$5&lt;Crédits!$K$8,E269,0))+IF(Crédits!$K$6="",0,IF(Crédits!$K$6&lt;Crédits!$K$8,M269,0))+IF(Crédits!$K$7="",0,IF(Crédits!$K$7&lt;Crédits!$K$8,U269,0))+IF(Crédits!$K$9="",0,IF(Crédits!$K$9&lt;Crédits!$K$8,AK269,0))+IF(Crédits!$K$10="",0,IF(Crédits!$K$10&lt;Crédits!$K$8,AS269,0))))))</f>
        <v>0</v>
      </c>
      <c r="AE269" s="98">
        <f t="shared" si="283"/>
        <v>0</v>
      </c>
      <c r="AF269" s="88">
        <f>ROUND(AF268+AG269-MIN(N(Crédits!$E$8),AF268+AG269),2)</f>
        <v>0</v>
      </c>
      <c r="AG269" s="89">
        <f>AF268*N(Crédits!$D$8)/12</f>
        <v>0</v>
      </c>
      <c r="AH269" s="99">
        <f t="shared" si="296"/>
        <v>0</v>
      </c>
      <c r="AI269" s="99">
        <f>AH269*N(Crédits!$D$9)/12</f>
        <v>0</v>
      </c>
      <c r="AJ269" s="99">
        <f>MIN(N(Crédits!$E$9),AH269+AI269)</f>
        <v>0</v>
      </c>
      <c r="AK269" s="99">
        <f t="shared" si="284"/>
        <v>0</v>
      </c>
      <c r="AL269" s="100">
        <f>IF(Crédits!$K$9="",0,MAX(0,MIN(AK269,Plan!$L$271-(IF(Crédits!$K$5="",0,IF(Crédits!$K$5&lt;Crédits!$K$9,E269,0))+IF(Crédits!$K$6="",0,IF(Crédits!$K$6&lt;Crédits!$K$9,M269,0))+IF(Crédits!$K$7="",0,IF(Crédits!$K$7&lt;Crédits!$K$9,U269,0))+IF(Crédits!$K$8="",0,IF(Crédits!$K$8&lt;Crédits!$K$9,AC269,0))+IF(Crédits!$K$10="",0,IF(Crédits!$K$10&lt;Crédits!$K$9,AS269,0))))))</f>
        <v>0</v>
      </c>
      <c r="AM269" s="101">
        <f t="shared" si="285"/>
        <v>0</v>
      </c>
      <c r="AN269" s="88">
        <f>ROUND(AN268+AO269-MIN(N(Crédits!$E$9),AN268+AO269),2)</f>
        <v>0</v>
      </c>
      <c r="AO269" s="89">
        <f>AN268*N(Crédits!$D$9)/12</f>
        <v>0</v>
      </c>
      <c r="AP269" s="102">
        <f t="shared" si="297"/>
        <v>0</v>
      </c>
      <c r="AQ269" s="102">
        <f>AP269*N(Crédits!$D$10)/12</f>
        <v>0</v>
      </c>
      <c r="AR269" s="102">
        <f>MIN(N(Crédits!$E$10),AP269+AQ269)</f>
        <v>0</v>
      </c>
      <c r="AS269" s="102">
        <f t="shared" si="286"/>
        <v>0</v>
      </c>
      <c r="AT269" s="103">
        <f>IF(Crédits!$K$10="",0,MAX(0,MIN(AS269,Plan!$L$271-(IF(Crédits!$K$5="",0,IF(Crédits!$K$5&lt;Crédits!$K$10,E269,0))+IF(Crédits!$K$6="",0,IF(Crédits!$K$6&lt;Crédits!$K$10,M269,0))+IF(Crédits!$K$7="",0,IF(Crédits!$K$7&lt;Crédits!$K$10,U269,0))+IF(Crédits!$K$8="",0,IF(Crédits!$K$8&lt;Crédits!$K$10,AC269,0))+IF(Crédits!$K$9="",0,IF(Crédits!$K$9&lt;Crédits!$K$10,AK269,0))))))</f>
        <v>0</v>
      </c>
      <c r="AU269" s="104">
        <f t="shared" si="287"/>
        <v>0</v>
      </c>
      <c r="AV269" s="88">
        <f>ROUND(AV268+AW269-MIN(N(Crédits!$E$10),AV268+AW269),2)</f>
        <v>0</v>
      </c>
      <c r="AW269" s="89">
        <f>AV268*N(Crédits!$D$10)/12</f>
        <v>0</v>
      </c>
      <c r="AX269" s="105">
        <f t="shared" si="288"/>
        <v>0</v>
      </c>
      <c r="AY269" s="105">
        <f t="shared" ref="AY269:AZ269" si="308">F269+N269+V269+AD269+AL269+AT269</f>
        <v>0</v>
      </c>
      <c r="AZ269" s="105">
        <f t="shared" si="308"/>
        <v>0</v>
      </c>
      <c r="BA269" s="105">
        <f t="shared" si="290"/>
        <v>0</v>
      </c>
      <c r="BB269" s="105">
        <f t="shared" si="291"/>
        <v>0</v>
      </c>
    </row>
    <row r="270" spans="1:54" ht="15" customHeight="1" x14ac:dyDescent="0.25">
      <c r="A270" s="2">
        <v>268</v>
      </c>
      <c r="B270" s="83">
        <f t="shared" si="292"/>
        <v>0</v>
      </c>
      <c r="C270" s="83">
        <f>B270*N(Crédits!$D$5)/12</f>
        <v>0</v>
      </c>
      <c r="D270" s="83">
        <f>MIN(N(Crédits!$E$5),B270+C270)</f>
        <v>0</v>
      </c>
      <c r="E270" s="83">
        <f t="shared" si="276"/>
        <v>0</v>
      </c>
      <c r="F270" s="86">
        <f>IF(Crédits!$K$5="",0,MAX(0,MIN(E270,Plan!$L$272-(IF(Crédits!$K$6="",0,IF(Crédits!$K$6&lt;Crédits!$K$5,M270,0))+IF(Crédits!$K$7="",0,IF(Crédits!$K$7&lt;Crédits!$K$5,U270,0))+IF(Crédits!$K$8="",0,IF(Crédits!$K$8&lt;Crédits!$K$5,AC270,0))+IF(Crédits!$K$9="",0,IF(Crédits!$K$9&lt;Crédits!$K$5,AK270,0))+IF(Crédits!$K$10="",0,IF(Crédits!$K$10&lt;Crédits!$K$5,AS270,0))))))</f>
        <v>0</v>
      </c>
      <c r="G270" s="87">
        <f t="shared" si="277"/>
        <v>0</v>
      </c>
      <c r="H270" s="88">
        <f>ROUND(H269+I270-MIN(N(Crédits!$E$5),H269+I270),2)</f>
        <v>0</v>
      </c>
      <c r="I270" s="89">
        <f>H269*N(Crédits!$D$5)/12</f>
        <v>0</v>
      </c>
      <c r="J270" s="90">
        <f t="shared" si="293"/>
        <v>0</v>
      </c>
      <c r="K270" s="90">
        <f>J270*N(Crédits!$D$6)/12</f>
        <v>0</v>
      </c>
      <c r="L270" s="90">
        <f>MIN(N(Crédits!$E$6),J270+K270)</f>
        <v>0</v>
      </c>
      <c r="M270" s="90">
        <f t="shared" si="278"/>
        <v>0</v>
      </c>
      <c r="N270" s="91">
        <f>IF(Crédits!$K$6="",0,MAX(0,MIN(M270,Plan!$L$272-(IF(Crédits!$K$5="",0,IF(Crédits!$K$5&lt;Crédits!$K$6,E270,0))+IF(Crédits!$K$7="",0,IF(Crédits!$K$7&lt;Crédits!$K$6,U270,0))+IF(Crédits!$K$8="",0,IF(Crédits!$K$8&lt;Crédits!$K$6,AC270,0))+IF(Crédits!$K$9="",0,IF(Crédits!$K$9&lt;Crédits!$K$6,AK270,0))+IF(Crédits!$K$10="",0,IF(Crédits!$K$10&lt;Crédits!$K$6,AS270,0))))))</f>
        <v>0</v>
      </c>
      <c r="O270" s="92">
        <f t="shared" si="279"/>
        <v>0</v>
      </c>
      <c r="P270" s="88">
        <f>ROUND(P269+Q270-MIN(N(Crédits!$E$6),P269+Q270),2)</f>
        <v>0</v>
      </c>
      <c r="Q270" s="89">
        <f>P269*N(Crédits!$D$6)/12</f>
        <v>0</v>
      </c>
      <c r="R270" s="93">
        <f t="shared" si="294"/>
        <v>0</v>
      </c>
      <c r="S270" s="93">
        <f>R270*N(Crédits!$D$7)/12</f>
        <v>0</v>
      </c>
      <c r="T270" s="93">
        <f>MIN(N(Crédits!$E$7),R270+S270)</f>
        <v>0</v>
      </c>
      <c r="U270" s="93">
        <f t="shared" si="280"/>
        <v>0</v>
      </c>
      <c r="V270" s="94">
        <f>IF(Crédits!$K$7="",0,MAX(0,MIN(U270,Plan!$L$272-(IF(Crédits!$K$5="",0,IF(Crédits!$K$5&lt;Crédits!$K$7,E270,0))+IF(Crédits!$K$6="",0,IF(Crédits!$K$6&lt;Crédits!$K$7,M270,0))+IF(Crédits!$K$8="",0,IF(Crédits!$K$8&lt;Crédits!$K$7,AC270,0))+IF(Crédits!$K$9="",0,IF(Crédits!$K$9&lt;Crédits!$K$7,AK270,0))+IF(Crédits!$K$10="",0,IF(Crédits!$K$10&lt;Crédits!$K$7,AS270,0))))))</f>
        <v>0</v>
      </c>
      <c r="W270" s="95">
        <f t="shared" si="281"/>
        <v>0</v>
      </c>
      <c r="X270" s="88">
        <f>ROUND(X269+Y270-MIN(N(Crédits!$E$7),X269+Y270),2)</f>
        <v>0</v>
      </c>
      <c r="Y270" s="89">
        <f>X269*N(Crédits!$D$7)/12</f>
        <v>0</v>
      </c>
      <c r="Z270" s="96">
        <f t="shared" si="295"/>
        <v>0</v>
      </c>
      <c r="AA270" s="96">
        <f>Z270*N(Crédits!$D$8)/12</f>
        <v>0</v>
      </c>
      <c r="AB270" s="96">
        <f>MIN(N(Crédits!$E$8),Z270+AA270)</f>
        <v>0</v>
      </c>
      <c r="AC270" s="96">
        <f t="shared" si="282"/>
        <v>0</v>
      </c>
      <c r="AD270" s="97">
        <f>IF(Crédits!$K$8="",0,MAX(0,MIN(AC270,Plan!$L$272-(IF(Crédits!$K$5="",0,IF(Crédits!$K$5&lt;Crédits!$K$8,E270,0))+IF(Crédits!$K$6="",0,IF(Crédits!$K$6&lt;Crédits!$K$8,M270,0))+IF(Crédits!$K$7="",0,IF(Crédits!$K$7&lt;Crédits!$K$8,U270,0))+IF(Crédits!$K$9="",0,IF(Crédits!$K$9&lt;Crédits!$K$8,AK270,0))+IF(Crédits!$K$10="",0,IF(Crédits!$K$10&lt;Crédits!$K$8,AS270,0))))))</f>
        <v>0</v>
      </c>
      <c r="AE270" s="98">
        <f t="shared" si="283"/>
        <v>0</v>
      </c>
      <c r="AF270" s="88">
        <f>ROUND(AF269+AG270-MIN(N(Crédits!$E$8),AF269+AG270),2)</f>
        <v>0</v>
      </c>
      <c r="AG270" s="89">
        <f>AF269*N(Crédits!$D$8)/12</f>
        <v>0</v>
      </c>
      <c r="AH270" s="99">
        <f t="shared" si="296"/>
        <v>0</v>
      </c>
      <c r="AI270" s="99">
        <f>AH270*N(Crédits!$D$9)/12</f>
        <v>0</v>
      </c>
      <c r="AJ270" s="99">
        <f>MIN(N(Crédits!$E$9),AH270+AI270)</f>
        <v>0</v>
      </c>
      <c r="AK270" s="99">
        <f t="shared" si="284"/>
        <v>0</v>
      </c>
      <c r="AL270" s="100">
        <f>IF(Crédits!$K$9="",0,MAX(0,MIN(AK270,Plan!$L$272-(IF(Crédits!$K$5="",0,IF(Crédits!$K$5&lt;Crédits!$K$9,E270,0))+IF(Crédits!$K$6="",0,IF(Crédits!$K$6&lt;Crédits!$K$9,M270,0))+IF(Crédits!$K$7="",0,IF(Crédits!$K$7&lt;Crédits!$K$9,U270,0))+IF(Crédits!$K$8="",0,IF(Crédits!$K$8&lt;Crédits!$K$9,AC270,0))+IF(Crédits!$K$10="",0,IF(Crédits!$K$10&lt;Crédits!$K$9,AS270,0))))))</f>
        <v>0</v>
      </c>
      <c r="AM270" s="101">
        <f t="shared" si="285"/>
        <v>0</v>
      </c>
      <c r="AN270" s="88">
        <f>ROUND(AN269+AO270-MIN(N(Crédits!$E$9),AN269+AO270),2)</f>
        <v>0</v>
      </c>
      <c r="AO270" s="89">
        <f>AN269*N(Crédits!$D$9)/12</f>
        <v>0</v>
      </c>
      <c r="AP270" s="102">
        <f t="shared" si="297"/>
        <v>0</v>
      </c>
      <c r="AQ270" s="102">
        <f>AP270*N(Crédits!$D$10)/12</f>
        <v>0</v>
      </c>
      <c r="AR270" s="102">
        <f>MIN(N(Crédits!$E$10),AP270+AQ270)</f>
        <v>0</v>
      </c>
      <c r="AS270" s="102">
        <f t="shared" si="286"/>
        <v>0</v>
      </c>
      <c r="AT270" s="103">
        <f>IF(Crédits!$K$10="",0,MAX(0,MIN(AS270,Plan!$L$272-(IF(Crédits!$K$5="",0,IF(Crédits!$K$5&lt;Crédits!$K$10,E270,0))+IF(Crédits!$K$6="",0,IF(Crédits!$K$6&lt;Crédits!$K$10,M270,0))+IF(Crédits!$K$7="",0,IF(Crédits!$K$7&lt;Crédits!$K$10,U270,0))+IF(Crédits!$K$8="",0,IF(Crédits!$K$8&lt;Crédits!$K$10,AC270,0))+IF(Crédits!$K$9="",0,IF(Crédits!$K$9&lt;Crédits!$K$10,AK270,0))))))</f>
        <v>0</v>
      </c>
      <c r="AU270" s="104">
        <f t="shared" si="287"/>
        <v>0</v>
      </c>
      <c r="AV270" s="88">
        <f>ROUND(AV269+AW270-MIN(N(Crédits!$E$10),AV269+AW270),2)</f>
        <v>0</v>
      </c>
      <c r="AW270" s="89">
        <f>AV269*N(Crédits!$D$10)/12</f>
        <v>0</v>
      </c>
      <c r="AX270" s="105">
        <f t="shared" si="288"/>
        <v>0</v>
      </c>
      <c r="AY270" s="105">
        <f t="shared" ref="AY270:AZ270" si="309">F270+N270+V270+AD270+AL270+AT270</f>
        <v>0</v>
      </c>
      <c r="AZ270" s="105">
        <f t="shared" si="309"/>
        <v>0</v>
      </c>
      <c r="BA270" s="105">
        <f t="shared" si="290"/>
        <v>0</v>
      </c>
      <c r="BB270" s="105">
        <f t="shared" si="291"/>
        <v>0</v>
      </c>
    </row>
    <row r="271" spans="1:54" ht="15" customHeight="1" x14ac:dyDescent="0.25">
      <c r="A271" s="2">
        <v>269</v>
      </c>
      <c r="B271" s="83">
        <f t="shared" si="292"/>
        <v>0</v>
      </c>
      <c r="C271" s="83">
        <f>B271*N(Crédits!$D$5)/12</f>
        <v>0</v>
      </c>
      <c r="D271" s="83">
        <f>MIN(N(Crédits!$E$5),B271+C271)</f>
        <v>0</v>
      </c>
      <c r="E271" s="83">
        <f t="shared" si="276"/>
        <v>0</v>
      </c>
      <c r="F271" s="86">
        <f>IF(Crédits!$K$5="",0,MAX(0,MIN(E271,Plan!$L$273-(IF(Crédits!$K$6="",0,IF(Crédits!$K$6&lt;Crédits!$K$5,M271,0))+IF(Crédits!$K$7="",0,IF(Crédits!$K$7&lt;Crédits!$K$5,U271,0))+IF(Crédits!$K$8="",0,IF(Crédits!$K$8&lt;Crédits!$K$5,AC271,0))+IF(Crédits!$K$9="",0,IF(Crédits!$K$9&lt;Crédits!$K$5,AK271,0))+IF(Crédits!$K$10="",0,IF(Crédits!$K$10&lt;Crédits!$K$5,AS271,0))))))</f>
        <v>0</v>
      </c>
      <c r="G271" s="87">
        <f t="shared" si="277"/>
        <v>0</v>
      </c>
      <c r="H271" s="88">
        <f>ROUND(H270+I271-MIN(N(Crédits!$E$5),H270+I271),2)</f>
        <v>0</v>
      </c>
      <c r="I271" s="89">
        <f>H270*N(Crédits!$D$5)/12</f>
        <v>0</v>
      </c>
      <c r="J271" s="90">
        <f t="shared" si="293"/>
        <v>0</v>
      </c>
      <c r="K271" s="90">
        <f>J271*N(Crédits!$D$6)/12</f>
        <v>0</v>
      </c>
      <c r="L271" s="90">
        <f>MIN(N(Crédits!$E$6),J271+K271)</f>
        <v>0</v>
      </c>
      <c r="M271" s="90">
        <f t="shared" si="278"/>
        <v>0</v>
      </c>
      <c r="N271" s="91">
        <f>IF(Crédits!$K$6="",0,MAX(0,MIN(M271,Plan!$L$273-(IF(Crédits!$K$5="",0,IF(Crédits!$K$5&lt;Crédits!$K$6,E271,0))+IF(Crédits!$K$7="",0,IF(Crédits!$K$7&lt;Crédits!$K$6,U271,0))+IF(Crédits!$K$8="",0,IF(Crédits!$K$8&lt;Crédits!$K$6,AC271,0))+IF(Crédits!$K$9="",0,IF(Crédits!$K$9&lt;Crédits!$K$6,AK271,0))+IF(Crédits!$K$10="",0,IF(Crédits!$K$10&lt;Crédits!$K$6,AS271,0))))))</f>
        <v>0</v>
      </c>
      <c r="O271" s="92">
        <f t="shared" si="279"/>
        <v>0</v>
      </c>
      <c r="P271" s="88">
        <f>ROUND(P270+Q271-MIN(N(Crédits!$E$6),P270+Q271),2)</f>
        <v>0</v>
      </c>
      <c r="Q271" s="89">
        <f>P270*N(Crédits!$D$6)/12</f>
        <v>0</v>
      </c>
      <c r="R271" s="93">
        <f t="shared" si="294"/>
        <v>0</v>
      </c>
      <c r="S271" s="93">
        <f>R271*N(Crédits!$D$7)/12</f>
        <v>0</v>
      </c>
      <c r="T271" s="93">
        <f>MIN(N(Crédits!$E$7),R271+S271)</f>
        <v>0</v>
      </c>
      <c r="U271" s="93">
        <f t="shared" si="280"/>
        <v>0</v>
      </c>
      <c r="V271" s="94">
        <f>IF(Crédits!$K$7="",0,MAX(0,MIN(U271,Plan!$L$273-(IF(Crédits!$K$5="",0,IF(Crédits!$K$5&lt;Crédits!$K$7,E271,0))+IF(Crédits!$K$6="",0,IF(Crédits!$K$6&lt;Crédits!$K$7,M271,0))+IF(Crédits!$K$8="",0,IF(Crédits!$K$8&lt;Crédits!$K$7,AC271,0))+IF(Crédits!$K$9="",0,IF(Crédits!$K$9&lt;Crédits!$K$7,AK271,0))+IF(Crédits!$K$10="",0,IF(Crédits!$K$10&lt;Crédits!$K$7,AS271,0))))))</f>
        <v>0</v>
      </c>
      <c r="W271" s="95">
        <f t="shared" si="281"/>
        <v>0</v>
      </c>
      <c r="X271" s="88">
        <f>ROUND(X270+Y271-MIN(N(Crédits!$E$7),X270+Y271),2)</f>
        <v>0</v>
      </c>
      <c r="Y271" s="89">
        <f>X270*N(Crédits!$D$7)/12</f>
        <v>0</v>
      </c>
      <c r="Z271" s="96">
        <f t="shared" si="295"/>
        <v>0</v>
      </c>
      <c r="AA271" s="96">
        <f>Z271*N(Crédits!$D$8)/12</f>
        <v>0</v>
      </c>
      <c r="AB271" s="96">
        <f>MIN(N(Crédits!$E$8),Z271+AA271)</f>
        <v>0</v>
      </c>
      <c r="AC271" s="96">
        <f t="shared" si="282"/>
        <v>0</v>
      </c>
      <c r="AD271" s="97">
        <f>IF(Crédits!$K$8="",0,MAX(0,MIN(AC271,Plan!$L$273-(IF(Crédits!$K$5="",0,IF(Crédits!$K$5&lt;Crédits!$K$8,E271,0))+IF(Crédits!$K$6="",0,IF(Crédits!$K$6&lt;Crédits!$K$8,M271,0))+IF(Crédits!$K$7="",0,IF(Crédits!$K$7&lt;Crédits!$K$8,U271,0))+IF(Crédits!$K$9="",0,IF(Crédits!$K$9&lt;Crédits!$K$8,AK271,0))+IF(Crédits!$K$10="",0,IF(Crédits!$K$10&lt;Crédits!$K$8,AS271,0))))))</f>
        <v>0</v>
      </c>
      <c r="AE271" s="98">
        <f t="shared" si="283"/>
        <v>0</v>
      </c>
      <c r="AF271" s="88">
        <f>ROUND(AF270+AG271-MIN(N(Crédits!$E$8),AF270+AG271),2)</f>
        <v>0</v>
      </c>
      <c r="AG271" s="89">
        <f>AF270*N(Crédits!$D$8)/12</f>
        <v>0</v>
      </c>
      <c r="AH271" s="99">
        <f t="shared" si="296"/>
        <v>0</v>
      </c>
      <c r="AI271" s="99">
        <f>AH271*N(Crédits!$D$9)/12</f>
        <v>0</v>
      </c>
      <c r="AJ271" s="99">
        <f>MIN(N(Crédits!$E$9),AH271+AI271)</f>
        <v>0</v>
      </c>
      <c r="AK271" s="99">
        <f t="shared" si="284"/>
        <v>0</v>
      </c>
      <c r="AL271" s="100">
        <f>IF(Crédits!$K$9="",0,MAX(0,MIN(AK271,Plan!$L$273-(IF(Crédits!$K$5="",0,IF(Crédits!$K$5&lt;Crédits!$K$9,E271,0))+IF(Crédits!$K$6="",0,IF(Crédits!$K$6&lt;Crédits!$K$9,M271,0))+IF(Crédits!$K$7="",0,IF(Crédits!$K$7&lt;Crédits!$K$9,U271,0))+IF(Crédits!$K$8="",0,IF(Crédits!$K$8&lt;Crédits!$K$9,AC271,0))+IF(Crédits!$K$10="",0,IF(Crédits!$K$10&lt;Crédits!$K$9,AS271,0))))))</f>
        <v>0</v>
      </c>
      <c r="AM271" s="101">
        <f t="shared" si="285"/>
        <v>0</v>
      </c>
      <c r="AN271" s="88">
        <f>ROUND(AN270+AO271-MIN(N(Crédits!$E$9),AN270+AO271),2)</f>
        <v>0</v>
      </c>
      <c r="AO271" s="89">
        <f>AN270*N(Crédits!$D$9)/12</f>
        <v>0</v>
      </c>
      <c r="AP271" s="102">
        <f t="shared" si="297"/>
        <v>0</v>
      </c>
      <c r="AQ271" s="102">
        <f>AP271*N(Crédits!$D$10)/12</f>
        <v>0</v>
      </c>
      <c r="AR271" s="102">
        <f>MIN(N(Crédits!$E$10),AP271+AQ271)</f>
        <v>0</v>
      </c>
      <c r="AS271" s="102">
        <f t="shared" si="286"/>
        <v>0</v>
      </c>
      <c r="AT271" s="103">
        <f>IF(Crédits!$K$10="",0,MAX(0,MIN(AS271,Plan!$L$273-(IF(Crédits!$K$5="",0,IF(Crédits!$K$5&lt;Crédits!$K$10,E271,0))+IF(Crédits!$K$6="",0,IF(Crédits!$K$6&lt;Crédits!$K$10,M271,0))+IF(Crédits!$K$7="",0,IF(Crédits!$K$7&lt;Crédits!$K$10,U271,0))+IF(Crédits!$K$8="",0,IF(Crédits!$K$8&lt;Crédits!$K$10,AC271,0))+IF(Crédits!$K$9="",0,IF(Crédits!$K$9&lt;Crédits!$K$10,AK271,0))))))</f>
        <v>0</v>
      </c>
      <c r="AU271" s="104">
        <f t="shared" si="287"/>
        <v>0</v>
      </c>
      <c r="AV271" s="88">
        <f>ROUND(AV270+AW271-MIN(N(Crédits!$E$10),AV270+AW271),2)</f>
        <v>0</v>
      </c>
      <c r="AW271" s="89">
        <f>AV270*N(Crédits!$D$10)/12</f>
        <v>0</v>
      </c>
      <c r="AX271" s="105">
        <f t="shared" si="288"/>
        <v>0</v>
      </c>
      <c r="AY271" s="105">
        <f t="shared" ref="AY271:AZ271" si="310">F271+N271+V271+AD271+AL271+AT271</f>
        <v>0</v>
      </c>
      <c r="AZ271" s="105">
        <f t="shared" si="310"/>
        <v>0</v>
      </c>
      <c r="BA271" s="105">
        <f t="shared" si="290"/>
        <v>0</v>
      </c>
      <c r="BB271" s="105">
        <f t="shared" si="291"/>
        <v>0</v>
      </c>
    </row>
    <row r="272" spans="1:54" ht="15" customHeight="1" x14ac:dyDescent="0.25">
      <c r="A272" s="2">
        <v>270</v>
      </c>
      <c r="B272" s="83">
        <f t="shared" si="292"/>
        <v>0</v>
      </c>
      <c r="C272" s="83">
        <f>B272*N(Crédits!$D$5)/12</f>
        <v>0</v>
      </c>
      <c r="D272" s="83">
        <f>MIN(N(Crédits!$E$5),B272+C272)</f>
        <v>0</v>
      </c>
      <c r="E272" s="83">
        <f t="shared" si="276"/>
        <v>0</v>
      </c>
      <c r="F272" s="86">
        <f>IF(Crédits!$K$5="",0,MAX(0,MIN(E272,Plan!$L$274-(IF(Crédits!$K$6="",0,IF(Crédits!$K$6&lt;Crédits!$K$5,M272,0))+IF(Crédits!$K$7="",0,IF(Crédits!$K$7&lt;Crédits!$K$5,U272,0))+IF(Crédits!$K$8="",0,IF(Crédits!$K$8&lt;Crédits!$K$5,AC272,0))+IF(Crédits!$K$9="",0,IF(Crédits!$K$9&lt;Crédits!$K$5,AK272,0))+IF(Crédits!$K$10="",0,IF(Crédits!$K$10&lt;Crédits!$K$5,AS272,0))))))</f>
        <v>0</v>
      </c>
      <c r="G272" s="87">
        <f t="shared" si="277"/>
        <v>0</v>
      </c>
      <c r="H272" s="88">
        <f>ROUND(H271+I272-MIN(N(Crédits!$E$5),H271+I272),2)</f>
        <v>0</v>
      </c>
      <c r="I272" s="89">
        <f>H271*N(Crédits!$D$5)/12</f>
        <v>0</v>
      </c>
      <c r="J272" s="90">
        <f t="shared" si="293"/>
        <v>0</v>
      </c>
      <c r="K272" s="90">
        <f>J272*N(Crédits!$D$6)/12</f>
        <v>0</v>
      </c>
      <c r="L272" s="90">
        <f>MIN(N(Crédits!$E$6),J272+K272)</f>
        <v>0</v>
      </c>
      <c r="M272" s="90">
        <f t="shared" si="278"/>
        <v>0</v>
      </c>
      <c r="N272" s="91">
        <f>IF(Crédits!$K$6="",0,MAX(0,MIN(M272,Plan!$L$274-(IF(Crédits!$K$5="",0,IF(Crédits!$K$5&lt;Crédits!$K$6,E272,0))+IF(Crédits!$K$7="",0,IF(Crédits!$K$7&lt;Crédits!$K$6,U272,0))+IF(Crédits!$K$8="",0,IF(Crédits!$K$8&lt;Crédits!$K$6,AC272,0))+IF(Crédits!$K$9="",0,IF(Crédits!$K$9&lt;Crédits!$K$6,AK272,0))+IF(Crédits!$K$10="",0,IF(Crédits!$K$10&lt;Crédits!$K$6,AS272,0))))))</f>
        <v>0</v>
      </c>
      <c r="O272" s="92">
        <f t="shared" si="279"/>
        <v>0</v>
      </c>
      <c r="P272" s="88">
        <f>ROUND(P271+Q272-MIN(N(Crédits!$E$6),P271+Q272),2)</f>
        <v>0</v>
      </c>
      <c r="Q272" s="89">
        <f>P271*N(Crédits!$D$6)/12</f>
        <v>0</v>
      </c>
      <c r="R272" s="93">
        <f t="shared" si="294"/>
        <v>0</v>
      </c>
      <c r="S272" s="93">
        <f>R272*N(Crédits!$D$7)/12</f>
        <v>0</v>
      </c>
      <c r="T272" s="93">
        <f>MIN(N(Crédits!$E$7),R272+S272)</f>
        <v>0</v>
      </c>
      <c r="U272" s="93">
        <f t="shared" si="280"/>
        <v>0</v>
      </c>
      <c r="V272" s="94">
        <f>IF(Crédits!$K$7="",0,MAX(0,MIN(U272,Plan!$L$274-(IF(Crédits!$K$5="",0,IF(Crédits!$K$5&lt;Crédits!$K$7,E272,0))+IF(Crédits!$K$6="",0,IF(Crédits!$K$6&lt;Crédits!$K$7,M272,0))+IF(Crédits!$K$8="",0,IF(Crédits!$K$8&lt;Crédits!$K$7,AC272,0))+IF(Crédits!$K$9="",0,IF(Crédits!$K$9&lt;Crédits!$K$7,AK272,0))+IF(Crédits!$K$10="",0,IF(Crédits!$K$10&lt;Crédits!$K$7,AS272,0))))))</f>
        <v>0</v>
      </c>
      <c r="W272" s="95">
        <f t="shared" si="281"/>
        <v>0</v>
      </c>
      <c r="X272" s="88">
        <f>ROUND(X271+Y272-MIN(N(Crédits!$E$7),X271+Y272),2)</f>
        <v>0</v>
      </c>
      <c r="Y272" s="89">
        <f>X271*N(Crédits!$D$7)/12</f>
        <v>0</v>
      </c>
      <c r="Z272" s="96">
        <f t="shared" si="295"/>
        <v>0</v>
      </c>
      <c r="AA272" s="96">
        <f>Z272*N(Crédits!$D$8)/12</f>
        <v>0</v>
      </c>
      <c r="AB272" s="96">
        <f>MIN(N(Crédits!$E$8),Z272+AA272)</f>
        <v>0</v>
      </c>
      <c r="AC272" s="96">
        <f t="shared" si="282"/>
        <v>0</v>
      </c>
      <c r="AD272" s="97">
        <f>IF(Crédits!$K$8="",0,MAX(0,MIN(AC272,Plan!$L$274-(IF(Crédits!$K$5="",0,IF(Crédits!$K$5&lt;Crédits!$K$8,E272,0))+IF(Crédits!$K$6="",0,IF(Crédits!$K$6&lt;Crédits!$K$8,M272,0))+IF(Crédits!$K$7="",0,IF(Crédits!$K$7&lt;Crédits!$K$8,U272,0))+IF(Crédits!$K$9="",0,IF(Crédits!$K$9&lt;Crédits!$K$8,AK272,0))+IF(Crédits!$K$10="",0,IF(Crédits!$K$10&lt;Crédits!$K$8,AS272,0))))))</f>
        <v>0</v>
      </c>
      <c r="AE272" s="98">
        <f t="shared" si="283"/>
        <v>0</v>
      </c>
      <c r="AF272" s="88">
        <f>ROUND(AF271+AG272-MIN(N(Crédits!$E$8),AF271+AG272),2)</f>
        <v>0</v>
      </c>
      <c r="AG272" s="89">
        <f>AF271*N(Crédits!$D$8)/12</f>
        <v>0</v>
      </c>
      <c r="AH272" s="99">
        <f t="shared" si="296"/>
        <v>0</v>
      </c>
      <c r="AI272" s="99">
        <f>AH272*N(Crédits!$D$9)/12</f>
        <v>0</v>
      </c>
      <c r="AJ272" s="99">
        <f>MIN(N(Crédits!$E$9),AH272+AI272)</f>
        <v>0</v>
      </c>
      <c r="AK272" s="99">
        <f t="shared" si="284"/>
        <v>0</v>
      </c>
      <c r="AL272" s="100">
        <f>IF(Crédits!$K$9="",0,MAX(0,MIN(AK272,Plan!$L$274-(IF(Crédits!$K$5="",0,IF(Crédits!$K$5&lt;Crédits!$K$9,E272,0))+IF(Crédits!$K$6="",0,IF(Crédits!$K$6&lt;Crédits!$K$9,M272,0))+IF(Crédits!$K$7="",0,IF(Crédits!$K$7&lt;Crédits!$K$9,U272,0))+IF(Crédits!$K$8="",0,IF(Crédits!$K$8&lt;Crédits!$K$9,AC272,0))+IF(Crédits!$K$10="",0,IF(Crédits!$K$10&lt;Crédits!$K$9,AS272,0))))))</f>
        <v>0</v>
      </c>
      <c r="AM272" s="101">
        <f t="shared" si="285"/>
        <v>0</v>
      </c>
      <c r="AN272" s="88">
        <f>ROUND(AN271+AO272-MIN(N(Crédits!$E$9),AN271+AO272),2)</f>
        <v>0</v>
      </c>
      <c r="AO272" s="89">
        <f>AN271*N(Crédits!$D$9)/12</f>
        <v>0</v>
      </c>
      <c r="AP272" s="102">
        <f t="shared" si="297"/>
        <v>0</v>
      </c>
      <c r="AQ272" s="102">
        <f>AP272*N(Crédits!$D$10)/12</f>
        <v>0</v>
      </c>
      <c r="AR272" s="102">
        <f>MIN(N(Crédits!$E$10),AP272+AQ272)</f>
        <v>0</v>
      </c>
      <c r="AS272" s="102">
        <f t="shared" si="286"/>
        <v>0</v>
      </c>
      <c r="AT272" s="103">
        <f>IF(Crédits!$K$10="",0,MAX(0,MIN(AS272,Plan!$L$274-(IF(Crédits!$K$5="",0,IF(Crédits!$K$5&lt;Crédits!$K$10,E272,0))+IF(Crédits!$K$6="",0,IF(Crédits!$K$6&lt;Crédits!$K$10,M272,0))+IF(Crédits!$K$7="",0,IF(Crédits!$K$7&lt;Crédits!$K$10,U272,0))+IF(Crédits!$K$8="",0,IF(Crédits!$K$8&lt;Crédits!$K$10,AC272,0))+IF(Crédits!$K$9="",0,IF(Crédits!$K$9&lt;Crédits!$K$10,AK272,0))))))</f>
        <v>0</v>
      </c>
      <c r="AU272" s="104">
        <f t="shared" si="287"/>
        <v>0</v>
      </c>
      <c r="AV272" s="88">
        <f>ROUND(AV271+AW272-MIN(N(Crédits!$E$10),AV271+AW272),2)</f>
        <v>0</v>
      </c>
      <c r="AW272" s="89">
        <f>AV271*N(Crédits!$D$10)/12</f>
        <v>0</v>
      </c>
      <c r="AX272" s="105">
        <f t="shared" si="288"/>
        <v>0</v>
      </c>
      <c r="AY272" s="105">
        <f t="shared" ref="AY272:AZ272" si="311">F272+N272+V272+AD272+AL272+AT272</f>
        <v>0</v>
      </c>
      <c r="AZ272" s="105">
        <f t="shared" si="311"/>
        <v>0</v>
      </c>
      <c r="BA272" s="105">
        <f t="shared" si="290"/>
        <v>0</v>
      </c>
      <c r="BB272" s="105">
        <f t="shared" si="291"/>
        <v>0</v>
      </c>
    </row>
    <row r="273" spans="1:54" ht="15" customHeight="1" x14ac:dyDescent="0.25">
      <c r="A273" s="2">
        <v>271</v>
      </c>
      <c r="B273" s="83">
        <f t="shared" si="292"/>
        <v>0</v>
      </c>
      <c r="C273" s="83">
        <f>B273*N(Crédits!$D$5)/12</f>
        <v>0</v>
      </c>
      <c r="D273" s="83">
        <f>MIN(N(Crédits!$E$5),B273+C273)</f>
        <v>0</v>
      </c>
      <c r="E273" s="83">
        <f t="shared" si="276"/>
        <v>0</v>
      </c>
      <c r="F273" s="86">
        <f>IF(Crédits!$K$5="",0,MAX(0,MIN(E273,Plan!$L$275-(IF(Crédits!$K$6="",0,IF(Crédits!$K$6&lt;Crédits!$K$5,M273,0))+IF(Crédits!$K$7="",0,IF(Crédits!$K$7&lt;Crédits!$K$5,U273,0))+IF(Crédits!$K$8="",0,IF(Crédits!$K$8&lt;Crédits!$K$5,AC273,0))+IF(Crédits!$K$9="",0,IF(Crédits!$K$9&lt;Crédits!$K$5,AK273,0))+IF(Crédits!$K$10="",0,IF(Crédits!$K$10&lt;Crédits!$K$5,AS273,0))))))</f>
        <v>0</v>
      </c>
      <c r="G273" s="87">
        <f t="shared" si="277"/>
        <v>0</v>
      </c>
      <c r="H273" s="88">
        <f>ROUND(H272+I273-MIN(N(Crédits!$E$5),H272+I273),2)</f>
        <v>0</v>
      </c>
      <c r="I273" s="89">
        <f>H272*N(Crédits!$D$5)/12</f>
        <v>0</v>
      </c>
      <c r="J273" s="90">
        <f t="shared" si="293"/>
        <v>0</v>
      </c>
      <c r="K273" s="90">
        <f>J273*N(Crédits!$D$6)/12</f>
        <v>0</v>
      </c>
      <c r="L273" s="90">
        <f>MIN(N(Crédits!$E$6),J273+K273)</f>
        <v>0</v>
      </c>
      <c r="M273" s="90">
        <f t="shared" si="278"/>
        <v>0</v>
      </c>
      <c r="N273" s="91">
        <f>IF(Crédits!$K$6="",0,MAX(0,MIN(M273,Plan!$L$275-(IF(Crédits!$K$5="",0,IF(Crédits!$K$5&lt;Crédits!$K$6,E273,0))+IF(Crédits!$K$7="",0,IF(Crédits!$K$7&lt;Crédits!$K$6,U273,0))+IF(Crédits!$K$8="",0,IF(Crédits!$K$8&lt;Crédits!$K$6,AC273,0))+IF(Crédits!$K$9="",0,IF(Crédits!$K$9&lt;Crédits!$K$6,AK273,0))+IF(Crédits!$K$10="",0,IF(Crédits!$K$10&lt;Crédits!$K$6,AS273,0))))))</f>
        <v>0</v>
      </c>
      <c r="O273" s="92">
        <f t="shared" si="279"/>
        <v>0</v>
      </c>
      <c r="P273" s="88">
        <f>ROUND(P272+Q273-MIN(N(Crédits!$E$6),P272+Q273),2)</f>
        <v>0</v>
      </c>
      <c r="Q273" s="89">
        <f>P272*N(Crédits!$D$6)/12</f>
        <v>0</v>
      </c>
      <c r="R273" s="93">
        <f t="shared" si="294"/>
        <v>0</v>
      </c>
      <c r="S273" s="93">
        <f>R273*N(Crédits!$D$7)/12</f>
        <v>0</v>
      </c>
      <c r="T273" s="93">
        <f>MIN(N(Crédits!$E$7),R273+S273)</f>
        <v>0</v>
      </c>
      <c r="U273" s="93">
        <f t="shared" si="280"/>
        <v>0</v>
      </c>
      <c r="V273" s="94">
        <f>IF(Crédits!$K$7="",0,MAX(0,MIN(U273,Plan!$L$275-(IF(Crédits!$K$5="",0,IF(Crédits!$K$5&lt;Crédits!$K$7,E273,0))+IF(Crédits!$K$6="",0,IF(Crédits!$K$6&lt;Crédits!$K$7,M273,0))+IF(Crédits!$K$8="",0,IF(Crédits!$K$8&lt;Crédits!$K$7,AC273,0))+IF(Crédits!$K$9="",0,IF(Crédits!$K$9&lt;Crédits!$K$7,AK273,0))+IF(Crédits!$K$10="",0,IF(Crédits!$K$10&lt;Crédits!$K$7,AS273,0))))))</f>
        <v>0</v>
      </c>
      <c r="W273" s="95">
        <f t="shared" si="281"/>
        <v>0</v>
      </c>
      <c r="X273" s="88">
        <f>ROUND(X272+Y273-MIN(N(Crédits!$E$7),X272+Y273),2)</f>
        <v>0</v>
      </c>
      <c r="Y273" s="89">
        <f>X272*N(Crédits!$D$7)/12</f>
        <v>0</v>
      </c>
      <c r="Z273" s="96">
        <f t="shared" si="295"/>
        <v>0</v>
      </c>
      <c r="AA273" s="96">
        <f>Z273*N(Crédits!$D$8)/12</f>
        <v>0</v>
      </c>
      <c r="AB273" s="96">
        <f>MIN(N(Crédits!$E$8),Z273+AA273)</f>
        <v>0</v>
      </c>
      <c r="AC273" s="96">
        <f t="shared" si="282"/>
        <v>0</v>
      </c>
      <c r="AD273" s="97">
        <f>IF(Crédits!$K$8="",0,MAX(0,MIN(AC273,Plan!$L$275-(IF(Crédits!$K$5="",0,IF(Crédits!$K$5&lt;Crédits!$K$8,E273,0))+IF(Crédits!$K$6="",0,IF(Crédits!$K$6&lt;Crédits!$K$8,M273,0))+IF(Crédits!$K$7="",0,IF(Crédits!$K$7&lt;Crédits!$K$8,U273,0))+IF(Crédits!$K$9="",0,IF(Crédits!$K$9&lt;Crédits!$K$8,AK273,0))+IF(Crédits!$K$10="",0,IF(Crédits!$K$10&lt;Crédits!$K$8,AS273,0))))))</f>
        <v>0</v>
      </c>
      <c r="AE273" s="98">
        <f t="shared" si="283"/>
        <v>0</v>
      </c>
      <c r="AF273" s="88">
        <f>ROUND(AF272+AG273-MIN(N(Crédits!$E$8),AF272+AG273),2)</f>
        <v>0</v>
      </c>
      <c r="AG273" s="89">
        <f>AF272*N(Crédits!$D$8)/12</f>
        <v>0</v>
      </c>
      <c r="AH273" s="99">
        <f t="shared" si="296"/>
        <v>0</v>
      </c>
      <c r="AI273" s="99">
        <f>AH273*N(Crédits!$D$9)/12</f>
        <v>0</v>
      </c>
      <c r="AJ273" s="99">
        <f>MIN(N(Crédits!$E$9),AH273+AI273)</f>
        <v>0</v>
      </c>
      <c r="AK273" s="99">
        <f t="shared" si="284"/>
        <v>0</v>
      </c>
      <c r="AL273" s="100">
        <f>IF(Crédits!$K$9="",0,MAX(0,MIN(AK273,Plan!$L$275-(IF(Crédits!$K$5="",0,IF(Crédits!$K$5&lt;Crédits!$K$9,E273,0))+IF(Crédits!$K$6="",0,IF(Crédits!$K$6&lt;Crédits!$K$9,M273,0))+IF(Crédits!$K$7="",0,IF(Crédits!$K$7&lt;Crédits!$K$9,U273,0))+IF(Crédits!$K$8="",0,IF(Crédits!$K$8&lt;Crédits!$K$9,AC273,0))+IF(Crédits!$K$10="",0,IF(Crédits!$K$10&lt;Crédits!$K$9,AS273,0))))))</f>
        <v>0</v>
      </c>
      <c r="AM273" s="101">
        <f t="shared" si="285"/>
        <v>0</v>
      </c>
      <c r="AN273" s="88">
        <f>ROUND(AN272+AO273-MIN(N(Crédits!$E$9),AN272+AO273),2)</f>
        <v>0</v>
      </c>
      <c r="AO273" s="89">
        <f>AN272*N(Crédits!$D$9)/12</f>
        <v>0</v>
      </c>
      <c r="AP273" s="102">
        <f t="shared" si="297"/>
        <v>0</v>
      </c>
      <c r="AQ273" s="102">
        <f>AP273*N(Crédits!$D$10)/12</f>
        <v>0</v>
      </c>
      <c r="AR273" s="102">
        <f>MIN(N(Crédits!$E$10),AP273+AQ273)</f>
        <v>0</v>
      </c>
      <c r="AS273" s="102">
        <f t="shared" si="286"/>
        <v>0</v>
      </c>
      <c r="AT273" s="103">
        <f>IF(Crédits!$K$10="",0,MAX(0,MIN(AS273,Plan!$L$275-(IF(Crédits!$K$5="",0,IF(Crédits!$K$5&lt;Crédits!$K$10,E273,0))+IF(Crédits!$K$6="",0,IF(Crédits!$K$6&lt;Crédits!$K$10,M273,0))+IF(Crédits!$K$7="",0,IF(Crédits!$K$7&lt;Crédits!$K$10,U273,0))+IF(Crédits!$K$8="",0,IF(Crédits!$K$8&lt;Crédits!$K$10,AC273,0))+IF(Crédits!$K$9="",0,IF(Crédits!$K$9&lt;Crédits!$K$10,AK273,0))))))</f>
        <v>0</v>
      </c>
      <c r="AU273" s="104">
        <f t="shared" si="287"/>
        <v>0</v>
      </c>
      <c r="AV273" s="88">
        <f>ROUND(AV272+AW273-MIN(N(Crédits!$E$10),AV272+AW273),2)</f>
        <v>0</v>
      </c>
      <c r="AW273" s="89">
        <f>AV272*N(Crédits!$D$10)/12</f>
        <v>0</v>
      </c>
      <c r="AX273" s="105">
        <f t="shared" si="288"/>
        <v>0</v>
      </c>
      <c r="AY273" s="105">
        <f t="shared" ref="AY273:AZ273" si="312">F273+N273+V273+AD273+AL273+AT273</f>
        <v>0</v>
      </c>
      <c r="AZ273" s="105">
        <f t="shared" si="312"/>
        <v>0</v>
      </c>
      <c r="BA273" s="105">
        <f t="shared" si="290"/>
        <v>0</v>
      </c>
      <c r="BB273" s="105">
        <f t="shared" si="291"/>
        <v>0</v>
      </c>
    </row>
    <row r="274" spans="1:54" ht="15" customHeight="1" x14ac:dyDescent="0.25">
      <c r="A274" s="2">
        <v>272</v>
      </c>
      <c r="B274" s="83">
        <f t="shared" si="292"/>
        <v>0</v>
      </c>
      <c r="C274" s="83">
        <f>B274*N(Crédits!$D$5)/12</f>
        <v>0</v>
      </c>
      <c r="D274" s="83">
        <f>MIN(N(Crédits!$E$5),B274+C274)</f>
        <v>0</v>
      </c>
      <c r="E274" s="83">
        <f t="shared" si="276"/>
        <v>0</v>
      </c>
      <c r="F274" s="86">
        <f>IF(Crédits!$K$5="",0,MAX(0,MIN(E274,Plan!$L$276-(IF(Crédits!$K$6="",0,IF(Crédits!$K$6&lt;Crédits!$K$5,M274,0))+IF(Crédits!$K$7="",0,IF(Crédits!$K$7&lt;Crédits!$K$5,U274,0))+IF(Crédits!$K$8="",0,IF(Crédits!$K$8&lt;Crédits!$K$5,AC274,0))+IF(Crédits!$K$9="",0,IF(Crédits!$K$9&lt;Crédits!$K$5,AK274,0))+IF(Crédits!$K$10="",0,IF(Crédits!$K$10&lt;Crédits!$K$5,AS274,0))))))</f>
        <v>0</v>
      </c>
      <c r="G274" s="87">
        <f t="shared" si="277"/>
        <v>0</v>
      </c>
      <c r="H274" s="88">
        <f>ROUND(H273+I274-MIN(N(Crédits!$E$5),H273+I274),2)</f>
        <v>0</v>
      </c>
      <c r="I274" s="89">
        <f>H273*N(Crédits!$D$5)/12</f>
        <v>0</v>
      </c>
      <c r="J274" s="90">
        <f t="shared" si="293"/>
        <v>0</v>
      </c>
      <c r="K274" s="90">
        <f>J274*N(Crédits!$D$6)/12</f>
        <v>0</v>
      </c>
      <c r="L274" s="90">
        <f>MIN(N(Crédits!$E$6),J274+K274)</f>
        <v>0</v>
      </c>
      <c r="M274" s="90">
        <f t="shared" si="278"/>
        <v>0</v>
      </c>
      <c r="N274" s="91">
        <f>IF(Crédits!$K$6="",0,MAX(0,MIN(M274,Plan!$L$276-(IF(Crédits!$K$5="",0,IF(Crédits!$K$5&lt;Crédits!$K$6,E274,0))+IF(Crédits!$K$7="",0,IF(Crédits!$K$7&lt;Crédits!$K$6,U274,0))+IF(Crédits!$K$8="",0,IF(Crédits!$K$8&lt;Crédits!$K$6,AC274,0))+IF(Crédits!$K$9="",0,IF(Crédits!$K$9&lt;Crédits!$K$6,AK274,0))+IF(Crédits!$K$10="",0,IF(Crédits!$K$10&lt;Crédits!$K$6,AS274,0))))))</f>
        <v>0</v>
      </c>
      <c r="O274" s="92">
        <f t="shared" si="279"/>
        <v>0</v>
      </c>
      <c r="P274" s="88">
        <f>ROUND(P273+Q274-MIN(N(Crédits!$E$6),P273+Q274),2)</f>
        <v>0</v>
      </c>
      <c r="Q274" s="89">
        <f>P273*N(Crédits!$D$6)/12</f>
        <v>0</v>
      </c>
      <c r="R274" s="93">
        <f t="shared" si="294"/>
        <v>0</v>
      </c>
      <c r="S274" s="93">
        <f>R274*N(Crédits!$D$7)/12</f>
        <v>0</v>
      </c>
      <c r="T274" s="93">
        <f>MIN(N(Crédits!$E$7),R274+S274)</f>
        <v>0</v>
      </c>
      <c r="U274" s="93">
        <f t="shared" si="280"/>
        <v>0</v>
      </c>
      <c r="V274" s="94">
        <f>IF(Crédits!$K$7="",0,MAX(0,MIN(U274,Plan!$L$276-(IF(Crédits!$K$5="",0,IF(Crédits!$K$5&lt;Crédits!$K$7,E274,0))+IF(Crédits!$K$6="",0,IF(Crédits!$K$6&lt;Crédits!$K$7,M274,0))+IF(Crédits!$K$8="",0,IF(Crédits!$K$8&lt;Crédits!$K$7,AC274,0))+IF(Crédits!$K$9="",0,IF(Crédits!$K$9&lt;Crédits!$K$7,AK274,0))+IF(Crédits!$K$10="",0,IF(Crédits!$K$10&lt;Crédits!$K$7,AS274,0))))))</f>
        <v>0</v>
      </c>
      <c r="W274" s="95">
        <f t="shared" si="281"/>
        <v>0</v>
      </c>
      <c r="X274" s="88">
        <f>ROUND(X273+Y274-MIN(N(Crédits!$E$7),X273+Y274),2)</f>
        <v>0</v>
      </c>
      <c r="Y274" s="89">
        <f>X273*N(Crédits!$D$7)/12</f>
        <v>0</v>
      </c>
      <c r="Z274" s="96">
        <f t="shared" si="295"/>
        <v>0</v>
      </c>
      <c r="AA274" s="96">
        <f>Z274*N(Crédits!$D$8)/12</f>
        <v>0</v>
      </c>
      <c r="AB274" s="96">
        <f>MIN(N(Crédits!$E$8),Z274+AA274)</f>
        <v>0</v>
      </c>
      <c r="AC274" s="96">
        <f t="shared" si="282"/>
        <v>0</v>
      </c>
      <c r="AD274" s="97">
        <f>IF(Crédits!$K$8="",0,MAX(0,MIN(AC274,Plan!$L$276-(IF(Crédits!$K$5="",0,IF(Crédits!$K$5&lt;Crédits!$K$8,E274,0))+IF(Crédits!$K$6="",0,IF(Crédits!$K$6&lt;Crédits!$K$8,M274,0))+IF(Crédits!$K$7="",0,IF(Crédits!$K$7&lt;Crédits!$K$8,U274,0))+IF(Crédits!$K$9="",0,IF(Crédits!$K$9&lt;Crédits!$K$8,AK274,0))+IF(Crédits!$K$10="",0,IF(Crédits!$K$10&lt;Crédits!$K$8,AS274,0))))))</f>
        <v>0</v>
      </c>
      <c r="AE274" s="98">
        <f t="shared" si="283"/>
        <v>0</v>
      </c>
      <c r="AF274" s="88">
        <f>ROUND(AF273+AG274-MIN(N(Crédits!$E$8),AF273+AG274),2)</f>
        <v>0</v>
      </c>
      <c r="AG274" s="89">
        <f>AF273*N(Crédits!$D$8)/12</f>
        <v>0</v>
      </c>
      <c r="AH274" s="99">
        <f t="shared" si="296"/>
        <v>0</v>
      </c>
      <c r="AI274" s="99">
        <f>AH274*N(Crédits!$D$9)/12</f>
        <v>0</v>
      </c>
      <c r="AJ274" s="99">
        <f>MIN(N(Crédits!$E$9),AH274+AI274)</f>
        <v>0</v>
      </c>
      <c r="AK274" s="99">
        <f t="shared" si="284"/>
        <v>0</v>
      </c>
      <c r="AL274" s="100">
        <f>IF(Crédits!$K$9="",0,MAX(0,MIN(AK274,Plan!$L$276-(IF(Crédits!$K$5="",0,IF(Crédits!$K$5&lt;Crédits!$K$9,E274,0))+IF(Crédits!$K$6="",0,IF(Crédits!$K$6&lt;Crédits!$K$9,M274,0))+IF(Crédits!$K$7="",0,IF(Crédits!$K$7&lt;Crédits!$K$9,U274,0))+IF(Crédits!$K$8="",0,IF(Crédits!$K$8&lt;Crédits!$K$9,AC274,0))+IF(Crédits!$K$10="",0,IF(Crédits!$K$10&lt;Crédits!$K$9,AS274,0))))))</f>
        <v>0</v>
      </c>
      <c r="AM274" s="101">
        <f t="shared" si="285"/>
        <v>0</v>
      </c>
      <c r="AN274" s="88">
        <f>ROUND(AN273+AO274-MIN(N(Crédits!$E$9),AN273+AO274),2)</f>
        <v>0</v>
      </c>
      <c r="AO274" s="89">
        <f>AN273*N(Crédits!$D$9)/12</f>
        <v>0</v>
      </c>
      <c r="AP274" s="102">
        <f t="shared" si="297"/>
        <v>0</v>
      </c>
      <c r="AQ274" s="102">
        <f>AP274*N(Crédits!$D$10)/12</f>
        <v>0</v>
      </c>
      <c r="AR274" s="102">
        <f>MIN(N(Crédits!$E$10),AP274+AQ274)</f>
        <v>0</v>
      </c>
      <c r="AS274" s="102">
        <f t="shared" si="286"/>
        <v>0</v>
      </c>
      <c r="AT274" s="103">
        <f>IF(Crédits!$K$10="",0,MAX(0,MIN(AS274,Plan!$L$276-(IF(Crédits!$K$5="",0,IF(Crédits!$K$5&lt;Crédits!$K$10,E274,0))+IF(Crédits!$K$6="",0,IF(Crédits!$K$6&lt;Crédits!$K$10,M274,0))+IF(Crédits!$K$7="",0,IF(Crédits!$K$7&lt;Crédits!$K$10,U274,0))+IF(Crédits!$K$8="",0,IF(Crédits!$K$8&lt;Crédits!$K$10,AC274,0))+IF(Crédits!$K$9="",0,IF(Crédits!$K$9&lt;Crédits!$K$10,AK274,0))))))</f>
        <v>0</v>
      </c>
      <c r="AU274" s="104">
        <f t="shared" si="287"/>
        <v>0</v>
      </c>
      <c r="AV274" s="88">
        <f>ROUND(AV273+AW274-MIN(N(Crédits!$E$10),AV273+AW274),2)</f>
        <v>0</v>
      </c>
      <c r="AW274" s="89">
        <f>AV273*N(Crédits!$D$10)/12</f>
        <v>0</v>
      </c>
      <c r="AX274" s="105">
        <f t="shared" si="288"/>
        <v>0</v>
      </c>
      <c r="AY274" s="105">
        <f t="shared" ref="AY274:AZ274" si="313">F274+N274+V274+AD274+AL274+AT274</f>
        <v>0</v>
      </c>
      <c r="AZ274" s="105">
        <f t="shared" si="313"/>
        <v>0</v>
      </c>
      <c r="BA274" s="105">
        <f t="shared" si="290"/>
        <v>0</v>
      </c>
      <c r="BB274" s="105">
        <f t="shared" si="291"/>
        <v>0</v>
      </c>
    </row>
    <row r="275" spans="1:54" ht="15" customHeight="1" x14ac:dyDescent="0.25">
      <c r="A275" s="2">
        <v>273</v>
      </c>
      <c r="B275" s="83">
        <f t="shared" si="292"/>
        <v>0</v>
      </c>
      <c r="C275" s="83">
        <f>B275*N(Crédits!$D$5)/12</f>
        <v>0</v>
      </c>
      <c r="D275" s="83">
        <f>MIN(N(Crédits!$E$5),B275+C275)</f>
        <v>0</v>
      </c>
      <c r="E275" s="83">
        <f t="shared" si="276"/>
        <v>0</v>
      </c>
      <c r="F275" s="86">
        <f>IF(Crédits!$K$5="",0,MAX(0,MIN(E275,Plan!$L$277-(IF(Crédits!$K$6="",0,IF(Crédits!$K$6&lt;Crédits!$K$5,M275,0))+IF(Crédits!$K$7="",0,IF(Crédits!$K$7&lt;Crédits!$K$5,U275,0))+IF(Crédits!$K$8="",0,IF(Crédits!$K$8&lt;Crédits!$K$5,AC275,0))+IF(Crédits!$K$9="",0,IF(Crédits!$K$9&lt;Crédits!$K$5,AK275,0))+IF(Crédits!$K$10="",0,IF(Crédits!$K$10&lt;Crédits!$K$5,AS275,0))))))</f>
        <v>0</v>
      </c>
      <c r="G275" s="87">
        <f t="shared" si="277"/>
        <v>0</v>
      </c>
      <c r="H275" s="88">
        <f>ROUND(H274+I275-MIN(N(Crédits!$E$5),H274+I275),2)</f>
        <v>0</v>
      </c>
      <c r="I275" s="89">
        <f>H274*N(Crédits!$D$5)/12</f>
        <v>0</v>
      </c>
      <c r="J275" s="90">
        <f t="shared" si="293"/>
        <v>0</v>
      </c>
      <c r="K275" s="90">
        <f>J275*N(Crédits!$D$6)/12</f>
        <v>0</v>
      </c>
      <c r="L275" s="90">
        <f>MIN(N(Crédits!$E$6),J275+K275)</f>
        <v>0</v>
      </c>
      <c r="M275" s="90">
        <f t="shared" si="278"/>
        <v>0</v>
      </c>
      <c r="N275" s="91">
        <f>IF(Crédits!$K$6="",0,MAX(0,MIN(M275,Plan!$L$277-(IF(Crédits!$K$5="",0,IF(Crédits!$K$5&lt;Crédits!$K$6,E275,0))+IF(Crédits!$K$7="",0,IF(Crédits!$K$7&lt;Crédits!$K$6,U275,0))+IF(Crédits!$K$8="",0,IF(Crédits!$K$8&lt;Crédits!$K$6,AC275,0))+IF(Crédits!$K$9="",0,IF(Crédits!$K$9&lt;Crédits!$K$6,AK275,0))+IF(Crédits!$K$10="",0,IF(Crédits!$K$10&lt;Crédits!$K$6,AS275,0))))))</f>
        <v>0</v>
      </c>
      <c r="O275" s="92">
        <f t="shared" si="279"/>
        <v>0</v>
      </c>
      <c r="P275" s="88">
        <f>ROUND(P274+Q275-MIN(N(Crédits!$E$6),P274+Q275),2)</f>
        <v>0</v>
      </c>
      <c r="Q275" s="89">
        <f>P274*N(Crédits!$D$6)/12</f>
        <v>0</v>
      </c>
      <c r="R275" s="93">
        <f t="shared" si="294"/>
        <v>0</v>
      </c>
      <c r="S275" s="93">
        <f>R275*N(Crédits!$D$7)/12</f>
        <v>0</v>
      </c>
      <c r="T275" s="93">
        <f>MIN(N(Crédits!$E$7),R275+S275)</f>
        <v>0</v>
      </c>
      <c r="U275" s="93">
        <f t="shared" si="280"/>
        <v>0</v>
      </c>
      <c r="V275" s="94">
        <f>IF(Crédits!$K$7="",0,MAX(0,MIN(U275,Plan!$L$277-(IF(Crédits!$K$5="",0,IF(Crédits!$K$5&lt;Crédits!$K$7,E275,0))+IF(Crédits!$K$6="",0,IF(Crédits!$K$6&lt;Crédits!$K$7,M275,0))+IF(Crédits!$K$8="",0,IF(Crédits!$K$8&lt;Crédits!$K$7,AC275,0))+IF(Crédits!$K$9="",0,IF(Crédits!$K$9&lt;Crédits!$K$7,AK275,0))+IF(Crédits!$K$10="",0,IF(Crédits!$K$10&lt;Crédits!$K$7,AS275,0))))))</f>
        <v>0</v>
      </c>
      <c r="W275" s="95">
        <f t="shared" si="281"/>
        <v>0</v>
      </c>
      <c r="X275" s="88">
        <f>ROUND(X274+Y275-MIN(N(Crédits!$E$7),X274+Y275),2)</f>
        <v>0</v>
      </c>
      <c r="Y275" s="89">
        <f>X274*N(Crédits!$D$7)/12</f>
        <v>0</v>
      </c>
      <c r="Z275" s="96">
        <f t="shared" si="295"/>
        <v>0</v>
      </c>
      <c r="AA275" s="96">
        <f>Z275*N(Crédits!$D$8)/12</f>
        <v>0</v>
      </c>
      <c r="AB275" s="96">
        <f>MIN(N(Crédits!$E$8),Z275+AA275)</f>
        <v>0</v>
      </c>
      <c r="AC275" s="96">
        <f t="shared" si="282"/>
        <v>0</v>
      </c>
      <c r="AD275" s="97">
        <f>IF(Crédits!$K$8="",0,MAX(0,MIN(AC275,Plan!$L$277-(IF(Crédits!$K$5="",0,IF(Crédits!$K$5&lt;Crédits!$K$8,E275,0))+IF(Crédits!$K$6="",0,IF(Crédits!$K$6&lt;Crédits!$K$8,M275,0))+IF(Crédits!$K$7="",0,IF(Crédits!$K$7&lt;Crédits!$K$8,U275,0))+IF(Crédits!$K$9="",0,IF(Crédits!$K$9&lt;Crédits!$K$8,AK275,0))+IF(Crédits!$K$10="",0,IF(Crédits!$K$10&lt;Crédits!$K$8,AS275,0))))))</f>
        <v>0</v>
      </c>
      <c r="AE275" s="98">
        <f t="shared" si="283"/>
        <v>0</v>
      </c>
      <c r="AF275" s="88">
        <f>ROUND(AF274+AG275-MIN(N(Crédits!$E$8),AF274+AG275),2)</f>
        <v>0</v>
      </c>
      <c r="AG275" s="89">
        <f>AF274*N(Crédits!$D$8)/12</f>
        <v>0</v>
      </c>
      <c r="AH275" s="99">
        <f t="shared" si="296"/>
        <v>0</v>
      </c>
      <c r="AI275" s="99">
        <f>AH275*N(Crédits!$D$9)/12</f>
        <v>0</v>
      </c>
      <c r="AJ275" s="99">
        <f>MIN(N(Crédits!$E$9),AH275+AI275)</f>
        <v>0</v>
      </c>
      <c r="AK275" s="99">
        <f t="shared" si="284"/>
        <v>0</v>
      </c>
      <c r="AL275" s="100">
        <f>IF(Crédits!$K$9="",0,MAX(0,MIN(AK275,Plan!$L$277-(IF(Crédits!$K$5="",0,IF(Crédits!$K$5&lt;Crédits!$K$9,E275,0))+IF(Crédits!$K$6="",0,IF(Crédits!$K$6&lt;Crédits!$K$9,M275,0))+IF(Crédits!$K$7="",0,IF(Crédits!$K$7&lt;Crédits!$K$9,U275,0))+IF(Crédits!$K$8="",0,IF(Crédits!$K$8&lt;Crédits!$K$9,AC275,0))+IF(Crédits!$K$10="",0,IF(Crédits!$K$10&lt;Crédits!$K$9,AS275,0))))))</f>
        <v>0</v>
      </c>
      <c r="AM275" s="101">
        <f t="shared" si="285"/>
        <v>0</v>
      </c>
      <c r="AN275" s="88">
        <f>ROUND(AN274+AO275-MIN(N(Crédits!$E$9),AN274+AO275),2)</f>
        <v>0</v>
      </c>
      <c r="AO275" s="89">
        <f>AN274*N(Crédits!$D$9)/12</f>
        <v>0</v>
      </c>
      <c r="AP275" s="102">
        <f t="shared" si="297"/>
        <v>0</v>
      </c>
      <c r="AQ275" s="102">
        <f>AP275*N(Crédits!$D$10)/12</f>
        <v>0</v>
      </c>
      <c r="AR275" s="102">
        <f>MIN(N(Crédits!$E$10),AP275+AQ275)</f>
        <v>0</v>
      </c>
      <c r="AS275" s="102">
        <f t="shared" si="286"/>
        <v>0</v>
      </c>
      <c r="AT275" s="103">
        <f>IF(Crédits!$K$10="",0,MAX(0,MIN(AS275,Plan!$L$277-(IF(Crédits!$K$5="",0,IF(Crédits!$K$5&lt;Crédits!$K$10,E275,0))+IF(Crédits!$K$6="",0,IF(Crédits!$K$6&lt;Crédits!$K$10,M275,0))+IF(Crédits!$K$7="",0,IF(Crédits!$K$7&lt;Crédits!$K$10,U275,0))+IF(Crédits!$K$8="",0,IF(Crédits!$K$8&lt;Crédits!$K$10,AC275,0))+IF(Crédits!$K$9="",0,IF(Crédits!$K$9&lt;Crédits!$K$10,AK275,0))))))</f>
        <v>0</v>
      </c>
      <c r="AU275" s="104">
        <f t="shared" si="287"/>
        <v>0</v>
      </c>
      <c r="AV275" s="88">
        <f>ROUND(AV274+AW275-MIN(N(Crédits!$E$10),AV274+AW275),2)</f>
        <v>0</v>
      </c>
      <c r="AW275" s="89">
        <f>AV274*N(Crédits!$D$10)/12</f>
        <v>0</v>
      </c>
      <c r="AX275" s="105">
        <f t="shared" si="288"/>
        <v>0</v>
      </c>
      <c r="AY275" s="105">
        <f t="shared" ref="AY275:AZ275" si="314">F275+N275+V275+AD275+AL275+AT275</f>
        <v>0</v>
      </c>
      <c r="AZ275" s="105">
        <f t="shared" si="314"/>
        <v>0</v>
      </c>
      <c r="BA275" s="105">
        <f t="shared" si="290"/>
        <v>0</v>
      </c>
      <c r="BB275" s="105">
        <f t="shared" si="291"/>
        <v>0</v>
      </c>
    </row>
    <row r="276" spans="1:54" ht="15" customHeight="1" x14ac:dyDescent="0.25">
      <c r="A276" s="2">
        <v>274</v>
      </c>
      <c r="B276" s="83">
        <f t="shared" si="292"/>
        <v>0</v>
      </c>
      <c r="C276" s="83">
        <f>B276*N(Crédits!$D$5)/12</f>
        <v>0</v>
      </c>
      <c r="D276" s="83">
        <f>MIN(N(Crédits!$E$5),B276+C276)</f>
        <v>0</v>
      </c>
      <c r="E276" s="83">
        <f t="shared" si="276"/>
        <v>0</v>
      </c>
      <c r="F276" s="86">
        <f>IF(Crédits!$K$5="",0,MAX(0,MIN(E276,Plan!$L$278-(IF(Crédits!$K$6="",0,IF(Crédits!$K$6&lt;Crédits!$K$5,M276,0))+IF(Crédits!$K$7="",0,IF(Crédits!$K$7&lt;Crédits!$K$5,U276,0))+IF(Crédits!$K$8="",0,IF(Crédits!$K$8&lt;Crédits!$K$5,AC276,0))+IF(Crédits!$K$9="",0,IF(Crédits!$K$9&lt;Crédits!$K$5,AK276,0))+IF(Crédits!$K$10="",0,IF(Crédits!$K$10&lt;Crédits!$K$5,AS276,0))))))</f>
        <v>0</v>
      </c>
      <c r="G276" s="87">
        <f t="shared" si="277"/>
        <v>0</v>
      </c>
      <c r="H276" s="88">
        <f>ROUND(H275+I276-MIN(N(Crédits!$E$5),H275+I276),2)</f>
        <v>0</v>
      </c>
      <c r="I276" s="89">
        <f>H275*N(Crédits!$D$5)/12</f>
        <v>0</v>
      </c>
      <c r="J276" s="90">
        <f t="shared" si="293"/>
        <v>0</v>
      </c>
      <c r="K276" s="90">
        <f>J276*N(Crédits!$D$6)/12</f>
        <v>0</v>
      </c>
      <c r="L276" s="90">
        <f>MIN(N(Crédits!$E$6),J276+K276)</f>
        <v>0</v>
      </c>
      <c r="M276" s="90">
        <f t="shared" si="278"/>
        <v>0</v>
      </c>
      <c r="N276" s="91">
        <f>IF(Crédits!$K$6="",0,MAX(0,MIN(M276,Plan!$L$278-(IF(Crédits!$K$5="",0,IF(Crédits!$K$5&lt;Crédits!$K$6,E276,0))+IF(Crédits!$K$7="",0,IF(Crédits!$K$7&lt;Crédits!$K$6,U276,0))+IF(Crédits!$K$8="",0,IF(Crédits!$K$8&lt;Crédits!$K$6,AC276,0))+IF(Crédits!$K$9="",0,IF(Crédits!$K$9&lt;Crédits!$K$6,AK276,0))+IF(Crédits!$K$10="",0,IF(Crédits!$K$10&lt;Crédits!$K$6,AS276,0))))))</f>
        <v>0</v>
      </c>
      <c r="O276" s="92">
        <f t="shared" si="279"/>
        <v>0</v>
      </c>
      <c r="P276" s="88">
        <f>ROUND(P275+Q276-MIN(N(Crédits!$E$6),P275+Q276),2)</f>
        <v>0</v>
      </c>
      <c r="Q276" s="89">
        <f>P275*N(Crédits!$D$6)/12</f>
        <v>0</v>
      </c>
      <c r="R276" s="93">
        <f t="shared" si="294"/>
        <v>0</v>
      </c>
      <c r="S276" s="93">
        <f>R276*N(Crédits!$D$7)/12</f>
        <v>0</v>
      </c>
      <c r="T276" s="93">
        <f>MIN(N(Crédits!$E$7),R276+S276)</f>
        <v>0</v>
      </c>
      <c r="U276" s="93">
        <f t="shared" si="280"/>
        <v>0</v>
      </c>
      <c r="V276" s="94">
        <f>IF(Crédits!$K$7="",0,MAX(0,MIN(U276,Plan!$L$278-(IF(Crédits!$K$5="",0,IF(Crédits!$K$5&lt;Crédits!$K$7,E276,0))+IF(Crédits!$K$6="",0,IF(Crédits!$K$6&lt;Crédits!$K$7,M276,0))+IF(Crédits!$K$8="",0,IF(Crédits!$K$8&lt;Crédits!$K$7,AC276,0))+IF(Crédits!$K$9="",0,IF(Crédits!$K$9&lt;Crédits!$K$7,AK276,0))+IF(Crédits!$K$10="",0,IF(Crédits!$K$10&lt;Crédits!$K$7,AS276,0))))))</f>
        <v>0</v>
      </c>
      <c r="W276" s="95">
        <f t="shared" si="281"/>
        <v>0</v>
      </c>
      <c r="X276" s="88">
        <f>ROUND(X275+Y276-MIN(N(Crédits!$E$7),X275+Y276),2)</f>
        <v>0</v>
      </c>
      <c r="Y276" s="89">
        <f>X275*N(Crédits!$D$7)/12</f>
        <v>0</v>
      </c>
      <c r="Z276" s="96">
        <f t="shared" si="295"/>
        <v>0</v>
      </c>
      <c r="AA276" s="96">
        <f>Z276*N(Crédits!$D$8)/12</f>
        <v>0</v>
      </c>
      <c r="AB276" s="96">
        <f>MIN(N(Crédits!$E$8),Z276+AA276)</f>
        <v>0</v>
      </c>
      <c r="AC276" s="96">
        <f t="shared" si="282"/>
        <v>0</v>
      </c>
      <c r="AD276" s="97">
        <f>IF(Crédits!$K$8="",0,MAX(0,MIN(AC276,Plan!$L$278-(IF(Crédits!$K$5="",0,IF(Crédits!$K$5&lt;Crédits!$K$8,E276,0))+IF(Crédits!$K$6="",0,IF(Crédits!$K$6&lt;Crédits!$K$8,M276,0))+IF(Crédits!$K$7="",0,IF(Crédits!$K$7&lt;Crédits!$K$8,U276,0))+IF(Crédits!$K$9="",0,IF(Crédits!$K$9&lt;Crédits!$K$8,AK276,0))+IF(Crédits!$K$10="",0,IF(Crédits!$K$10&lt;Crédits!$K$8,AS276,0))))))</f>
        <v>0</v>
      </c>
      <c r="AE276" s="98">
        <f t="shared" si="283"/>
        <v>0</v>
      </c>
      <c r="AF276" s="88">
        <f>ROUND(AF275+AG276-MIN(N(Crédits!$E$8),AF275+AG276),2)</f>
        <v>0</v>
      </c>
      <c r="AG276" s="89">
        <f>AF275*N(Crédits!$D$8)/12</f>
        <v>0</v>
      </c>
      <c r="AH276" s="99">
        <f t="shared" si="296"/>
        <v>0</v>
      </c>
      <c r="AI276" s="99">
        <f>AH276*N(Crédits!$D$9)/12</f>
        <v>0</v>
      </c>
      <c r="AJ276" s="99">
        <f>MIN(N(Crédits!$E$9),AH276+AI276)</f>
        <v>0</v>
      </c>
      <c r="AK276" s="99">
        <f t="shared" si="284"/>
        <v>0</v>
      </c>
      <c r="AL276" s="100">
        <f>IF(Crédits!$K$9="",0,MAX(0,MIN(AK276,Plan!$L$278-(IF(Crédits!$K$5="",0,IF(Crédits!$K$5&lt;Crédits!$K$9,E276,0))+IF(Crédits!$K$6="",0,IF(Crédits!$K$6&lt;Crédits!$K$9,M276,0))+IF(Crédits!$K$7="",0,IF(Crédits!$K$7&lt;Crédits!$K$9,U276,0))+IF(Crédits!$K$8="",0,IF(Crédits!$K$8&lt;Crédits!$K$9,AC276,0))+IF(Crédits!$K$10="",0,IF(Crédits!$K$10&lt;Crédits!$K$9,AS276,0))))))</f>
        <v>0</v>
      </c>
      <c r="AM276" s="101">
        <f t="shared" si="285"/>
        <v>0</v>
      </c>
      <c r="AN276" s="88">
        <f>ROUND(AN275+AO276-MIN(N(Crédits!$E$9),AN275+AO276),2)</f>
        <v>0</v>
      </c>
      <c r="AO276" s="89">
        <f>AN275*N(Crédits!$D$9)/12</f>
        <v>0</v>
      </c>
      <c r="AP276" s="102">
        <f t="shared" si="297"/>
        <v>0</v>
      </c>
      <c r="AQ276" s="102">
        <f>AP276*N(Crédits!$D$10)/12</f>
        <v>0</v>
      </c>
      <c r="AR276" s="102">
        <f>MIN(N(Crédits!$E$10),AP276+AQ276)</f>
        <v>0</v>
      </c>
      <c r="AS276" s="102">
        <f t="shared" si="286"/>
        <v>0</v>
      </c>
      <c r="AT276" s="103">
        <f>IF(Crédits!$K$10="",0,MAX(0,MIN(AS276,Plan!$L$278-(IF(Crédits!$K$5="",0,IF(Crédits!$K$5&lt;Crédits!$K$10,E276,0))+IF(Crédits!$K$6="",0,IF(Crédits!$K$6&lt;Crédits!$K$10,M276,0))+IF(Crédits!$K$7="",0,IF(Crédits!$K$7&lt;Crédits!$K$10,U276,0))+IF(Crédits!$K$8="",0,IF(Crédits!$K$8&lt;Crédits!$K$10,AC276,0))+IF(Crédits!$K$9="",0,IF(Crédits!$K$9&lt;Crédits!$K$10,AK276,0))))))</f>
        <v>0</v>
      </c>
      <c r="AU276" s="104">
        <f t="shared" si="287"/>
        <v>0</v>
      </c>
      <c r="AV276" s="88">
        <f>ROUND(AV275+AW276-MIN(N(Crédits!$E$10),AV275+AW276),2)</f>
        <v>0</v>
      </c>
      <c r="AW276" s="89">
        <f>AV275*N(Crédits!$D$10)/12</f>
        <v>0</v>
      </c>
      <c r="AX276" s="105">
        <f t="shared" si="288"/>
        <v>0</v>
      </c>
      <c r="AY276" s="105">
        <f t="shared" ref="AY276:AZ276" si="315">F276+N276+V276+AD276+AL276+AT276</f>
        <v>0</v>
      </c>
      <c r="AZ276" s="105">
        <f t="shared" si="315"/>
        <v>0</v>
      </c>
      <c r="BA276" s="105">
        <f t="shared" si="290"/>
        <v>0</v>
      </c>
      <c r="BB276" s="105">
        <f t="shared" si="291"/>
        <v>0</v>
      </c>
    </row>
    <row r="277" spans="1:54" ht="15" customHeight="1" x14ac:dyDescent="0.25">
      <c r="A277" s="2">
        <v>275</v>
      </c>
      <c r="B277" s="83">
        <f t="shared" si="292"/>
        <v>0</v>
      </c>
      <c r="C277" s="83">
        <f>B277*N(Crédits!$D$5)/12</f>
        <v>0</v>
      </c>
      <c r="D277" s="83">
        <f>MIN(N(Crédits!$E$5),B277+C277)</f>
        <v>0</v>
      </c>
      <c r="E277" s="83">
        <f t="shared" si="276"/>
        <v>0</v>
      </c>
      <c r="F277" s="86">
        <f>IF(Crédits!$K$5="",0,MAX(0,MIN(E277,Plan!$L$279-(IF(Crédits!$K$6="",0,IF(Crédits!$K$6&lt;Crédits!$K$5,M277,0))+IF(Crédits!$K$7="",0,IF(Crédits!$K$7&lt;Crédits!$K$5,U277,0))+IF(Crédits!$K$8="",0,IF(Crédits!$K$8&lt;Crédits!$K$5,AC277,0))+IF(Crédits!$K$9="",0,IF(Crédits!$K$9&lt;Crédits!$K$5,AK277,0))+IF(Crédits!$K$10="",0,IF(Crédits!$K$10&lt;Crédits!$K$5,AS277,0))))))</f>
        <v>0</v>
      </c>
      <c r="G277" s="87">
        <f t="shared" si="277"/>
        <v>0</v>
      </c>
      <c r="H277" s="88">
        <f>ROUND(H276+I277-MIN(N(Crédits!$E$5),H276+I277),2)</f>
        <v>0</v>
      </c>
      <c r="I277" s="89">
        <f>H276*N(Crédits!$D$5)/12</f>
        <v>0</v>
      </c>
      <c r="J277" s="90">
        <f t="shared" si="293"/>
        <v>0</v>
      </c>
      <c r="K277" s="90">
        <f>J277*N(Crédits!$D$6)/12</f>
        <v>0</v>
      </c>
      <c r="L277" s="90">
        <f>MIN(N(Crédits!$E$6),J277+K277)</f>
        <v>0</v>
      </c>
      <c r="M277" s="90">
        <f t="shared" si="278"/>
        <v>0</v>
      </c>
      <c r="N277" s="91">
        <f>IF(Crédits!$K$6="",0,MAX(0,MIN(M277,Plan!$L$279-(IF(Crédits!$K$5="",0,IF(Crédits!$K$5&lt;Crédits!$K$6,E277,0))+IF(Crédits!$K$7="",0,IF(Crédits!$K$7&lt;Crédits!$K$6,U277,0))+IF(Crédits!$K$8="",0,IF(Crédits!$K$8&lt;Crédits!$K$6,AC277,0))+IF(Crédits!$K$9="",0,IF(Crédits!$K$9&lt;Crédits!$K$6,AK277,0))+IF(Crédits!$K$10="",0,IF(Crédits!$K$10&lt;Crédits!$K$6,AS277,0))))))</f>
        <v>0</v>
      </c>
      <c r="O277" s="92">
        <f t="shared" si="279"/>
        <v>0</v>
      </c>
      <c r="P277" s="88">
        <f>ROUND(P276+Q277-MIN(N(Crédits!$E$6),P276+Q277),2)</f>
        <v>0</v>
      </c>
      <c r="Q277" s="89">
        <f>P276*N(Crédits!$D$6)/12</f>
        <v>0</v>
      </c>
      <c r="R277" s="93">
        <f t="shared" si="294"/>
        <v>0</v>
      </c>
      <c r="S277" s="93">
        <f>R277*N(Crédits!$D$7)/12</f>
        <v>0</v>
      </c>
      <c r="T277" s="93">
        <f>MIN(N(Crédits!$E$7),R277+S277)</f>
        <v>0</v>
      </c>
      <c r="U277" s="93">
        <f t="shared" si="280"/>
        <v>0</v>
      </c>
      <c r="V277" s="94">
        <f>IF(Crédits!$K$7="",0,MAX(0,MIN(U277,Plan!$L$279-(IF(Crédits!$K$5="",0,IF(Crédits!$K$5&lt;Crédits!$K$7,E277,0))+IF(Crédits!$K$6="",0,IF(Crédits!$K$6&lt;Crédits!$K$7,M277,0))+IF(Crédits!$K$8="",0,IF(Crédits!$K$8&lt;Crédits!$K$7,AC277,0))+IF(Crédits!$K$9="",0,IF(Crédits!$K$9&lt;Crédits!$K$7,AK277,0))+IF(Crédits!$K$10="",0,IF(Crédits!$K$10&lt;Crédits!$K$7,AS277,0))))))</f>
        <v>0</v>
      </c>
      <c r="W277" s="95">
        <f t="shared" si="281"/>
        <v>0</v>
      </c>
      <c r="X277" s="88">
        <f>ROUND(X276+Y277-MIN(N(Crédits!$E$7),X276+Y277),2)</f>
        <v>0</v>
      </c>
      <c r="Y277" s="89">
        <f>X276*N(Crédits!$D$7)/12</f>
        <v>0</v>
      </c>
      <c r="Z277" s="96">
        <f t="shared" si="295"/>
        <v>0</v>
      </c>
      <c r="AA277" s="96">
        <f>Z277*N(Crédits!$D$8)/12</f>
        <v>0</v>
      </c>
      <c r="AB277" s="96">
        <f>MIN(N(Crédits!$E$8),Z277+AA277)</f>
        <v>0</v>
      </c>
      <c r="AC277" s="96">
        <f t="shared" si="282"/>
        <v>0</v>
      </c>
      <c r="AD277" s="97">
        <f>IF(Crédits!$K$8="",0,MAX(0,MIN(AC277,Plan!$L$279-(IF(Crédits!$K$5="",0,IF(Crédits!$K$5&lt;Crédits!$K$8,E277,0))+IF(Crédits!$K$6="",0,IF(Crédits!$K$6&lt;Crédits!$K$8,M277,0))+IF(Crédits!$K$7="",0,IF(Crédits!$K$7&lt;Crédits!$K$8,U277,0))+IF(Crédits!$K$9="",0,IF(Crédits!$K$9&lt;Crédits!$K$8,AK277,0))+IF(Crédits!$K$10="",0,IF(Crédits!$K$10&lt;Crédits!$K$8,AS277,0))))))</f>
        <v>0</v>
      </c>
      <c r="AE277" s="98">
        <f t="shared" si="283"/>
        <v>0</v>
      </c>
      <c r="AF277" s="88">
        <f>ROUND(AF276+AG277-MIN(N(Crédits!$E$8),AF276+AG277),2)</f>
        <v>0</v>
      </c>
      <c r="AG277" s="89">
        <f>AF276*N(Crédits!$D$8)/12</f>
        <v>0</v>
      </c>
      <c r="AH277" s="99">
        <f t="shared" si="296"/>
        <v>0</v>
      </c>
      <c r="AI277" s="99">
        <f>AH277*N(Crédits!$D$9)/12</f>
        <v>0</v>
      </c>
      <c r="AJ277" s="99">
        <f>MIN(N(Crédits!$E$9),AH277+AI277)</f>
        <v>0</v>
      </c>
      <c r="AK277" s="99">
        <f t="shared" si="284"/>
        <v>0</v>
      </c>
      <c r="AL277" s="100">
        <f>IF(Crédits!$K$9="",0,MAX(0,MIN(AK277,Plan!$L$279-(IF(Crédits!$K$5="",0,IF(Crédits!$K$5&lt;Crédits!$K$9,E277,0))+IF(Crédits!$K$6="",0,IF(Crédits!$K$6&lt;Crédits!$K$9,M277,0))+IF(Crédits!$K$7="",0,IF(Crédits!$K$7&lt;Crédits!$K$9,U277,0))+IF(Crédits!$K$8="",0,IF(Crédits!$K$8&lt;Crédits!$K$9,AC277,0))+IF(Crédits!$K$10="",0,IF(Crédits!$K$10&lt;Crédits!$K$9,AS277,0))))))</f>
        <v>0</v>
      </c>
      <c r="AM277" s="101">
        <f t="shared" si="285"/>
        <v>0</v>
      </c>
      <c r="AN277" s="88">
        <f>ROUND(AN276+AO277-MIN(N(Crédits!$E$9),AN276+AO277),2)</f>
        <v>0</v>
      </c>
      <c r="AO277" s="89">
        <f>AN276*N(Crédits!$D$9)/12</f>
        <v>0</v>
      </c>
      <c r="AP277" s="102">
        <f t="shared" si="297"/>
        <v>0</v>
      </c>
      <c r="AQ277" s="102">
        <f>AP277*N(Crédits!$D$10)/12</f>
        <v>0</v>
      </c>
      <c r="AR277" s="102">
        <f>MIN(N(Crédits!$E$10),AP277+AQ277)</f>
        <v>0</v>
      </c>
      <c r="AS277" s="102">
        <f t="shared" si="286"/>
        <v>0</v>
      </c>
      <c r="AT277" s="103">
        <f>IF(Crédits!$K$10="",0,MAX(0,MIN(AS277,Plan!$L$279-(IF(Crédits!$K$5="",0,IF(Crédits!$K$5&lt;Crédits!$K$10,E277,0))+IF(Crédits!$K$6="",0,IF(Crédits!$K$6&lt;Crédits!$K$10,M277,0))+IF(Crédits!$K$7="",0,IF(Crédits!$K$7&lt;Crédits!$K$10,U277,0))+IF(Crédits!$K$8="",0,IF(Crédits!$K$8&lt;Crédits!$K$10,AC277,0))+IF(Crédits!$K$9="",0,IF(Crédits!$K$9&lt;Crédits!$K$10,AK277,0))))))</f>
        <v>0</v>
      </c>
      <c r="AU277" s="104">
        <f t="shared" si="287"/>
        <v>0</v>
      </c>
      <c r="AV277" s="88">
        <f>ROUND(AV276+AW277-MIN(N(Crédits!$E$10),AV276+AW277),2)</f>
        <v>0</v>
      </c>
      <c r="AW277" s="89">
        <f>AV276*N(Crédits!$D$10)/12</f>
        <v>0</v>
      </c>
      <c r="AX277" s="105">
        <f t="shared" si="288"/>
        <v>0</v>
      </c>
      <c r="AY277" s="105">
        <f t="shared" ref="AY277:AZ277" si="316">F277+N277+V277+AD277+AL277+AT277</f>
        <v>0</v>
      </c>
      <c r="AZ277" s="105">
        <f t="shared" si="316"/>
        <v>0</v>
      </c>
      <c r="BA277" s="105">
        <f t="shared" si="290"/>
        <v>0</v>
      </c>
      <c r="BB277" s="105">
        <f t="shared" si="291"/>
        <v>0</v>
      </c>
    </row>
    <row r="278" spans="1:54" ht="15" customHeight="1" x14ac:dyDescent="0.25">
      <c r="A278" s="2">
        <v>276</v>
      </c>
      <c r="B278" s="83">
        <f t="shared" si="292"/>
        <v>0</v>
      </c>
      <c r="C278" s="83">
        <f>B278*N(Crédits!$D$5)/12</f>
        <v>0</v>
      </c>
      <c r="D278" s="83">
        <f>MIN(N(Crédits!$E$5),B278+C278)</f>
        <v>0</v>
      </c>
      <c r="E278" s="83">
        <f t="shared" si="276"/>
        <v>0</v>
      </c>
      <c r="F278" s="86">
        <f>IF(Crédits!$K$5="",0,MAX(0,MIN(E278,Plan!$L$280-(IF(Crédits!$K$6="",0,IF(Crédits!$K$6&lt;Crédits!$K$5,M278,0))+IF(Crédits!$K$7="",0,IF(Crédits!$K$7&lt;Crédits!$K$5,U278,0))+IF(Crédits!$K$8="",0,IF(Crédits!$K$8&lt;Crédits!$K$5,AC278,0))+IF(Crédits!$K$9="",0,IF(Crédits!$K$9&lt;Crédits!$K$5,AK278,0))+IF(Crédits!$K$10="",0,IF(Crédits!$K$10&lt;Crédits!$K$5,AS278,0))))))</f>
        <v>0</v>
      </c>
      <c r="G278" s="87">
        <f t="shared" si="277"/>
        <v>0</v>
      </c>
      <c r="H278" s="88">
        <f>ROUND(H277+I278-MIN(N(Crédits!$E$5),H277+I278),2)</f>
        <v>0</v>
      </c>
      <c r="I278" s="89">
        <f>H277*N(Crédits!$D$5)/12</f>
        <v>0</v>
      </c>
      <c r="J278" s="90">
        <f t="shared" si="293"/>
        <v>0</v>
      </c>
      <c r="K278" s="90">
        <f>J278*N(Crédits!$D$6)/12</f>
        <v>0</v>
      </c>
      <c r="L278" s="90">
        <f>MIN(N(Crédits!$E$6),J278+K278)</f>
        <v>0</v>
      </c>
      <c r="M278" s="90">
        <f t="shared" si="278"/>
        <v>0</v>
      </c>
      <c r="N278" s="91">
        <f>IF(Crédits!$K$6="",0,MAX(0,MIN(M278,Plan!$L$280-(IF(Crédits!$K$5="",0,IF(Crédits!$K$5&lt;Crédits!$K$6,E278,0))+IF(Crédits!$K$7="",0,IF(Crédits!$K$7&lt;Crédits!$K$6,U278,0))+IF(Crédits!$K$8="",0,IF(Crédits!$K$8&lt;Crédits!$K$6,AC278,0))+IF(Crédits!$K$9="",0,IF(Crédits!$K$9&lt;Crédits!$K$6,AK278,0))+IF(Crédits!$K$10="",0,IF(Crédits!$K$10&lt;Crédits!$K$6,AS278,0))))))</f>
        <v>0</v>
      </c>
      <c r="O278" s="92">
        <f t="shared" si="279"/>
        <v>0</v>
      </c>
      <c r="P278" s="88">
        <f>ROUND(P277+Q278-MIN(N(Crédits!$E$6),P277+Q278),2)</f>
        <v>0</v>
      </c>
      <c r="Q278" s="89">
        <f>P277*N(Crédits!$D$6)/12</f>
        <v>0</v>
      </c>
      <c r="R278" s="93">
        <f t="shared" si="294"/>
        <v>0</v>
      </c>
      <c r="S278" s="93">
        <f>R278*N(Crédits!$D$7)/12</f>
        <v>0</v>
      </c>
      <c r="T278" s="93">
        <f>MIN(N(Crédits!$E$7),R278+S278)</f>
        <v>0</v>
      </c>
      <c r="U278" s="93">
        <f t="shared" si="280"/>
        <v>0</v>
      </c>
      <c r="V278" s="94">
        <f>IF(Crédits!$K$7="",0,MAX(0,MIN(U278,Plan!$L$280-(IF(Crédits!$K$5="",0,IF(Crédits!$K$5&lt;Crédits!$K$7,E278,0))+IF(Crédits!$K$6="",0,IF(Crédits!$K$6&lt;Crédits!$K$7,M278,0))+IF(Crédits!$K$8="",0,IF(Crédits!$K$8&lt;Crédits!$K$7,AC278,0))+IF(Crédits!$K$9="",0,IF(Crédits!$K$9&lt;Crédits!$K$7,AK278,0))+IF(Crédits!$K$10="",0,IF(Crédits!$K$10&lt;Crédits!$K$7,AS278,0))))))</f>
        <v>0</v>
      </c>
      <c r="W278" s="95">
        <f t="shared" si="281"/>
        <v>0</v>
      </c>
      <c r="X278" s="88">
        <f>ROUND(X277+Y278-MIN(N(Crédits!$E$7),X277+Y278),2)</f>
        <v>0</v>
      </c>
      <c r="Y278" s="89">
        <f>X277*N(Crédits!$D$7)/12</f>
        <v>0</v>
      </c>
      <c r="Z278" s="96">
        <f t="shared" si="295"/>
        <v>0</v>
      </c>
      <c r="AA278" s="96">
        <f>Z278*N(Crédits!$D$8)/12</f>
        <v>0</v>
      </c>
      <c r="AB278" s="96">
        <f>MIN(N(Crédits!$E$8),Z278+AA278)</f>
        <v>0</v>
      </c>
      <c r="AC278" s="96">
        <f t="shared" si="282"/>
        <v>0</v>
      </c>
      <c r="AD278" s="97">
        <f>IF(Crédits!$K$8="",0,MAX(0,MIN(AC278,Plan!$L$280-(IF(Crédits!$K$5="",0,IF(Crédits!$K$5&lt;Crédits!$K$8,E278,0))+IF(Crédits!$K$6="",0,IF(Crédits!$K$6&lt;Crédits!$K$8,M278,0))+IF(Crédits!$K$7="",0,IF(Crédits!$K$7&lt;Crédits!$K$8,U278,0))+IF(Crédits!$K$9="",0,IF(Crédits!$K$9&lt;Crédits!$K$8,AK278,0))+IF(Crédits!$K$10="",0,IF(Crédits!$K$10&lt;Crédits!$K$8,AS278,0))))))</f>
        <v>0</v>
      </c>
      <c r="AE278" s="98">
        <f t="shared" si="283"/>
        <v>0</v>
      </c>
      <c r="AF278" s="88">
        <f>ROUND(AF277+AG278-MIN(N(Crédits!$E$8),AF277+AG278),2)</f>
        <v>0</v>
      </c>
      <c r="AG278" s="89">
        <f>AF277*N(Crédits!$D$8)/12</f>
        <v>0</v>
      </c>
      <c r="AH278" s="99">
        <f t="shared" si="296"/>
        <v>0</v>
      </c>
      <c r="AI278" s="99">
        <f>AH278*N(Crédits!$D$9)/12</f>
        <v>0</v>
      </c>
      <c r="AJ278" s="99">
        <f>MIN(N(Crédits!$E$9),AH278+AI278)</f>
        <v>0</v>
      </c>
      <c r="AK278" s="99">
        <f t="shared" si="284"/>
        <v>0</v>
      </c>
      <c r="AL278" s="100">
        <f>IF(Crédits!$K$9="",0,MAX(0,MIN(AK278,Plan!$L$280-(IF(Crédits!$K$5="",0,IF(Crédits!$K$5&lt;Crédits!$K$9,E278,0))+IF(Crédits!$K$6="",0,IF(Crédits!$K$6&lt;Crédits!$K$9,M278,0))+IF(Crédits!$K$7="",0,IF(Crédits!$K$7&lt;Crédits!$K$9,U278,0))+IF(Crédits!$K$8="",0,IF(Crédits!$K$8&lt;Crédits!$K$9,AC278,0))+IF(Crédits!$K$10="",0,IF(Crédits!$K$10&lt;Crédits!$K$9,AS278,0))))))</f>
        <v>0</v>
      </c>
      <c r="AM278" s="101">
        <f t="shared" si="285"/>
        <v>0</v>
      </c>
      <c r="AN278" s="88">
        <f>ROUND(AN277+AO278-MIN(N(Crédits!$E$9),AN277+AO278),2)</f>
        <v>0</v>
      </c>
      <c r="AO278" s="89">
        <f>AN277*N(Crédits!$D$9)/12</f>
        <v>0</v>
      </c>
      <c r="AP278" s="102">
        <f t="shared" si="297"/>
        <v>0</v>
      </c>
      <c r="AQ278" s="102">
        <f>AP278*N(Crédits!$D$10)/12</f>
        <v>0</v>
      </c>
      <c r="AR278" s="102">
        <f>MIN(N(Crédits!$E$10),AP278+AQ278)</f>
        <v>0</v>
      </c>
      <c r="AS278" s="102">
        <f t="shared" si="286"/>
        <v>0</v>
      </c>
      <c r="AT278" s="103">
        <f>IF(Crédits!$K$10="",0,MAX(0,MIN(AS278,Plan!$L$280-(IF(Crédits!$K$5="",0,IF(Crédits!$K$5&lt;Crédits!$K$10,E278,0))+IF(Crédits!$K$6="",0,IF(Crédits!$K$6&lt;Crédits!$K$10,M278,0))+IF(Crédits!$K$7="",0,IF(Crédits!$K$7&lt;Crédits!$K$10,U278,0))+IF(Crédits!$K$8="",0,IF(Crédits!$K$8&lt;Crédits!$K$10,AC278,0))+IF(Crédits!$K$9="",0,IF(Crédits!$K$9&lt;Crédits!$K$10,AK278,0))))))</f>
        <v>0</v>
      </c>
      <c r="AU278" s="104">
        <f t="shared" si="287"/>
        <v>0</v>
      </c>
      <c r="AV278" s="88">
        <f>ROUND(AV277+AW278-MIN(N(Crédits!$E$10),AV277+AW278),2)</f>
        <v>0</v>
      </c>
      <c r="AW278" s="89">
        <f>AV277*N(Crédits!$D$10)/12</f>
        <v>0</v>
      </c>
      <c r="AX278" s="105">
        <f t="shared" si="288"/>
        <v>0</v>
      </c>
      <c r="AY278" s="105">
        <f t="shared" ref="AY278:AZ278" si="317">F278+N278+V278+AD278+AL278+AT278</f>
        <v>0</v>
      </c>
      <c r="AZ278" s="105">
        <f t="shared" si="317"/>
        <v>0</v>
      </c>
      <c r="BA278" s="105">
        <f t="shared" si="290"/>
        <v>0</v>
      </c>
      <c r="BB278" s="105">
        <f t="shared" si="291"/>
        <v>0</v>
      </c>
    </row>
    <row r="279" spans="1:54" ht="15" customHeight="1" x14ac:dyDescent="0.25">
      <c r="A279" s="2">
        <v>277</v>
      </c>
      <c r="B279" s="83">
        <f t="shared" si="292"/>
        <v>0</v>
      </c>
      <c r="C279" s="83">
        <f>B279*N(Crédits!$D$5)/12</f>
        <v>0</v>
      </c>
      <c r="D279" s="83">
        <f>MIN(N(Crédits!$E$5),B279+C279)</f>
        <v>0</v>
      </c>
      <c r="E279" s="83">
        <f t="shared" si="276"/>
        <v>0</v>
      </c>
      <c r="F279" s="86">
        <f>IF(Crédits!$K$5="",0,MAX(0,MIN(E279,Plan!$L$281-(IF(Crédits!$K$6="",0,IF(Crédits!$K$6&lt;Crédits!$K$5,M279,0))+IF(Crédits!$K$7="",0,IF(Crédits!$K$7&lt;Crédits!$K$5,U279,0))+IF(Crédits!$K$8="",0,IF(Crédits!$K$8&lt;Crédits!$K$5,AC279,0))+IF(Crédits!$K$9="",0,IF(Crédits!$K$9&lt;Crédits!$K$5,AK279,0))+IF(Crédits!$K$10="",0,IF(Crédits!$K$10&lt;Crédits!$K$5,AS279,0))))))</f>
        <v>0</v>
      </c>
      <c r="G279" s="87">
        <f t="shared" si="277"/>
        <v>0</v>
      </c>
      <c r="H279" s="88">
        <f>ROUND(H278+I279-MIN(N(Crédits!$E$5),H278+I279),2)</f>
        <v>0</v>
      </c>
      <c r="I279" s="89">
        <f>H278*N(Crédits!$D$5)/12</f>
        <v>0</v>
      </c>
      <c r="J279" s="90">
        <f t="shared" si="293"/>
        <v>0</v>
      </c>
      <c r="K279" s="90">
        <f>J279*N(Crédits!$D$6)/12</f>
        <v>0</v>
      </c>
      <c r="L279" s="90">
        <f>MIN(N(Crédits!$E$6),J279+K279)</f>
        <v>0</v>
      </c>
      <c r="M279" s="90">
        <f t="shared" si="278"/>
        <v>0</v>
      </c>
      <c r="N279" s="91">
        <f>IF(Crédits!$K$6="",0,MAX(0,MIN(M279,Plan!$L$281-(IF(Crédits!$K$5="",0,IF(Crédits!$K$5&lt;Crédits!$K$6,E279,0))+IF(Crédits!$K$7="",0,IF(Crédits!$K$7&lt;Crédits!$K$6,U279,0))+IF(Crédits!$K$8="",0,IF(Crédits!$K$8&lt;Crédits!$K$6,AC279,0))+IF(Crédits!$K$9="",0,IF(Crédits!$K$9&lt;Crédits!$K$6,AK279,0))+IF(Crédits!$K$10="",0,IF(Crédits!$K$10&lt;Crédits!$K$6,AS279,0))))))</f>
        <v>0</v>
      </c>
      <c r="O279" s="92">
        <f t="shared" si="279"/>
        <v>0</v>
      </c>
      <c r="P279" s="88">
        <f>ROUND(P278+Q279-MIN(N(Crédits!$E$6),P278+Q279),2)</f>
        <v>0</v>
      </c>
      <c r="Q279" s="89">
        <f>P278*N(Crédits!$D$6)/12</f>
        <v>0</v>
      </c>
      <c r="R279" s="93">
        <f t="shared" si="294"/>
        <v>0</v>
      </c>
      <c r="S279" s="93">
        <f>R279*N(Crédits!$D$7)/12</f>
        <v>0</v>
      </c>
      <c r="T279" s="93">
        <f>MIN(N(Crédits!$E$7),R279+S279)</f>
        <v>0</v>
      </c>
      <c r="U279" s="93">
        <f t="shared" si="280"/>
        <v>0</v>
      </c>
      <c r="V279" s="94">
        <f>IF(Crédits!$K$7="",0,MAX(0,MIN(U279,Plan!$L$281-(IF(Crédits!$K$5="",0,IF(Crédits!$K$5&lt;Crédits!$K$7,E279,0))+IF(Crédits!$K$6="",0,IF(Crédits!$K$6&lt;Crédits!$K$7,M279,0))+IF(Crédits!$K$8="",0,IF(Crédits!$K$8&lt;Crédits!$K$7,AC279,0))+IF(Crédits!$K$9="",0,IF(Crédits!$K$9&lt;Crédits!$K$7,AK279,0))+IF(Crédits!$K$10="",0,IF(Crédits!$K$10&lt;Crédits!$K$7,AS279,0))))))</f>
        <v>0</v>
      </c>
      <c r="W279" s="95">
        <f t="shared" si="281"/>
        <v>0</v>
      </c>
      <c r="X279" s="88">
        <f>ROUND(X278+Y279-MIN(N(Crédits!$E$7),X278+Y279),2)</f>
        <v>0</v>
      </c>
      <c r="Y279" s="89">
        <f>X278*N(Crédits!$D$7)/12</f>
        <v>0</v>
      </c>
      <c r="Z279" s="96">
        <f t="shared" si="295"/>
        <v>0</v>
      </c>
      <c r="AA279" s="96">
        <f>Z279*N(Crédits!$D$8)/12</f>
        <v>0</v>
      </c>
      <c r="AB279" s="96">
        <f>MIN(N(Crédits!$E$8),Z279+AA279)</f>
        <v>0</v>
      </c>
      <c r="AC279" s="96">
        <f t="shared" si="282"/>
        <v>0</v>
      </c>
      <c r="AD279" s="97">
        <f>IF(Crédits!$K$8="",0,MAX(0,MIN(AC279,Plan!$L$281-(IF(Crédits!$K$5="",0,IF(Crédits!$K$5&lt;Crédits!$K$8,E279,0))+IF(Crédits!$K$6="",0,IF(Crédits!$K$6&lt;Crédits!$K$8,M279,0))+IF(Crédits!$K$7="",0,IF(Crédits!$K$7&lt;Crédits!$K$8,U279,0))+IF(Crédits!$K$9="",0,IF(Crédits!$K$9&lt;Crédits!$K$8,AK279,0))+IF(Crédits!$K$10="",0,IF(Crédits!$K$10&lt;Crédits!$K$8,AS279,0))))))</f>
        <v>0</v>
      </c>
      <c r="AE279" s="98">
        <f t="shared" si="283"/>
        <v>0</v>
      </c>
      <c r="AF279" s="88">
        <f>ROUND(AF278+AG279-MIN(N(Crédits!$E$8),AF278+AG279),2)</f>
        <v>0</v>
      </c>
      <c r="AG279" s="89">
        <f>AF278*N(Crédits!$D$8)/12</f>
        <v>0</v>
      </c>
      <c r="AH279" s="99">
        <f t="shared" si="296"/>
        <v>0</v>
      </c>
      <c r="AI279" s="99">
        <f>AH279*N(Crédits!$D$9)/12</f>
        <v>0</v>
      </c>
      <c r="AJ279" s="99">
        <f>MIN(N(Crédits!$E$9),AH279+AI279)</f>
        <v>0</v>
      </c>
      <c r="AK279" s="99">
        <f t="shared" si="284"/>
        <v>0</v>
      </c>
      <c r="AL279" s="100">
        <f>IF(Crédits!$K$9="",0,MAX(0,MIN(AK279,Plan!$L$281-(IF(Crédits!$K$5="",0,IF(Crédits!$K$5&lt;Crédits!$K$9,E279,0))+IF(Crédits!$K$6="",0,IF(Crédits!$K$6&lt;Crédits!$K$9,M279,0))+IF(Crédits!$K$7="",0,IF(Crédits!$K$7&lt;Crédits!$K$9,U279,0))+IF(Crédits!$K$8="",0,IF(Crédits!$K$8&lt;Crédits!$K$9,AC279,0))+IF(Crédits!$K$10="",0,IF(Crédits!$K$10&lt;Crédits!$K$9,AS279,0))))))</f>
        <v>0</v>
      </c>
      <c r="AM279" s="101">
        <f t="shared" si="285"/>
        <v>0</v>
      </c>
      <c r="AN279" s="88">
        <f>ROUND(AN278+AO279-MIN(N(Crédits!$E$9),AN278+AO279),2)</f>
        <v>0</v>
      </c>
      <c r="AO279" s="89">
        <f>AN278*N(Crédits!$D$9)/12</f>
        <v>0</v>
      </c>
      <c r="AP279" s="102">
        <f t="shared" si="297"/>
        <v>0</v>
      </c>
      <c r="AQ279" s="102">
        <f>AP279*N(Crédits!$D$10)/12</f>
        <v>0</v>
      </c>
      <c r="AR279" s="102">
        <f>MIN(N(Crédits!$E$10),AP279+AQ279)</f>
        <v>0</v>
      </c>
      <c r="AS279" s="102">
        <f t="shared" si="286"/>
        <v>0</v>
      </c>
      <c r="AT279" s="103">
        <f>IF(Crédits!$K$10="",0,MAX(0,MIN(AS279,Plan!$L$281-(IF(Crédits!$K$5="",0,IF(Crédits!$K$5&lt;Crédits!$K$10,E279,0))+IF(Crédits!$K$6="",0,IF(Crédits!$K$6&lt;Crédits!$K$10,M279,0))+IF(Crédits!$K$7="",0,IF(Crédits!$K$7&lt;Crédits!$K$10,U279,0))+IF(Crédits!$K$8="",0,IF(Crédits!$K$8&lt;Crédits!$K$10,AC279,0))+IF(Crédits!$K$9="",0,IF(Crédits!$K$9&lt;Crédits!$K$10,AK279,0))))))</f>
        <v>0</v>
      </c>
      <c r="AU279" s="104">
        <f t="shared" si="287"/>
        <v>0</v>
      </c>
      <c r="AV279" s="88">
        <f>ROUND(AV278+AW279-MIN(N(Crédits!$E$10),AV278+AW279),2)</f>
        <v>0</v>
      </c>
      <c r="AW279" s="89">
        <f>AV278*N(Crédits!$D$10)/12</f>
        <v>0</v>
      </c>
      <c r="AX279" s="105">
        <f t="shared" si="288"/>
        <v>0</v>
      </c>
      <c r="AY279" s="105">
        <f t="shared" ref="AY279:AZ279" si="318">F279+N279+V279+AD279+AL279+AT279</f>
        <v>0</v>
      </c>
      <c r="AZ279" s="105">
        <f t="shared" si="318"/>
        <v>0</v>
      </c>
      <c r="BA279" s="105">
        <f t="shared" si="290"/>
        <v>0</v>
      </c>
      <c r="BB279" s="105">
        <f t="shared" si="291"/>
        <v>0</v>
      </c>
    </row>
    <row r="280" spans="1:54" ht="15" customHeight="1" x14ac:dyDescent="0.25">
      <c r="A280" s="2">
        <v>278</v>
      </c>
      <c r="B280" s="83">
        <f t="shared" si="292"/>
        <v>0</v>
      </c>
      <c r="C280" s="83">
        <f>B280*N(Crédits!$D$5)/12</f>
        <v>0</v>
      </c>
      <c r="D280" s="83">
        <f>MIN(N(Crédits!$E$5),B280+C280)</f>
        <v>0</v>
      </c>
      <c r="E280" s="83">
        <f t="shared" si="276"/>
        <v>0</v>
      </c>
      <c r="F280" s="86">
        <f>IF(Crédits!$K$5="",0,MAX(0,MIN(E280,Plan!$L$282-(IF(Crédits!$K$6="",0,IF(Crédits!$K$6&lt;Crédits!$K$5,M280,0))+IF(Crédits!$K$7="",0,IF(Crédits!$K$7&lt;Crédits!$K$5,U280,0))+IF(Crédits!$K$8="",0,IF(Crédits!$K$8&lt;Crédits!$K$5,AC280,0))+IF(Crédits!$K$9="",0,IF(Crédits!$K$9&lt;Crédits!$K$5,AK280,0))+IF(Crédits!$K$10="",0,IF(Crédits!$K$10&lt;Crédits!$K$5,AS280,0))))))</f>
        <v>0</v>
      </c>
      <c r="G280" s="87">
        <f t="shared" si="277"/>
        <v>0</v>
      </c>
      <c r="H280" s="88">
        <f>ROUND(H279+I280-MIN(N(Crédits!$E$5),H279+I280),2)</f>
        <v>0</v>
      </c>
      <c r="I280" s="89">
        <f>H279*N(Crédits!$D$5)/12</f>
        <v>0</v>
      </c>
      <c r="J280" s="90">
        <f t="shared" si="293"/>
        <v>0</v>
      </c>
      <c r="K280" s="90">
        <f>J280*N(Crédits!$D$6)/12</f>
        <v>0</v>
      </c>
      <c r="L280" s="90">
        <f>MIN(N(Crédits!$E$6),J280+K280)</f>
        <v>0</v>
      </c>
      <c r="M280" s="90">
        <f t="shared" si="278"/>
        <v>0</v>
      </c>
      <c r="N280" s="91">
        <f>IF(Crédits!$K$6="",0,MAX(0,MIN(M280,Plan!$L$282-(IF(Crédits!$K$5="",0,IF(Crédits!$K$5&lt;Crédits!$K$6,E280,0))+IF(Crédits!$K$7="",0,IF(Crédits!$K$7&lt;Crédits!$K$6,U280,0))+IF(Crédits!$K$8="",0,IF(Crédits!$K$8&lt;Crédits!$K$6,AC280,0))+IF(Crédits!$K$9="",0,IF(Crédits!$K$9&lt;Crédits!$K$6,AK280,0))+IF(Crédits!$K$10="",0,IF(Crédits!$K$10&lt;Crédits!$K$6,AS280,0))))))</f>
        <v>0</v>
      </c>
      <c r="O280" s="92">
        <f t="shared" si="279"/>
        <v>0</v>
      </c>
      <c r="P280" s="88">
        <f>ROUND(P279+Q280-MIN(N(Crédits!$E$6),P279+Q280),2)</f>
        <v>0</v>
      </c>
      <c r="Q280" s="89">
        <f>P279*N(Crédits!$D$6)/12</f>
        <v>0</v>
      </c>
      <c r="R280" s="93">
        <f t="shared" si="294"/>
        <v>0</v>
      </c>
      <c r="S280" s="93">
        <f>R280*N(Crédits!$D$7)/12</f>
        <v>0</v>
      </c>
      <c r="T280" s="93">
        <f>MIN(N(Crédits!$E$7),R280+S280)</f>
        <v>0</v>
      </c>
      <c r="U280" s="93">
        <f t="shared" si="280"/>
        <v>0</v>
      </c>
      <c r="V280" s="94">
        <f>IF(Crédits!$K$7="",0,MAX(0,MIN(U280,Plan!$L$282-(IF(Crédits!$K$5="",0,IF(Crédits!$K$5&lt;Crédits!$K$7,E280,0))+IF(Crédits!$K$6="",0,IF(Crédits!$K$6&lt;Crédits!$K$7,M280,0))+IF(Crédits!$K$8="",0,IF(Crédits!$K$8&lt;Crédits!$K$7,AC280,0))+IF(Crédits!$K$9="",0,IF(Crédits!$K$9&lt;Crédits!$K$7,AK280,0))+IF(Crédits!$K$10="",0,IF(Crédits!$K$10&lt;Crédits!$K$7,AS280,0))))))</f>
        <v>0</v>
      </c>
      <c r="W280" s="95">
        <f t="shared" si="281"/>
        <v>0</v>
      </c>
      <c r="X280" s="88">
        <f>ROUND(X279+Y280-MIN(N(Crédits!$E$7),X279+Y280),2)</f>
        <v>0</v>
      </c>
      <c r="Y280" s="89">
        <f>X279*N(Crédits!$D$7)/12</f>
        <v>0</v>
      </c>
      <c r="Z280" s="96">
        <f t="shared" si="295"/>
        <v>0</v>
      </c>
      <c r="AA280" s="96">
        <f>Z280*N(Crédits!$D$8)/12</f>
        <v>0</v>
      </c>
      <c r="AB280" s="96">
        <f>MIN(N(Crédits!$E$8),Z280+AA280)</f>
        <v>0</v>
      </c>
      <c r="AC280" s="96">
        <f t="shared" si="282"/>
        <v>0</v>
      </c>
      <c r="AD280" s="97">
        <f>IF(Crédits!$K$8="",0,MAX(0,MIN(AC280,Plan!$L$282-(IF(Crédits!$K$5="",0,IF(Crédits!$K$5&lt;Crédits!$K$8,E280,0))+IF(Crédits!$K$6="",0,IF(Crédits!$K$6&lt;Crédits!$K$8,M280,0))+IF(Crédits!$K$7="",0,IF(Crédits!$K$7&lt;Crédits!$K$8,U280,0))+IF(Crédits!$K$9="",0,IF(Crédits!$K$9&lt;Crédits!$K$8,AK280,0))+IF(Crédits!$K$10="",0,IF(Crédits!$K$10&lt;Crédits!$K$8,AS280,0))))))</f>
        <v>0</v>
      </c>
      <c r="AE280" s="98">
        <f t="shared" si="283"/>
        <v>0</v>
      </c>
      <c r="AF280" s="88">
        <f>ROUND(AF279+AG280-MIN(N(Crédits!$E$8),AF279+AG280),2)</f>
        <v>0</v>
      </c>
      <c r="AG280" s="89">
        <f>AF279*N(Crédits!$D$8)/12</f>
        <v>0</v>
      </c>
      <c r="AH280" s="99">
        <f t="shared" si="296"/>
        <v>0</v>
      </c>
      <c r="AI280" s="99">
        <f>AH280*N(Crédits!$D$9)/12</f>
        <v>0</v>
      </c>
      <c r="AJ280" s="99">
        <f>MIN(N(Crédits!$E$9),AH280+AI280)</f>
        <v>0</v>
      </c>
      <c r="AK280" s="99">
        <f t="shared" si="284"/>
        <v>0</v>
      </c>
      <c r="AL280" s="100">
        <f>IF(Crédits!$K$9="",0,MAX(0,MIN(AK280,Plan!$L$282-(IF(Crédits!$K$5="",0,IF(Crédits!$K$5&lt;Crédits!$K$9,E280,0))+IF(Crédits!$K$6="",0,IF(Crédits!$K$6&lt;Crédits!$K$9,M280,0))+IF(Crédits!$K$7="",0,IF(Crédits!$K$7&lt;Crédits!$K$9,U280,0))+IF(Crédits!$K$8="",0,IF(Crédits!$K$8&lt;Crédits!$K$9,AC280,0))+IF(Crédits!$K$10="",0,IF(Crédits!$K$10&lt;Crédits!$K$9,AS280,0))))))</f>
        <v>0</v>
      </c>
      <c r="AM280" s="101">
        <f t="shared" si="285"/>
        <v>0</v>
      </c>
      <c r="AN280" s="88">
        <f>ROUND(AN279+AO280-MIN(N(Crédits!$E$9),AN279+AO280),2)</f>
        <v>0</v>
      </c>
      <c r="AO280" s="89">
        <f>AN279*N(Crédits!$D$9)/12</f>
        <v>0</v>
      </c>
      <c r="AP280" s="102">
        <f t="shared" si="297"/>
        <v>0</v>
      </c>
      <c r="AQ280" s="102">
        <f>AP280*N(Crédits!$D$10)/12</f>
        <v>0</v>
      </c>
      <c r="AR280" s="102">
        <f>MIN(N(Crédits!$E$10),AP280+AQ280)</f>
        <v>0</v>
      </c>
      <c r="AS280" s="102">
        <f t="shared" si="286"/>
        <v>0</v>
      </c>
      <c r="AT280" s="103">
        <f>IF(Crédits!$K$10="",0,MAX(0,MIN(AS280,Plan!$L$282-(IF(Crédits!$K$5="",0,IF(Crédits!$K$5&lt;Crédits!$K$10,E280,0))+IF(Crédits!$K$6="",0,IF(Crédits!$K$6&lt;Crédits!$K$10,M280,0))+IF(Crédits!$K$7="",0,IF(Crédits!$K$7&lt;Crédits!$K$10,U280,0))+IF(Crédits!$K$8="",0,IF(Crédits!$K$8&lt;Crédits!$K$10,AC280,0))+IF(Crédits!$K$9="",0,IF(Crédits!$K$9&lt;Crédits!$K$10,AK280,0))))))</f>
        <v>0</v>
      </c>
      <c r="AU280" s="104">
        <f t="shared" si="287"/>
        <v>0</v>
      </c>
      <c r="AV280" s="88">
        <f>ROUND(AV279+AW280-MIN(N(Crédits!$E$10),AV279+AW280),2)</f>
        <v>0</v>
      </c>
      <c r="AW280" s="89">
        <f>AV279*N(Crédits!$D$10)/12</f>
        <v>0</v>
      </c>
      <c r="AX280" s="105">
        <f t="shared" si="288"/>
        <v>0</v>
      </c>
      <c r="AY280" s="105">
        <f t="shared" ref="AY280:AZ280" si="319">F280+N280+V280+AD280+AL280+AT280</f>
        <v>0</v>
      </c>
      <c r="AZ280" s="105">
        <f t="shared" si="319"/>
        <v>0</v>
      </c>
      <c r="BA280" s="105">
        <f t="shared" si="290"/>
        <v>0</v>
      </c>
      <c r="BB280" s="105">
        <f t="shared" si="291"/>
        <v>0</v>
      </c>
    </row>
    <row r="281" spans="1:54" ht="15" customHeight="1" x14ac:dyDescent="0.25">
      <c r="A281" s="2">
        <v>279</v>
      </c>
      <c r="B281" s="83">
        <f t="shared" si="292"/>
        <v>0</v>
      </c>
      <c r="C281" s="83">
        <f>B281*N(Crédits!$D$5)/12</f>
        <v>0</v>
      </c>
      <c r="D281" s="83">
        <f>MIN(N(Crédits!$E$5),B281+C281)</f>
        <v>0</v>
      </c>
      <c r="E281" s="83">
        <f t="shared" si="276"/>
        <v>0</v>
      </c>
      <c r="F281" s="86">
        <f>IF(Crédits!$K$5="",0,MAX(0,MIN(E281,Plan!$L$283-(IF(Crédits!$K$6="",0,IF(Crédits!$K$6&lt;Crédits!$K$5,M281,0))+IF(Crédits!$K$7="",0,IF(Crédits!$K$7&lt;Crédits!$K$5,U281,0))+IF(Crédits!$K$8="",0,IF(Crédits!$K$8&lt;Crédits!$K$5,AC281,0))+IF(Crédits!$K$9="",0,IF(Crédits!$K$9&lt;Crédits!$K$5,AK281,0))+IF(Crédits!$K$10="",0,IF(Crédits!$K$10&lt;Crédits!$K$5,AS281,0))))))</f>
        <v>0</v>
      </c>
      <c r="G281" s="87">
        <f t="shared" si="277"/>
        <v>0</v>
      </c>
      <c r="H281" s="88">
        <f>ROUND(H280+I281-MIN(N(Crédits!$E$5),H280+I281),2)</f>
        <v>0</v>
      </c>
      <c r="I281" s="89">
        <f>H280*N(Crédits!$D$5)/12</f>
        <v>0</v>
      </c>
      <c r="J281" s="90">
        <f t="shared" si="293"/>
        <v>0</v>
      </c>
      <c r="K281" s="90">
        <f>J281*N(Crédits!$D$6)/12</f>
        <v>0</v>
      </c>
      <c r="L281" s="90">
        <f>MIN(N(Crédits!$E$6),J281+K281)</f>
        <v>0</v>
      </c>
      <c r="M281" s="90">
        <f t="shared" si="278"/>
        <v>0</v>
      </c>
      <c r="N281" s="91">
        <f>IF(Crédits!$K$6="",0,MAX(0,MIN(M281,Plan!$L$283-(IF(Crédits!$K$5="",0,IF(Crédits!$K$5&lt;Crédits!$K$6,E281,0))+IF(Crédits!$K$7="",0,IF(Crédits!$K$7&lt;Crédits!$K$6,U281,0))+IF(Crédits!$K$8="",0,IF(Crédits!$K$8&lt;Crédits!$K$6,AC281,0))+IF(Crédits!$K$9="",0,IF(Crédits!$K$9&lt;Crédits!$K$6,AK281,0))+IF(Crédits!$K$10="",0,IF(Crédits!$K$10&lt;Crédits!$K$6,AS281,0))))))</f>
        <v>0</v>
      </c>
      <c r="O281" s="92">
        <f t="shared" si="279"/>
        <v>0</v>
      </c>
      <c r="P281" s="88">
        <f>ROUND(P280+Q281-MIN(N(Crédits!$E$6),P280+Q281),2)</f>
        <v>0</v>
      </c>
      <c r="Q281" s="89">
        <f>P280*N(Crédits!$D$6)/12</f>
        <v>0</v>
      </c>
      <c r="R281" s="93">
        <f t="shared" si="294"/>
        <v>0</v>
      </c>
      <c r="S281" s="93">
        <f>R281*N(Crédits!$D$7)/12</f>
        <v>0</v>
      </c>
      <c r="T281" s="93">
        <f>MIN(N(Crédits!$E$7),R281+S281)</f>
        <v>0</v>
      </c>
      <c r="U281" s="93">
        <f t="shared" si="280"/>
        <v>0</v>
      </c>
      <c r="V281" s="94">
        <f>IF(Crédits!$K$7="",0,MAX(0,MIN(U281,Plan!$L$283-(IF(Crédits!$K$5="",0,IF(Crédits!$K$5&lt;Crédits!$K$7,E281,0))+IF(Crédits!$K$6="",0,IF(Crédits!$K$6&lt;Crédits!$K$7,M281,0))+IF(Crédits!$K$8="",0,IF(Crédits!$K$8&lt;Crédits!$K$7,AC281,0))+IF(Crédits!$K$9="",0,IF(Crédits!$K$9&lt;Crédits!$K$7,AK281,0))+IF(Crédits!$K$10="",0,IF(Crédits!$K$10&lt;Crédits!$K$7,AS281,0))))))</f>
        <v>0</v>
      </c>
      <c r="W281" s="95">
        <f t="shared" si="281"/>
        <v>0</v>
      </c>
      <c r="X281" s="88">
        <f>ROUND(X280+Y281-MIN(N(Crédits!$E$7),X280+Y281),2)</f>
        <v>0</v>
      </c>
      <c r="Y281" s="89">
        <f>X280*N(Crédits!$D$7)/12</f>
        <v>0</v>
      </c>
      <c r="Z281" s="96">
        <f t="shared" si="295"/>
        <v>0</v>
      </c>
      <c r="AA281" s="96">
        <f>Z281*N(Crédits!$D$8)/12</f>
        <v>0</v>
      </c>
      <c r="AB281" s="96">
        <f>MIN(N(Crédits!$E$8),Z281+AA281)</f>
        <v>0</v>
      </c>
      <c r="AC281" s="96">
        <f t="shared" si="282"/>
        <v>0</v>
      </c>
      <c r="AD281" s="97">
        <f>IF(Crédits!$K$8="",0,MAX(0,MIN(AC281,Plan!$L$283-(IF(Crédits!$K$5="",0,IF(Crédits!$K$5&lt;Crédits!$K$8,E281,0))+IF(Crédits!$K$6="",0,IF(Crédits!$K$6&lt;Crédits!$K$8,M281,0))+IF(Crédits!$K$7="",0,IF(Crédits!$K$7&lt;Crédits!$K$8,U281,0))+IF(Crédits!$K$9="",0,IF(Crédits!$K$9&lt;Crédits!$K$8,AK281,0))+IF(Crédits!$K$10="",0,IF(Crédits!$K$10&lt;Crédits!$K$8,AS281,0))))))</f>
        <v>0</v>
      </c>
      <c r="AE281" s="98">
        <f t="shared" si="283"/>
        <v>0</v>
      </c>
      <c r="AF281" s="88">
        <f>ROUND(AF280+AG281-MIN(N(Crédits!$E$8),AF280+AG281),2)</f>
        <v>0</v>
      </c>
      <c r="AG281" s="89">
        <f>AF280*N(Crédits!$D$8)/12</f>
        <v>0</v>
      </c>
      <c r="AH281" s="99">
        <f t="shared" si="296"/>
        <v>0</v>
      </c>
      <c r="AI281" s="99">
        <f>AH281*N(Crédits!$D$9)/12</f>
        <v>0</v>
      </c>
      <c r="AJ281" s="99">
        <f>MIN(N(Crédits!$E$9),AH281+AI281)</f>
        <v>0</v>
      </c>
      <c r="AK281" s="99">
        <f t="shared" si="284"/>
        <v>0</v>
      </c>
      <c r="AL281" s="100">
        <f>IF(Crédits!$K$9="",0,MAX(0,MIN(AK281,Plan!$L$283-(IF(Crédits!$K$5="",0,IF(Crédits!$K$5&lt;Crédits!$K$9,E281,0))+IF(Crédits!$K$6="",0,IF(Crédits!$K$6&lt;Crédits!$K$9,M281,0))+IF(Crédits!$K$7="",0,IF(Crédits!$K$7&lt;Crédits!$K$9,U281,0))+IF(Crédits!$K$8="",0,IF(Crédits!$K$8&lt;Crédits!$K$9,AC281,0))+IF(Crédits!$K$10="",0,IF(Crédits!$K$10&lt;Crédits!$K$9,AS281,0))))))</f>
        <v>0</v>
      </c>
      <c r="AM281" s="101">
        <f t="shared" si="285"/>
        <v>0</v>
      </c>
      <c r="AN281" s="88">
        <f>ROUND(AN280+AO281-MIN(N(Crédits!$E$9),AN280+AO281),2)</f>
        <v>0</v>
      </c>
      <c r="AO281" s="89">
        <f>AN280*N(Crédits!$D$9)/12</f>
        <v>0</v>
      </c>
      <c r="AP281" s="102">
        <f t="shared" si="297"/>
        <v>0</v>
      </c>
      <c r="AQ281" s="102">
        <f>AP281*N(Crédits!$D$10)/12</f>
        <v>0</v>
      </c>
      <c r="AR281" s="102">
        <f>MIN(N(Crédits!$E$10),AP281+AQ281)</f>
        <v>0</v>
      </c>
      <c r="AS281" s="102">
        <f t="shared" si="286"/>
        <v>0</v>
      </c>
      <c r="AT281" s="103">
        <f>IF(Crédits!$K$10="",0,MAX(0,MIN(AS281,Plan!$L$283-(IF(Crédits!$K$5="",0,IF(Crédits!$K$5&lt;Crédits!$K$10,E281,0))+IF(Crédits!$K$6="",0,IF(Crédits!$K$6&lt;Crédits!$K$10,M281,0))+IF(Crédits!$K$7="",0,IF(Crédits!$K$7&lt;Crédits!$K$10,U281,0))+IF(Crédits!$K$8="",0,IF(Crédits!$K$8&lt;Crédits!$K$10,AC281,0))+IF(Crédits!$K$9="",0,IF(Crédits!$K$9&lt;Crédits!$K$10,AK281,0))))))</f>
        <v>0</v>
      </c>
      <c r="AU281" s="104">
        <f t="shared" si="287"/>
        <v>0</v>
      </c>
      <c r="AV281" s="88">
        <f>ROUND(AV280+AW281-MIN(N(Crédits!$E$10),AV280+AW281),2)</f>
        <v>0</v>
      </c>
      <c r="AW281" s="89">
        <f>AV280*N(Crédits!$D$10)/12</f>
        <v>0</v>
      </c>
      <c r="AX281" s="105">
        <f t="shared" si="288"/>
        <v>0</v>
      </c>
      <c r="AY281" s="105">
        <f t="shared" ref="AY281:AZ281" si="320">F281+N281+V281+AD281+AL281+AT281</f>
        <v>0</v>
      </c>
      <c r="AZ281" s="105">
        <f t="shared" si="320"/>
        <v>0</v>
      </c>
      <c r="BA281" s="105">
        <f t="shared" si="290"/>
        <v>0</v>
      </c>
      <c r="BB281" s="105">
        <f t="shared" si="291"/>
        <v>0</v>
      </c>
    </row>
    <row r="282" spans="1:54" ht="15" customHeight="1" x14ac:dyDescent="0.25">
      <c r="A282" s="2">
        <v>280</v>
      </c>
      <c r="B282" s="83">
        <f t="shared" si="292"/>
        <v>0</v>
      </c>
      <c r="C282" s="83">
        <f>B282*N(Crédits!$D$5)/12</f>
        <v>0</v>
      </c>
      <c r="D282" s="83">
        <f>MIN(N(Crédits!$E$5),B282+C282)</f>
        <v>0</v>
      </c>
      <c r="E282" s="83">
        <f t="shared" si="276"/>
        <v>0</v>
      </c>
      <c r="F282" s="86">
        <f>IF(Crédits!$K$5="",0,MAX(0,MIN(E282,Plan!$L$284-(IF(Crédits!$K$6="",0,IF(Crédits!$K$6&lt;Crédits!$K$5,M282,0))+IF(Crédits!$K$7="",0,IF(Crédits!$K$7&lt;Crédits!$K$5,U282,0))+IF(Crédits!$K$8="",0,IF(Crédits!$K$8&lt;Crédits!$K$5,AC282,0))+IF(Crédits!$K$9="",0,IF(Crédits!$K$9&lt;Crédits!$K$5,AK282,0))+IF(Crédits!$K$10="",0,IF(Crédits!$K$10&lt;Crédits!$K$5,AS282,0))))))</f>
        <v>0</v>
      </c>
      <c r="G282" s="87">
        <f t="shared" si="277"/>
        <v>0</v>
      </c>
      <c r="H282" s="88">
        <f>ROUND(H281+I282-MIN(N(Crédits!$E$5),H281+I282),2)</f>
        <v>0</v>
      </c>
      <c r="I282" s="89">
        <f>H281*N(Crédits!$D$5)/12</f>
        <v>0</v>
      </c>
      <c r="J282" s="90">
        <f t="shared" si="293"/>
        <v>0</v>
      </c>
      <c r="K282" s="90">
        <f>J282*N(Crédits!$D$6)/12</f>
        <v>0</v>
      </c>
      <c r="L282" s="90">
        <f>MIN(N(Crédits!$E$6),J282+K282)</f>
        <v>0</v>
      </c>
      <c r="M282" s="90">
        <f t="shared" si="278"/>
        <v>0</v>
      </c>
      <c r="N282" s="91">
        <f>IF(Crédits!$K$6="",0,MAX(0,MIN(M282,Plan!$L$284-(IF(Crédits!$K$5="",0,IF(Crédits!$K$5&lt;Crédits!$K$6,E282,0))+IF(Crédits!$K$7="",0,IF(Crédits!$K$7&lt;Crédits!$K$6,U282,0))+IF(Crédits!$K$8="",0,IF(Crédits!$K$8&lt;Crédits!$K$6,AC282,0))+IF(Crédits!$K$9="",0,IF(Crédits!$K$9&lt;Crédits!$K$6,AK282,0))+IF(Crédits!$K$10="",0,IF(Crédits!$K$10&lt;Crédits!$K$6,AS282,0))))))</f>
        <v>0</v>
      </c>
      <c r="O282" s="92">
        <f t="shared" si="279"/>
        <v>0</v>
      </c>
      <c r="P282" s="88">
        <f>ROUND(P281+Q282-MIN(N(Crédits!$E$6),P281+Q282),2)</f>
        <v>0</v>
      </c>
      <c r="Q282" s="89">
        <f>P281*N(Crédits!$D$6)/12</f>
        <v>0</v>
      </c>
      <c r="R282" s="93">
        <f t="shared" si="294"/>
        <v>0</v>
      </c>
      <c r="S282" s="93">
        <f>R282*N(Crédits!$D$7)/12</f>
        <v>0</v>
      </c>
      <c r="T282" s="93">
        <f>MIN(N(Crédits!$E$7),R282+S282)</f>
        <v>0</v>
      </c>
      <c r="U282" s="93">
        <f t="shared" si="280"/>
        <v>0</v>
      </c>
      <c r="V282" s="94">
        <f>IF(Crédits!$K$7="",0,MAX(0,MIN(U282,Plan!$L$284-(IF(Crédits!$K$5="",0,IF(Crédits!$K$5&lt;Crédits!$K$7,E282,0))+IF(Crédits!$K$6="",0,IF(Crédits!$K$6&lt;Crédits!$K$7,M282,0))+IF(Crédits!$K$8="",0,IF(Crédits!$K$8&lt;Crédits!$K$7,AC282,0))+IF(Crédits!$K$9="",0,IF(Crédits!$K$9&lt;Crédits!$K$7,AK282,0))+IF(Crédits!$K$10="",0,IF(Crédits!$K$10&lt;Crédits!$K$7,AS282,0))))))</f>
        <v>0</v>
      </c>
      <c r="W282" s="95">
        <f t="shared" si="281"/>
        <v>0</v>
      </c>
      <c r="X282" s="88">
        <f>ROUND(X281+Y282-MIN(N(Crédits!$E$7),X281+Y282),2)</f>
        <v>0</v>
      </c>
      <c r="Y282" s="89">
        <f>X281*N(Crédits!$D$7)/12</f>
        <v>0</v>
      </c>
      <c r="Z282" s="96">
        <f t="shared" si="295"/>
        <v>0</v>
      </c>
      <c r="AA282" s="96">
        <f>Z282*N(Crédits!$D$8)/12</f>
        <v>0</v>
      </c>
      <c r="AB282" s="96">
        <f>MIN(N(Crédits!$E$8),Z282+AA282)</f>
        <v>0</v>
      </c>
      <c r="AC282" s="96">
        <f t="shared" si="282"/>
        <v>0</v>
      </c>
      <c r="AD282" s="97">
        <f>IF(Crédits!$K$8="",0,MAX(0,MIN(AC282,Plan!$L$284-(IF(Crédits!$K$5="",0,IF(Crédits!$K$5&lt;Crédits!$K$8,E282,0))+IF(Crédits!$K$6="",0,IF(Crédits!$K$6&lt;Crédits!$K$8,M282,0))+IF(Crédits!$K$7="",0,IF(Crédits!$K$7&lt;Crédits!$K$8,U282,0))+IF(Crédits!$K$9="",0,IF(Crédits!$K$9&lt;Crédits!$K$8,AK282,0))+IF(Crédits!$K$10="",0,IF(Crédits!$K$10&lt;Crédits!$K$8,AS282,0))))))</f>
        <v>0</v>
      </c>
      <c r="AE282" s="98">
        <f t="shared" si="283"/>
        <v>0</v>
      </c>
      <c r="AF282" s="88">
        <f>ROUND(AF281+AG282-MIN(N(Crédits!$E$8),AF281+AG282),2)</f>
        <v>0</v>
      </c>
      <c r="AG282" s="89">
        <f>AF281*N(Crédits!$D$8)/12</f>
        <v>0</v>
      </c>
      <c r="AH282" s="99">
        <f t="shared" si="296"/>
        <v>0</v>
      </c>
      <c r="AI282" s="99">
        <f>AH282*N(Crédits!$D$9)/12</f>
        <v>0</v>
      </c>
      <c r="AJ282" s="99">
        <f>MIN(N(Crédits!$E$9),AH282+AI282)</f>
        <v>0</v>
      </c>
      <c r="AK282" s="99">
        <f t="shared" si="284"/>
        <v>0</v>
      </c>
      <c r="AL282" s="100">
        <f>IF(Crédits!$K$9="",0,MAX(0,MIN(AK282,Plan!$L$284-(IF(Crédits!$K$5="",0,IF(Crédits!$K$5&lt;Crédits!$K$9,E282,0))+IF(Crédits!$K$6="",0,IF(Crédits!$K$6&lt;Crédits!$K$9,M282,0))+IF(Crédits!$K$7="",0,IF(Crédits!$K$7&lt;Crédits!$K$9,U282,0))+IF(Crédits!$K$8="",0,IF(Crédits!$K$8&lt;Crédits!$K$9,AC282,0))+IF(Crédits!$K$10="",0,IF(Crédits!$K$10&lt;Crédits!$K$9,AS282,0))))))</f>
        <v>0</v>
      </c>
      <c r="AM282" s="101">
        <f t="shared" si="285"/>
        <v>0</v>
      </c>
      <c r="AN282" s="88">
        <f>ROUND(AN281+AO282-MIN(N(Crédits!$E$9),AN281+AO282),2)</f>
        <v>0</v>
      </c>
      <c r="AO282" s="89">
        <f>AN281*N(Crédits!$D$9)/12</f>
        <v>0</v>
      </c>
      <c r="AP282" s="102">
        <f t="shared" si="297"/>
        <v>0</v>
      </c>
      <c r="AQ282" s="102">
        <f>AP282*N(Crédits!$D$10)/12</f>
        <v>0</v>
      </c>
      <c r="AR282" s="102">
        <f>MIN(N(Crédits!$E$10),AP282+AQ282)</f>
        <v>0</v>
      </c>
      <c r="AS282" s="102">
        <f t="shared" si="286"/>
        <v>0</v>
      </c>
      <c r="AT282" s="103">
        <f>IF(Crédits!$K$10="",0,MAX(0,MIN(AS282,Plan!$L$284-(IF(Crédits!$K$5="",0,IF(Crédits!$K$5&lt;Crédits!$K$10,E282,0))+IF(Crédits!$K$6="",0,IF(Crédits!$K$6&lt;Crédits!$K$10,M282,0))+IF(Crédits!$K$7="",0,IF(Crédits!$K$7&lt;Crédits!$K$10,U282,0))+IF(Crédits!$K$8="",0,IF(Crédits!$K$8&lt;Crédits!$K$10,AC282,0))+IF(Crédits!$K$9="",0,IF(Crédits!$K$9&lt;Crédits!$K$10,AK282,0))))))</f>
        <v>0</v>
      </c>
      <c r="AU282" s="104">
        <f t="shared" si="287"/>
        <v>0</v>
      </c>
      <c r="AV282" s="88">
        <f>ROUND(AV281+AW282-MIN(N(Crédits!$E$10),AV281+AW282),2)</f>
        <v>0</v>
      </c>
      <c r="AW282" s="89">
        <f>AV281*N(Crédits!$D$10)/12</f>
        <v>0</v>
      </c>
      <c r="AX282" s="105">
        <f t="shared" si="288"/>
        <v>0</v>
      </c>
      <c r="AY282" s="105">
        <f t="shared" ref="AY282:AZ282" si="321">F282+N282+V282+AD282+AL282+AT282</f>
        <v>0</v>
      </c>
      <c r="AZ282" s="105">
        <f t="shared" si="321"/>
        <v>0</v>
      </c>
      <c r="BA282" s="105">
        <f t="shared" si="290"/>
        <v>0</v>
      </c>
      <c r="BB282" s="105">
        <f t="shared" si="291"/>
        <v>0</v>
      </c>
    </row>
    <row r="283" spans="1:54" ht="15" customHeight="1" x14ac:dyDescent="0.25">
      <c r="A283" s="2">
        <v>281</v>
      </c>
      <c r="B283" s="83">
        <f t="shared" si="292"/>
        <v>0</v>
      </c>
      <c r="C283" s="83">
        <f>B283*N(Crédits!$D$5)/12</f>
        <v>0</v>
      </c>
      <c r="D283" s="83">
        <f>MIN(N(Crédits!$E$5),B283+C283)</f>
        <v>0</v>
      </c>
      <c r="E283" s="83">
        <f t="shared" si="276"/>
        <v>0</v>
      </c>
      <c r="F283" s="86">
        <f>IF(Crédits!$K$5="",0,MAX(0,MIN(E283,Plan!$L$285-(IF(Crédits!$K$6="",0,IF(Crédits!$K$6&lt;Crédits!$K$5,M283,0))+IF(Crédits!$K$7="",0,IF(Crédits!$K$7&lt;Crédits!$K$5,U283,0))+IF(Crédits!$K$8="",0,IF(Crédits!$K$8&lt;Crédits!$K$5,AC283,0))+IF(Crédits!$K$9="",0,IF(Crédits!$K$9&lt;Crédits!$K$5,AK283,0))+IF(Crédits!$K$10="",0,IF(Crédits!$K$10&lt;Crédits!$K$5,AS283,0))))))</f>
        <v>0</v>
      </c>
      <c r="G283" s="87">
        <f t="shared" si="277"/>
        <v>0</v>
      </c>
      <c r="H283" s="88">
        <f>ROUND(H282+I283-MIN(N(Crédits!$E$5),H282+I283),2)</f>
        <v>0</v>
      </c>
      <c r="I283" s="89">
        <f>H282*N(Crédits!$D$5)/12</f>
        <v>0</v>
      </c>
      <c r="J283" s="90">
        <f t="shared" si="293"/>
        <v>0</v>
      </c>
      <c r="K283" s="90">
        <f>J283*N(Crédits!$D$6)/12</f>
        <v>0</v>
      </c>
      <c r="L283" s="90">
        <f>MIN(N(Crédits!$E$6),J283+K283)</f>
        <v>0</v>
      </c>
      <c r="M283" s="90">
        <f t="shared" si="278"/>
        <v>0</v>
      </c>
      <c r="N283" s="91">
        <f>IF(Crédits!$K$6="",0,MAX(0,MIN(M283,Plan!$L$285-(IF(Crédits!$K$5="",0,IF(Crédits!$K$5&lt;Crédits!$K$6,E283,0))+IF(Crédits!$K$7="",0,IF(Crédits!$K$7&lt;Crédits!$K$6,U283,0))+IF(Crédits!$K$8="",0,IF(Crédits!$K$8&lt;Crédits!$K$6,AC283,0))+IF(Crédits!$K$9="",0,IF(Crédits!$K$9&lt;Crédits!$K$6,AK283,0))+IF(Crédits!$K$10="",0,IF(Crédits!$K$10&lt;Crédits!$K$6,AS283,0))))))</f>
        <v>0</v>
      </c>
      <c r="O283" s="92">
        <f t="shared" si="279"/>
        <v>0</v>
      </c>
      <c r="P283" s="88">
        <f>ROUND(P282+Q283-MIN(N(Crédits!$E$6),P282+Q283),2)</f>
        <v>0</v>
      </c>
      <c r="Q283" s="89">
        <f>P282*N(Crédits!$D$6)/12</f>
        <v>0</v>
      </c>
      <c r="R283" s="93">
        <f t="shared" si="294"/>
        <v>0</v>
      </c>
      <c r="S283" s="93">
        <f>R283*N(Crédits!$D$7)/12</f>
        <v>0</v>
      </c>
      <c r="T283" s="93">
        <f>MIN(N(Crédits!$E$7),R283+S283)</f>
        <v>0</v>
      </c>
      <c r="U283" s="93">
        <f t="shared" si="280"/>
        <v>0</v>
      </c>
      <c r="V283" s="94">
        <f>IF(Crédits!$K$7="",0,MAX(0,MIN(U283,Plan!$L$285-(IF(Crédits!$K$5="",0,IF(Crédits!$K$5&lt;Crédits!$K$7,E283,0))+IF(Crédits!$K$6="",0,IF(Crédits!$K$6&lt;Crédits!$K$7,M283,0))+IF(Crédits!$K$8="",0,IF(Crédits!$K$8&lt;Crédits!$K$7,AC283,0))+IF(Crédits!$K$9="",0,IF(Crédits!$K$9&lt;Crédits!$K$7,AK283,0))+IF(Crédits!$K$10="",0,IF(Crédits!$K$10&lt;Crédits!$K$7,AS283,0))))))</f>
        <v>0</v>
      </c>
      <c r="W283" s="95">
        <f t="shared" si="281"/>
        <v>0</v>
      </c>
      <c r="X283" s="88">
        <f>ROUND(X282+Y283-MIN(N(Crédits!$E$7),X282+Y283),2)</f>
        <v>0</v>
      </c>
      <c r="Y283" s="89">
        <f>X282*N(Crédits!$D$7)/12</f>
        <v>0</v>
      </c>
      <c r="Z283" s="96">
        <f t="shared" si="295"/>
        <v>0</v>
      </c>
      <c r="AA283" s="96">
        <f>Z283*N(Crédits!$D$8)/12</f>
        <v>0</v>
      </c>
      <c r="AB283" s="96">
        <f>MIN(N(Crédits!$E$8),Z283+AA283)</f>
        <v>0</v>
      </c>
      <c r="AC283" s="96">
        <f t="shared" si="282"/>
        <v>0</v>
      </c>
      <c r="AD283" s="97">
        <f>IF(Crédits!$K$8="",0,MAX(0,MIN(AC283,Plan!$L$285-(IF(Crédits!$K$5="",0,IF(Crédits!$K$5&lt;Crédits!$K$8,E283,0))+IF(Crédits!$K$6="",0,IF(Crédits!$K$6&lt;Crédits!$K$8,M283,0))+IF(Crédits!$K$7="",0,IF(Crédits!$K$7&lt;Crédits!$K$8,U283,0))+IF(Crédits!$K$9="",0,IF(Crédits!$K$9&lt;Crédits!$K$8,AK283,0))+IF(Crédits!$K$10="",0,IF(Crédits!$K$10&lt;Crédits!$K$8,AS283,0))))))</f>
        <v>0</v>
      </c>
      <c r="AE283" s="98">
        <f t="shared" si="283"/>
        <v>0</v>
      </c>
      <c r="AF283" s="88">
        <f>ROUND(AF282+AG283-MIN(N(Crédits!$E$8),AF282+AG283),2)</f>
        <v>0</v>
      </c>
      <c r="AG283" s="89">
        <f>AF282*N(Crédits!$D$8)/12</f>
        <v>0</v>
      </c>
      <c r="AH283" s="99">
        <f t="shared" si="296"/>
        <v>0</v>
      </c>
      <c r="AI283" s="99">
        <f>AH283*N(Crédits!$D$9)/12</f>
        <v>0</v>
      </c>
      <c r="AJ283" s="99">
        <f>MIN(N(Crédits!$E$9),AH283+AI283)</f>
        <v>0</v>
      </c>
      <c r="AK283" s="99">
        <f t="shared" si="284"/>
        <v>0</v>
      </c>
      <c r="AL283" s="100">
        <f>IF(Crédits!$K$9="",0,MAX(0,MIN(AK283,Plan!$L$285-(IF(Crédits!$K$5="",0,IF(Crédits!$K$5&lt;Crédits!$K$9,E283,0))+IF(Crédits!$K$6="",0,IF(Crédits!$K$6&lt;Crédits!$K$9,M283,0))+IF(Crédits!$K$7="",0,IF(Crédits!$K$7&lt;Crédits!$K$9,U283,0))+IF(Crédits!$K$8="",0,IF(Crédits!$K$8&lt;Crédits!$K$9,AC283,0))+IF(Crédits!$K$10="",0,IF(Crédits!$K$10&lt;Crédits!$K$9,AS283,0))))))</f>
        <v>0</v>
      </c>
      <c r="AM283" s="101">
        <f t="shared" si="285"/>
        <v>0</v>
      </c>
      <c r="AN283" s="88">
        <f>ROUND(AN282+AO283-MIN(N(Crédits!$E$9),AN282+AO283),2)</f>
        <v>0</v>
      </c>
      <c r="AO283" s="89">
        <f>AN282*N(Crédits!$D$9)/12</f>
        <v>0</v>
      </c>
      <c r="AP283" s="102">
        <f t="shared" si="297"/>
        <v>0</v>
      </c>
      <c r="AQ283" s="102">
        <f>AP283*N(Crédits!$D$10)/12</f>
        <v>0</v>
      </c>
      <c r="AR283" s="102">
        <f>MIN(N(Crédits!$E$10),AP283+AQ283)</f>
        <v>0</v>
      </c>
      <c r="AS283" s="102">
        <f t="shared" si="286"/>
        <v>0</v>
      </c>
      <c r="AT283" s="103">
        <f>IF(Crédits!$K$10="",0,MAX(0,MIN(AS283,Plan!$L$285-(IF(Crédits!$K$5="",0,IF(Crédits!$K$5&lt;Crédits!$K$10,E283,0))+IF(Crédits!$K$6="",0,IF(Crédits!$K$6&lt;Crédits!$K$10,M283,0))+IF(Crédits!$K$7="",0,IF(Crédits!$K$7&lt;Crédits!$K$10,U283,0))+IF(Crédits!$K$8="",0,IF(Crédits!$K$8&lt;Crédits!$K$10,AC283,0))+IF(Crédits!$K$9="",0,IF(Crédits!$K$9&lt;Crédits!$K$10,AK283,0))))))</f>
        <v>0</v>
      </c>
      <c r="AU283" s="104">
        <f t="shared" si="287"/>
        <v>0</v>
      </c>
      <c r="AV283" s="88">
        <f>ROUND(AV282+AW283-MIN(N(Crédits!$E$10),AV282+AW283),2)</f>
        <v>0</v>
      </c>
      <c r="AW283" s="89">
        <f>AV282*N(Crédits!$D$10)/12</f>
        <v>0</v>
      </c>
      <c r="AX283" s="105">
        <f t="shared" si="288"/>
        <v>0</v>
      </c>
      <c r="AY283" s="105">
        <f t="shared" ref="AY283:AZ283" si="322">F283+N283+V283+AD283+AL283+AT283</f>
        <v>0</v>
      </c>
      <c r="AZ283" s="105">
        <f t="shared" si="322"/>
        <v>0</v>
      </c>
      <c r="BA283" s="105">
        <f t="shared" si="290"/>
        <v>0</v>
      </c>
      <c r="BB283" s="105">
        <f t="shared" si="291"/>
        <v>0</v>
      </c>
    </row>
    <row r="284" spans="1:54" ht="15" customHeight="1" x14ac:dyDescent="0.25">
      <c r="A284" s="2">
        <v>282</v>
      </c>
      <c r="B284" s="83">
        <f t="shared" si="292"/>
        <v>0</v>
      </c>
      <c r="C284" s="83">
        <f>B284*N(Crédits!$D$5)/12</f>
        <v>0</v>
      </c>
      <c r="D284" s="83">
        <f>MIN(N(Crédits!$E$5),B284+C284)</f>
        <v>0</v>
      </c>
      <c r="E284" s="83">
        <f t="shared" si="276"/>
        <v>0</v>
      </c>
      <c r="F284" s="86">
        <f>IF(Crédits!$K$5="",0,MAX(0,MIN(E284,Plan!$L$286-(IF(Crédits!$K$6="",0,IF(Crédits!$K$6&lt;Crédits!$K$5,M284,0))+IF(Crédits!$K$7="",0,IF(Crédits!$K$7&lt;Crédits!$K$5,U284,0))+IF(Crédits!$K$8="",0,IF(Crédits!$K$8&lt;Crédits!$K$5,AC284,0))+IF(Crédits!$K$9="",0,IF(Crédits!$K$9&lt;Crédits!$K$5,AK284,0))+IF(Crédits!$K$10="",0,IF(Crédits!$K$10&lt;Crédits!$K$5,AS284,0))))))</f>
        <v>0</v>
      </c>
      <c r="G284" s="87">
        <f t="shared" si="277"/>
        <v>0</v>
      </c>
      <c r="H284" s="88">
        <f>ROUND(H283+I284-MIN(N(Crédits!$E$5),H283+I284),2)</f>
        <v>0</v>
      </c>
      <c r="I284" s="89">
        <f>H283*N(Crédits!$D$5)/12</f>
        <v>0</v>
      </c>
      <c r="J284" s="90">
        <f t="shared" si="293"/>
        <v>0</v>
      </c>
      <c r="K284" s="90">
        <f>J284*N(Crédits!$D$6)/12</f>
        <v>0</v>
      </c>
      <c r="L284" s="90">
        <f>MIN(N(Crédits!$E$6),J284+K284)</f>
        <v>0</v>
      </c>
      <c r="M284" s="90">
        <f t="shared" si="278"/>
        <v>0</v>
      </c>
      <c r="N284" s="91">
        <f>IF(Crédits!$K$6="",0,MAX(0,MIN(M284,Plan!$L$286-(IF(Crédits!$K$5="",0,IF(Crédits!$K$5&lt;Crédits!$K$6,E284,0))+IF(Crédits!$K$7="",0,IF(Crédits!$K$7&lt;Crédits!$K$6,U284,0))+IF(Crédits!$K$8="",0,IF(Crédits!$K$8&lt;Crédits!$K$6,AC284,0))+IF(Crédits!$K$9="",0,IF(Crédits!$K$9&lt;Crédits!$K$6,AK284,0))+IF(Crédits!$K$10="",0,IF(Crédits!$K$10&lt;Crédits!$K$6,AS284,0))))))</f>
        <v>0</v>
      </c>
      <c r="O284" s="92">
        <f t="shared" si="279"/>
        <v>0</v>
      </c>
      <c r="P284" s="88">
        <f>ROUND(P283+Q284-MIN(N(Crédits!$E$6),P283+Q284),2)</f>
        <v>0</v>
      </c>
      <c r="Q284" s="89">
        <f>P283*N(Crédits!$D$6)/12</f>
        <v>0</v>
      </c>
      <c r="R284" s="93">
        <f t="shared" si="294"/>
        <v>0</v>
      </c>
      <c r="S284" s="93">
        <f>R284*N(Crédits!$D$7)/12</f>
        <v>0</v>
      </c>
      <c r="T284" s="93">
        <f>MIN(N(Crédits!$E$7),R284+S284)</f>
        <v>0</v>
      </c>
      <c r="U284" s="93">
        <f t="shared" si="280"/>
        <v>0</v>
      </c>
      <c r="V284" s="94">
        <f>IF(Crédits!$K$7="",0,MAX(0,MIN(U284,Plan!$L$286-(IF(Crédits!$K$5="",0,IF(Crédits!$K$5&lt;Crédits!$K$7,E284,0))+IF(Crédits!$K$6="",0,IF(Crédits!$K$6&lt;Crédits!$K$7,M284,0))+IF(Crédits!$K$8="",0,IF(Crédits!$K$8&lt;Crédits!$K$7,AC284,0))+IF(Crédits!$K$9="",0,IF(Crédits!$K$9&lt;Crédits!$K$7,AK284,0))+IF(Crédits!$K$10="",0,IF(Crédits!$K$10&lt;Crédits!$K$7,AS284,0))))))</f>
        <v>0</v>
      </c>
      <c r="W284" s="95">
        <f t="shared" si="281"/>
        <v>0</v>
      </c>
      <c r="X284" s="88">
        <f>ROUND(X283+Y284-MIN(N(Crédits!$E$7),X283+Y284),2)</f>
        <v>0</v>
      </c>
      <c r="Y284" s="89">
        <f>X283*N(Crédits!$D$7)/12</f>
        <v>0</v>
      </c>
      <c r="Z284" s="96">
        <f t="shared" si="295"/>
        <v>0</v>
      </c>
      <c r="AA284" s="96">
        <f>Z284*N(Crédits!$D$8)/12</f>
        <v>0</v>
      </c>
      <c r="AB284" s="96">
        <f>MIN(N(Crédits!$E$8),Z284+AA284)</f>
        <v>0</v>
      </c>
      <c r="AC284" s="96">
        <f t="shared" si="282"/>
        <v>0</v>
      </c>
      <c r="AD284" s="97">
        <f>IF(Crédits!$K$8="",0,MAX(0,MIN(AC284,Plan!$L$286-(IF(Crédits!$K$5="",0,IF(Crédits!$K$5&lt;Crédits!$K$8,E284,0))+IF(Crédits!$K$6="",0,IF(Crédits!$K$6&lt;Crédits!$K$8,M284,0))+IF(Crédits!$K$7="",0,IF(Crédits!$K$7&lt;Crédits!$K$8,U284,0))+IF(Crédits!$K$9="",0,IF(Crédits!$K$9&lt;Crédits!$K$8,AK284,0))+IF(Crédits!$K$10="",0,IF(Crédits!$K$10&lt;Crédits!$K$8,AS284,0))))))</f>
        <v>0</v>
      </c>
      <c r="AE284" s="98">
        <f t="shared" si="283"/>
        <v>0</v>
      </c>
      <c r="AF284" s="88">
        <f>ROUND(AF283+AG284-MIN(N(Crédits!$E$8),AF283+AG284),2)</f>
        <v>0</v>
      </c>
      <c r="AG284" s="89">
        <f>AF283*N(Crédits!$D$8)/12</f>
        <v>0</v>
      </c>
      <c r="AH284" s="99">
        <f t="shared" si="296"/>
        <v>0</v>
      </c>
      <c r="AI284" s="99">
        <f>AH284*N(Crédits!$D$9)/12</f>
        <v>0</v>
      </c>
      <c r="AJ284" s="99">
        <f>MIN(N(Crédits!$E$9),AH284+AI284)</f>
        <v>0</v>
      </c>
      <c r="AK284" s="99">
        <f t="shared" si="284"/>
        <v>0</v>
      </c>
      <c r="AL284" s="100">
        <f>IF(Crédits!$K$9="",0,MAX(0,MIN(AK284,Plan!$L$286-(IF(Crédits!$K$5="",0,IF(Crédits!$K$5&lt;Crédits!$K$9,E284,0))+IF(Crédits!$K$6="",0,IF(Crédits!$K$6&lt;Crédits!$K$9,M284,0))+IF(Crédits!$K$7="",0,IF(Crédits!$K$7&lt;Crédits!$K$9,U284,0))+IF(Crédits!$K$8="",0,IF(Crédits!$K$8&lt;Crédits!$K$9,AC284,0))+IF(Crédits!$K$10="",0,IF(Crédits!$K$10&lt;Crédits!$K$9,AS284,0))))))</f>
        <v>0</v>
      </c>
      <c r="AM284" s="101">
        <f t="shared" si="285"/>
        <v>0</v>
      </c>
      <c r="AN284" s="88">
        <f>ROUND(AN283+AO284-MIN(N(Crédits!$E$9),AN283+AO284),2)</f>
        <v>0</v>
      </c>
      <c r="AO284" s="89">
        <f>AN283*N(Crédits!$D$9)/12</f>
        <v>0</v>
      </c>
      <c r="AP284" s="102">
        <f t="shared" si="297"/>
        <v>0</v>
      </c>
      <c r="AQ284" s="102">
        <f>AP284*N(Crédits!$D$10)/12</f>
        <v>0</v>
      </c>
      <c r="AR284" s="102">
        <f>MIN(N(Crédits!$E$10),AP284+AQ284)</f>
        <v>0</v>
      </c>
      <c r="AS284" s="102">
        <f t="shared" si="286"/>
        <v>0</v>
      </c>
      <c r="AT284" s="103">
        <f>IF(Crédits!$K$10="",0,MAX(0,MIN(AS284,Plan!$L$286-(IF(Crédits!$K$5="",0,IF(Crédits!$K$5&lt;Crédits!$K$10,E284,0))+IF(Crédits!$K$6="",0,IF(Crédits!$K$6&lt;Crédits!$K$10,M284,0))+IF(Crédits!$K$7="",0,IF(Crédits!$K$7&lt;Crédits!$K$10,U284,0))+IF(Crédits!$K$8="",0,IF(Crédits!$K$8&lt;Crédits!$K$10,AC284,0))+IF(Crédits!$K$9="",0,IF(Crédits!$K$9&lt;Crédits!$K$10,AK284,0))))))</f>
        <v>0</v>
      </c>
      <c r="AU284" s="104">
        <f t="shared" si="287"/>
        <v>0</v>
      </c>
      <c r="AV284" s="88">
        <f>ROUND(AV283+AW284-MIN(N(Crédits!$E$10),AV283+AW284),2)</f>
        <v>0</v>
      </c>
      <c r="AW284" s="89">
        <f>AV283*N(Crédits!$D$10)/12</f>
        <v>0</v>
      </c>
      <c r="AX284" s="105">
        <f t="shared" si="288"/>
        <v>0</v>
      </c>
      <c r="AY284" s="105">
        <f t="shared" ref="AY284:AZ284" si="323">F284+N284+V284+AD284+AL284+AT284</f>
        <v>0</v>
      </c>
      <c r="AZ284" s="105">
        <f t="shared" si="323"/>
        <v>0</v>
      </c>
      <c r="BA284" s="105">
        <f t="shared" si="290"/>
        <v>0</v>
      </c>
      <c r="BB284" s="105">
        <f t="shared" si="291"/>
        <v>0</v>
      </c>
    </row>
    <row r="285" spans="1:54" ht="15" customHeight="1" x14ac:dyDescent="0.25">
      <c r="A285" s="2">
        <v>283</v>
      </c>
      <c r="B285" s="83">
        <f t="shared" si="292"/>
        <v>0</v>
      </c>
      <c r="C285" s="83">
        <f>B285*N(Crédits!$D$5)/12</f>
        <v>0</v>
      </c>
      <c r="D285" s="83">
        <f>MIN(N(Crédits!$E$5),B285+C285)</f>
        <v>0</v>
      </c>
      <c r="E285" s="83">
        <f t="shared" si="276"/>
        <v>0</v>
      </c>
      <c r="F285" s="86">
        <f>IF(Crédits!$K$5="",0,MAX(0,MIN(E285,Plan!$L$287-(IF(Crédits!$K$6="",0,IF(Crédits!$K$6&lt;Crédits!$K$5,M285,0))+IF(Crédits!$K$7="",0,IF(Crédits!$K$7&lt;Crédits!$K$5,U285,0))+IF(Crédits!$K$8="",0,IF(Crédits!$K$8&lt;Crédits!$K$5,AC285,0))+IF(Crédits!$K$9="",0,IF(Crédits!$K$9&lt;Crédits!$K$5,AK285,0))+IF(Crédits!$K$10="",0,IF(Crédits!$K$10&lt;Crédits!$K$5,AS285,0))))))</f>
        <v>0</v>
      </c>
      <c r="G285" s="87">
        <f t="shared" si="277"/>
        <v>0</v>
      </c>
      <c r="H285" s="88">
        <f>ROUND(H284+I285-MIN(N(Crédits!$E$5),H284+I285),2)</f>
        <v>0</v>
      </c>
      <c r="I285" s="89">
        <f>H284*N(Crédits!$D$5)/12</f>
        <v>0</v>
      </c>
      <c r="J285" s="90">
        <f t="shared" si="293"/>
        <v>0</v>
      </c>
      <c r="K285" s="90">
        <f>J285*N(Crédits!$D$6)/12</f>
        <v>0</v>
      </c>
      <c r="L285" s="90">
        <f>MIN(N(Crédits!$E$6),J285+K285)</f>
        <v>0</v>
      </c>
      <c r="M285" s="90">
        <f t="shared" si="278"/>
        <v>0</v>
      </c>
      <c r="N285" s="91">
        <f>IF(Crédits!$K$6="",0,MAX(0,MIN(M285,Plan!$L$287-(IF(Crédits!$K$5="",0,IF(Crédits!$K$5&lt;Crédits!$K$6,E285,0))+IF(Crédits!$K$7="",0,IF(Crédits!$K$7&lt;Crédits!$K$6,U285,0))+IF(Crédits!$K$8="",0,IF(Crédits!$K$8&lt;Crédits!$K$6,AC285,0))+IF(Crédits!$K$9="",0,IF(Crédits!$K$9&lt;Crédits!$K$6,AK285,0))+IF(Crédits!$K$10="",0,IF(Crédits!$K$10&lt;Crédits!$K$6,AS285,0))))))</f>
        <v>0</v>
      </c>
      <c r="O285" s="92">
        <f t="shared" si="279"/>
        <v>0</v>
      </c>
      <c r="P285" s="88">
        <f>ROUND(P284+Q285-MIN(N(Crédits!$E$6),P284+Q285),2)</f>
        <v>0</v>
      </c>
      <c r="Q285" s="89">
        <f>P284*N(Crédits!$D$6)/12</f>
        <v>0</v>
      </c>
      <c r="R285" s="93">
        <f t="shared" si="294"/>
        <v>0</v>
      </c>
      <c r="S285" s="93">
        <f>R285*N(Crédits!$D$7)/12</f>
        <v>0</v>
      </c>
      <c r="T285" s="93">
        <f>MIN(N(Crédits!$E$7),R285+S285)</f>
        <v>0</v>
      </c>
      <c r="U285" s="93">
        <f t="shared" si="280"/>
        <v>0</v>
      </c>
      <c r="V285" s="94">
        <f>IF(Crédits!$K$7="",0,MAX(0,MIN(U285,Plan!$L$287-(IF(Crédits!$K$5="",0,IF(Crédits!$K$5&lt;Crédits!$K$7,E285,0))+IF(Crédits!$K$6="",0,IF(Crédits!$K$6&lt;Crédits!$K$7,M285,0))+IF(Crédits!$K$8="",0,IF(Crédits!$K$8&lt;Crédits!$K$7,AC285,0))+IF(Crédits!$K$9="",0,IF(Crédits!$K$9&lt;Crédits!$K$7,AK285,0))+IF(Crédits!$K$10="",0,IF(Crédits!$K$10&lt;Crédits!$K$7,AS285,0))))))</f>
        <v>0</v>
      </c>
      <c r="W285" s="95">
        <f t="shared" si="281"/>
        <v>0</v>
      </c>
      <c r="X285" s="88">
        <f>ROUND(X284+Y285-MIN(N(Crédits!$E$7),X284+Y285),2)</f>
        <v>0</v>
      </c>
      <c r="Y285" s="89">
        <f>X284*N(Crédits!$D$7)/12</f>
        <v>0</v>
      </c>
      <c r="Z285" s="96">
        <f t="shared" si="295"/>
        <v>0</v>
      </c>
      <c r="AA285" s="96">
        <f>Z285*N(Crédits!$D$8)/12</f>
        <v>0</v>
      </c>
      <c r="AB285" s="96">
        <f>MIN(N(Crédits!$E$8),Z285+AA285)</f>
        <v>0</v>
      </c>
      <c r="AC285" s="96">
        <f t="shared" si="282"/>
        <v>0</v>
      </c>
      <c r="AD285" s="97">
        <f>IF(Crédits!$K$8="",0,MAX(0,MIN(AC285,Plan!$L$287-(IF(Crédits!$K$5="",0,IF(Crédits!$K$5&lt;Crédits!$K$8,E285,0))+IF(Crédits!$K$6="",0,IF(Crédits!$K$6&lt;Crédits!$K$8,M285,0))+IF(Crédits!$K$7="",0,IF(Crédits!$K$7&lt;Crédits!$K$8,U285,0))+IF(Crédits!$K$9="",0,IF(Crédits!$K$9&lt;Crédits!$K$8,AK285,0))+IF(Crédits!$K$10="",0,IF(Crédits!$K$10&lt;Crédits!$K$8,AS285,0))))))</f>
        <v>0</v>
      </c>
      <c r="AE285" s="98">
        <f t="shared" si="283"/>
        <v>0</v>
      </c>
      <c r="AF285" s="88">
        <f>ROUND(AF284+AG285-MIN(N(Crédits!$E$8),AF284+AG285),2)</f>
        <v>0</v>
      </c>
      <c r="AG285" s="89">
        <f>AF284*N(Crédits!$D$8)/12</f>
        <v>0</v>
      </c>
      <c r="AH285" s="99">
        <f t="shared" si="296"/>
        <v>0</v>
      </c>
      <c r="AI285" s="99">
        <f>AH285*N(Crédits!$D$9)/12</f>
        <v>0</v>
      </c>
      <c r="AJ285" s="99">
        <f>MIN(N(Crédits!$E$9),AH285+AI285)</f>
        <v>0</v>
      </c>
      <c r="AK285" s="99">
        <f t="shared" si="284"/>
        <v>0</v>
      </c>
      <c r="AL285" s="100">
        <f>IF(Crédits!$K$9="",0,MAX(0,MIN(AK285,Plan!$L$287-(IF(Crédits!$K$5="",0,IF(Crédits!$K$5&lt;Crédits!$K$9,E285,0))+IF(Crédits!$K$6="",0,IF(Crédits!$K$6&lt;Crédits!$K$9,M285,0))+IF(Crédits!$K$7="",0,IF(Crédits!$K$7&lt;Crédits!$K$9,U285,0))+IF(Crédits!$K$8="",0,IF(Crédits!$K$8&lt;Crédits!$K$9,AC285,0))+IF(Crédits!$K$10="",0,IF(Crédits!$K$10&lt;Crédits!$K$9,AS285,0))))))</f>
        <v>0</v>
      </c>
      <c r="AM285" s="101">
        <f t="shared" si="285"/>
        <v>0</v>
      </c>
      <c r="AN285" s="88">
        <f>ROUND(AN284+AO285-MIN(N(Crédits!$E$9),AN284+AO285),2)</f>
        <v>0</v>
      </c>
      <c r="AO285" s="89">
        <f>AN284*N(Crédits!$D$9)/12</f>
        <v>0</v>
      </c>
      <c r="AP285" s="102">
        <f t="shared" si="297"/>
        <v>0</v>
      </c>
      <c r="AQ285" s="102">
        <f>AP285*N(Crédits!$D$10)/12</f>
        <v>0</v>
      </c>
      <c r="AR285" s="102">
        <f>MIN(N(Crédits!$E$10),AP285+AQ285)</f>
        <v>0</v>
      </c>
      <c r="AS285" s="102">
        <f t="shared" si="286"/>
        <v>0</v>
      </c>
      <c r="AT285" s="103">
        <f>IF(Crédits!$K$10="",0,MAX(0,MIN(AS285,Plan!$L$287-(IF(Crédits!$K$5="",0,IF(Crédits!$K$5&lt;Crédits!$K$10,E285,0))+IF(Crédits!$K$6="",0,IF(Crédits!$K$6&lt;Crédits!$K$10,M285,0))+IF(Crédits!$K$7="",0,IF(Crédits!$K$7&lt;Crédits!$K$10,U285,0))+IF(Crédits!$K$8="",0,IF(Crédits!$K$8&lt;Crédits!$K$10,AC285,0))+IF(Crédits!$K$9="",0,IF(Crédits!$K$9&lt;Crédits!$K$10,AK285,0))))))</f>
        <v>0</v>
      </c>
      <c r="AU285" s="104">
        <f t="shared" si="287"/>
        <v>0</v>
      </c>
      <c r="AV285" s="88">
        <f>ROUND(AV284+AW285-MIN(N(Crédits!$E$10),AV284+AW285),2)</f>
        <v>0</v>
      </c>
      <c r="AW285" s="89">
        <f>AV284*N(Crédits!$D$10)/12</f>
        <v>0</v>
      </c>
      <c r="AX285" s="105">
        <f t="shared" si="288"/>
        <v>0</v>
      </c>
      <c r="AY285" s="105">
        <f t="shared" ref="AY285:AZ285" si="324">F285+N285+V285+AD285+AL285+AT285</f>
        <v>0</v>
      </c>
      <c r="AZ285" s="105">
        <f t="shared" si="324"/>
        <v>0</v>
      </c>
      <c r="BA285" s="105">
        <f t="shared" si="290"/>
        <v>0</v>
      </c>
      <c r="BB285" s="105">
        <f t="shared" si="291"/>
        <v>0</v>
      </c>
    </row>
    <row r="286" spans="1:54" ht="15" customHeight="1" x14ac:dyDescent="0.25">
      <c r="A286" s="2">
        <v>284</v>
      </c>
      <c r="B286" s="83">
        <f t="shared" si="292"/>
        <v>0</v>
      </c>
      <c r="C286" s="83">
        <f>B286*N(Crédits!$D$5)/12</f>
        <v>0</v>
      </c>
      <c r="D286" s="83">
        <f>MIN(N(Crédits!$E$5),B286+C286)</f>
        <v>0</v>
      </c>
      <c r="E286" s="83">
        <f t="shared" si="276"/>
        <v>0</v>
      </c>
      <c r="F286" s="86">
        <f>IF(Crédits!$K$5="",0,MAX(0,MIN(E286,Plan!$L$288-(IF(Crédits!$K$6="",0,IF(Crédits!$K$6&lt;Crédits!$K$5,M286,0))+IF(Crédits!$K$7="",0,IF(Crédits!$K$7&lt;Crédits!$K$5,U286,0))+IF(Crédits!$K$8="",0,IF(Crédits!$K$8&lt;Crédits!$K$5,AC286,0))+IF(Crédits!$K$9="",0,IF(Crédits!$K$9&lt;Crédits!$K$5,AK286,0))+IF(Crédits!$K$10="",0,IF(Crédits!$K$10&lt;Crédits!$K$5,AS286,0))))))</f>
        <v>0</v>
      </c>
      <c r="G286" s="87">
        <f t="shared" si="277"/>
        <v>0</v>
      </c>
      <c r="H286" s="88">
        <f>ROUND(H285+I286-MIN(N(Crédits!$E$5),H285+I286),2)</f>
        <v>0</v>
      </c>
      <c r="I286" s="89">
        <f>H285*N(Crédits!$D$5)/12</f>
        <v>0</v>
      </c>
      <c r="J286" s="90">
        <f t="shared" si="293"/>
        <v>0</v>
      </c>
      <c r="K286" s="90">
        <f>J286*N(Crédits!$D$6)/12</f>
        <v>0</v>
      </c>
      <c r="L286" s="90">
        <f>MIN(N(Crédits!$E$6),J286+K286)</f>
        <v>0</v>
      </c>
      <c r="M286" s="90">
        <f t="shared" si="278"/>
        <v>0</v>
      </c>
      <c r="N286" s="91">
        <f>IF(Crédits!$K$6="",0,MAX(0,MIN(M286,Plan!$L$288-(IF(Crédits!$K$5="",0,IF(Crédits!$K$5&lt;Crédits!$K$6,E286,0))+IF(Crédits!$K$7="",0,IF(Crédits!$K$7&lt;Crédits!$K$6,U286,0))+IF(Crédits!$K$8="",0,IF(Crédits!$K$8&lt;Crédits!$K$6,AC286,0))+IF(Crédits!$K$9="",0,IF(Crédits!$K$9&lt;Crédits!$K$6,AK286,0))+IF(Crédits!$K$10="",0,IF(Crédits!$K$10&lt;Crédits!$K$6,AS286,0))))))</f>
        <v>0</v>
      </c>
      <c r="O286" s="92">
        <f t="shared" si="279"/>
        <v>0</v>
      </c>
      <c r="P286" s="88">
        <f>ROUND(P285+Q286-MIN(N(Crédits!$E$6),P285+Q286),2)</f>
        <v>0</v>
      </c>
      <c r="Q286" s="89">
        <f>P285*N(Crédits!$D$6)/12</f>
        <v>0</v>
      </c>
      <c r="R286" s="93">
        <f t="shared" si="294"/>
        <v>0</v>
      </c>
      <c r="S286" s="93">
        <f>R286*N(Crédits!$D$7)/12</f>
        <v>0</v>
      </c>
      <c r="T286" s="93">
        <f>MIN(N(Crédits!$E$7),R286+S286)</f>
        <v>0</v>
      </c>
      <c r="U286" s="93">
        <f t="shared" si="280"/>
        <v>0</v>
      </c>
      <c r="V286" s="94">
        <f>IF(Crédits!$K$7="",0,MAX(0,MIN(U286,Plan!$L$288-(IF(Crédits!$K$5="",0,IF(Crédits!$K$5&lt;Crédits!$K$7,E286,0))+IF(Crédits!$K$6="",0,IF(Crédits!$K$6&lt;Crédits!$K$7,M286,0))+IF(Crédits!$K$8="",0,IF(Crédits!$K$8&lt;Crédits!$K$7,AC286,0))+IF(Crédits!$K$9="",0,IF(Crédits!$K$9&lt;Crédits!$K$7,AK286,0))+IF(Crédits!$K$10="",0,IF(Crédits!$K$10&lt;Crédits!$K$7,AS286,0))))))</f>
        <v>0</v>
      </c>
      <c r="W286" s="95">
        <f t="shared" si="281"/>
        <v>0</v>
      </c>
      <c r="X286" s="88">
        <f>ROUND(X285+Y286-MIN(N(Crédits!$E$7),X285+Y286),2)</f>
        <v>0</v>
      </c>
      <c r="Y286" s="89">
        <f>X285*N(Crédits!$D$7)/12</f>
        <v>0</v>
      </c>
      <c r="Z286" s="96">
        <f t="shared" si="295"/>
        <v>0</v>
      </c>
      <c r="AA286" s="96">
        <f>Z286*N(Crédits!$D$8)/12</f>
        <v>0</v>
      </c>
      <c r="AB286" s="96">
        <f>MIN(N(Crédits!$E$8),Z286+AA286)</f>
        <v>0</v>
      </c>
      <c r="AC286" s="96">
        <f t="shared" si="282"/>
        <v>0</v>
      </c>
      <c r="AD286" s="97">
        <f>IF(Crédits!$K$8="",0,MAX(0,MIN(AC286,Plan!$L$288-(IF(Crédits!$K$5="",0,IF(Crédits!$K$5&lt;Crédits!$K$8,E286,0))+IF(Crédits!$K$6="",0,IF(Crédits!$K$6&lt;Crédits!$K$8,M286,0))+IF(Crédits!$K$7="",0,IF(Crédits!$K$7&lt;Crédits!$K$8,U286,0))+IF(Crédits!$K$9="",0,IF(Crédits!$K$9&lt;Crédits!$K$8,AK286,0))+IF(Crédits!$K$10="",0,IF(Crédits!$K$10&lt;Crédits!$K$8,AS286,0))))))</f>
        <v>0</v>
      </c>
      <c r="AE286" s="98">
        <f t="shared" si="283"/>
        <v>0</v>
      </c>
      <c r="AF286" s="88">
        <f>ROUND(AF285+AG286-MIN(N(Crédits!$E$8),AF285+AG286),2)</f>
        <v>0</v>
      </c>
      <c r="AG286" s="89">
        <f>AF285*N(Crédits!$D$8)/12</f>
        <v>0</v>
      </c>
      <c r="AH286" s="99">
        <f t="shared" si="296"/>
        <v>0</v>
      </c>
      <c r="AI286" s="99">
        <f>AH286*N(Crédits!$D$9)/12</f>
        <v>0</v>
      </c>
      <c r="AJ286" s="99">
        <f>MIN(N(Crédits!$E$9),AH286+AI286)</f>
        <v>0</v>
      </c>
      <c r="AK286" s="99">
        <f t="shared" si="284"/>
        <v>0</v>
      </c>
      <c r="AL286" s="100">
        <f>IF(Crédits!$K$9="",0,MAX(0,MIN(AK286,Plan!$L$288-(IF(Crédits!$K$5="",0,IF(Crédits!$K$5&lt;Crédits!$K$9,E286,0))+IF(Crédits!$K$6="",0,IF(Crédits!$K$6&lt;Crédits!$K$9,M286,0))+IF(Crédits!$K$7="",0,IF(Crédits!$K$7&lt;Crédits!$K$9,U286,0))+IF(Crédits!$K$8="",0,IF(Crédits!$K$8&lt;Crédits!$K$9,AC286,0))+IF(Crédits!$K$10="",0,IF(Crédits!$K$10&lt;Crédits!$K$9,AS286,0))))))</f>
        <v>0</v>
      </c>
      <c r="AM286" s="101">
        <f t="shared" si="285"/>
        <v>0</v>
      </c>
      <c r="AN286" s="88">
        <f>ROUND(AN285+AO286-MIN(N(Crédits!$E$9),AN285+AO286),2)</f>
        <v>0</v>
      </c>
      <c r="AO286" s="89">
        <f>AN285*N(Crédits!$D$9)/12</f>
        <v>0</v>
      </c>
      <c r="AP286" s="102">
        <f t="shared" si="297"/>
        <v>0</v>
      </c>
      <c r="AQ286" s="102">
        <f>AP286*N(Crédits!$D$10)/12</f>
        <v>0</v>
      </c>
      <c r="AR286" s="102">
        <f>MIN(N(Crédits!$E$10),AP286+AQ286)</f>
        <v>0</v>
      </c>
      <c r="AS286" s="102">
        <f t="shared" si="286"/>
        <v>0</v>
      </c>
      <c r="AT286" s="103">
        <f>IF(Crédits!$K$10="",0,MAX(0,MIN(AS286,Plan!$L$288-(IF(Crédits!$K$5="",0,IF(Crédits!$K$5&lt;Crédits!$K$10,E286,0))+IF(Crédits!$K$6="",0,IF(Crédits!$K$6&lt;Crédits!$K$10,M286,0))+IF(Crédits!$K$7="",0,IF(Crédits!$K$7&lt;Crédits!$K$10,U286,0))+IF(Crédits!$K$8="",0,IF(Crédits!$K$8&lt;Crédits!$K$10,AC286,0))+IF(Crédits!$K$9="",0,IF(Crédits!$K$9&lt;Crédits!$K$10,AK286,0))))))</f>
        <v>0</v>
      </c>
      <c r="AU286" s="104">
        <f t="shared" si="287"/>
        <v>0</v>
      </c>
      <c r="AV286" s="88">
        <f>ROUND(AV285+AW286-MIN(N(Crédits!$E$10),AV285+AW286),2)</f>
        <v>0</v>
      </c>
      <c r="AW286" s="89">
        <f>AV285*N(Crédits!$D$10)/12</f>
        <v>0</v>
      </c>
      <c r="AX286" s="105">
        <f t="shared" si="288"/>
        <v>0</v>
      </c>
      <c r="AY286" s="105">
        <f t="shared" ref="AY286:AZ286" si="325">F286+N286+V286+AD286+AL286+AT286</f>
        <v>0</v>
      </c>
      <c r="AZ286" s="105">
        <f t="shared" si="325"/>
        <v>0</v>
      </c>
      <c r="BA286" s="105">
        <f t="shared" si="290"/>
        <v>0</v>
      </c>
      <c r="BB286" s="105">
        <f t="shared" si="291"/>
        <v>0</v>
      </c>
    </row>
    <row r="287" spans="1:54" ht="15" customHeight="1" x14ac:dyDescent="0.25">
      <c r="A287" s="2">
        <v>285</v>
      </c>
      <c r="B287" s="83">
        <f t="shared" si="292"/>
        <v>0</v>
      </c>
      <c r="C287" s="83">
        <f>B287*N(Crédits!$D$5)/12</f>
        <v>0</v>
      </c>
      <c r="D287" s="83">
        <f>MIN(N(Crédits!$E$5),B287+C287)</f>
        <v>0</v>
      </c>
      <c r="E287" s="83">
        <f t="shared" si="276"/>
        <v>0</v>
      </c>
      <c r="F287" s="86">
        <f>IF(Crédits!$K$5="",0,MAX(0,MIN(E287,Plan!$L$289-(IF(Crédits!$K$6="",0,IF(Crédits!$K$6&lt;Crédits!$K$5,M287,0))+IF(Crédits!$K$7="",0,IF(Crédits!$K$7&lt;Crédits!$K$5,U287,0))+IF(Crédits!$K$8="",0,IF(Crédits!$K$8&lt;Crédits!$K$5,AC287,0))+IF(Crédits!$K$9="",0,IF(Crédits!$K$9&lt;Crédits!$K$5,AK287,0))+IF(Crédits!$K$10="",0,IF(Crédits!$K$10&lt;Crédits!$K$5,AS287,0))))))</f>
        <v>0</v>
      </c>
      <c r="G287" s="87">
        <f t="shared" si="277"/>
        <v>0</v>
      </c>
      <c r="H287" s="88">
        <f>ROUND(H286+I287-MIN(N(Crédits!$E$5),H286+I287),2)</f>
        <v>0</v>
      </c>
      <c r="I287" s="89">
        <f>H286*N(Crédits!$D$5)/12</f>
        <v>0</v>
      </c>
      <c r="J287" s="90">
        <f t="shared" si="293"/>
        <v>0</v>
      </c>
      <c r="K287" s="90">
        <f>J287*N(Crédits!$D$6)/12</f>
        <v>0</v>
      </c>
      <c r="L287" s="90">
        <f>MIN(N(Crédits!$E$6),J287+K287)</f>
        <v>0</v>
      </c>
      <c r="M287" s="90">
        <f t="shared" si="278"/>
        <v>0</v>
      </c>
      <c r="N287" s="91">
        <f>IF(Crédits!$K$6="",0,MAX(0,MIN(M287,Plan!$L$289-(IF(Crédits!$K$5="",0,IF(Crédits!$K$5&lt;Crédits!$K$6,E287,0))+IF(Crédits!$K$7="",0,IF(Crédits!$K$7&lt;Crédits!$K$6,U287,0))+IF(Crédits!$K$8="",0,IF(Crédits!$K$8&lt;Crédits!$K$6,AC287,0))+IF(Crédits!$K$9="",0,IF(Crédits!$K$9&lt;Crédits!$K$6,AK287,0))+IF(Crédits!$K$10="",0,IF(Crédits!$K$10&lt;Crédits!$K$6,AS287,0))))))</f>
        <v>0</v>
      </c>
      <c r="O287" s="92">
        <f t="shared" si="279"/>
        <v>0</v>
      </c>
      <c r="P287" s="88">
        <f>ROUND(P286+Q287-MIN(N(Crédits!$E$6),P286+Q287),2)</f>
        <v>0</v>
      </c>
      <c r="Q287" s="89">
        <f>P286*N(Crédits!$D$6)/12</f>
        <v>0</v>
      </c>
      <c r="R287" s="93">
        <f t="shared" si="294"/>
        <v>0</v>
      </c>
      <c r="S287" s="93">
        <f>R287*N(Crédits!$D$7)/12</f>
        <v>0</v>
      </c>
      <c r="T287" s="93">
        <f>MIN(N(Crédits!$E$7),R287+S287)</f>
        <v>0</v>
      </c>
      <c r="U287" s="93">
        <f t="shared" si="280"/>
        <v>0</v>
      </c>
      <c r="V287" s="94">
        <f>IF(Crédits!$K$7="",0,MAX(0,MIN(U287,Plan!$L$289-(IF(Crédits!$K$5="",0,IF(Crédits!$K$5&lt;Crédits!$K$7,E287,0))+IF(Crédits!$K$6="",0,IF(Crédits!$K$6&lt;Crédits!$K$7,M287,0))+IF(Crédits!$K$8="",0,IF(Crédits!$K$8&lt;Crédits!$K$7,AC287,0))+IF(Crédits!$K$9="",0,IF(Crédits!$K$9&lt;Crédits!$K$7,AK287,0))+IF(Crédits!$K$10="",0,IF(Crédits!$K$10&lt;Crédits!$K$7,AS287,0))))))</f>
        <v>0</v>
      </c>
      <c r="W287" s="95">
        <f t="shared" si="281"/>
        <v>0</v>
      </c>
      <c r="X287" s="88">
        <f>ROUND(X286+Y287-MIN(N(Crédits!$E$7),X286+Y287),2)</f>
        <v>0</v>
      </c>
      <c r="Y287" s="89">
        <f>X286*N(Crédits!$D$7)/12</f>
        <v>0</v>
      </c>
      <c r="Z287" s="96">
        <f t="shared" si="295"/>
        <v>0</v>
      </c>
      <c r="AA287" s="96">
        <f>Z287*N(Crédits!$D$8)/12</f>
        <v>0</v>
      </c>
      <c r="AB287" s="96">
        <f>MIN(N(Crédits!$E$8),Z287+AA287)</f>
        <v>0</v>
      </c>
      <c r="AC287" s="96">
        <f t="shared" si="282"/>
        <v>0</v>
      </c>
      <c r="AD287" s="97">
        <f>IF(Crédits!$K$8="",0,MAX(0,MIN(AC287,Plan!$L$289-(IF(Crédits!$K$5="",0,IF(Crédits!$K$5&lt;Crédits!$K$8,E287,0))+IF(Crédits!$K$6="",0,IF(Crédits!$K$6&lt;Crédits!$K$8,M287,0))+IF(Crédits!$K$7="",0,IF(Crédits!$K$7&lt;Crédits!$K$8,U287,0))+IF(Crédits!$K$9="",0,IF(Crédits!$K$9&lt;Crédits!$K$8,AK287,0))+IF(Crédits!$K$10="",0,IF(Crédits!$K$10&lt;Crédits!$K$8,AS287,0))))))</f>
        <v>0</v>
      </c>
      <c r="AE287" s="98">
        <f t="shared" si="283"/>
        <v>0</v>
      </c>
      <c r="AF287" s="88">
        <f>ROUND(AF286+AG287-MIN(N(Crédits!$E$8),AF286+AG287),2)</f>
        <v>0</v>
      </c>
      <c r="AG287" s="89">
        <f>AF286*N(Crédits!$D$8)/12</f>
        <v>0</v>
      </c>
      <c r="AH287" s="99">
        <f t="shared" si="296"/>
        <v>0</v>
      </c>
      <c r="AI287" s="99">
        <f>AH287*N(Crédits!$D$9)/12</f>
        <v>0</v>
      </c>
      <c r="AJ287" s="99">
        <f>MIN(N(Crédits!$E$9),AH287+AI287)</f>
        <v>0</v>
      </c>
      <c r="AK287" s="99">
        <f t="shared" si="284"/>
        <v>0</v>
      </c>
      <c r="AL287" s="100">
        <f>IF(Crédits!$K$9="",0,MAX(0,MIN(AK287,Plan!$L$289-(IF(Crédits!$K$5="",0,IF(Crédits!$K$5&lt;Crédits!$K$9,E287,0))+IF(Crédits!$K$6="",0,IF(Crédits!$K$6&lt;Crédits!$K$9,M287,0))+IF(Crédits!$K$7="",0,IF(Crédits!$K$7&lt;Crédits!$K$9,U287,0))+IF(Crédits!$K$8="",0,IF(Crédits!$K$8&lt;Crédits!$K$9,AC287,0))+IF(Crédits!$K$10="",0,IF(Crédits!$K$10&lt;Crédits!$K$9,AS287,0))))))</f>
        <v>0</v>
      </c>
      <c r="AM287" s="101">
        <f t="shared" si="285"/>
        <v>0</v>
      </c>
      <c r="AN287" s="88">
        <f>ROUND(AN286+AO287-MIN(N(Crédits!$E$9),AN286+AO287),2)</f>
        <v>0</v>
      </c>
      <c r="AO287" s="89">
        <f>AN286*N(Crédits!$D$9)/12</f>
        <v>0</v>
      </c>
      <c r="AP287" s="102">
        <f t="shared" si="297"/>
        <v>0</v>
      </c>
      <c r="AQ287" s="102">
        <f>AP287*N(Crédits!$D$10)/12</f>
        <v>0</v>
      </c>
      <c r="AR287" s="102">
        <f>MIN(N(Crédits!$E$10),AP287+AQ287)</f>
        <v>0</v>
      </c>
      <c r="AS287" s="102">
        <f t="shared" si="286"/>
        <v>0</v>
      </c>
      <c r="AT287" s="103">
        <f>IF(Crédits!$K$10="",0,MAX(0,MIN(AS287,Plan!$L$289-(IF(Crédits!$K$5="",0,IF(Crédits!$K$5&lt;Crédits!$K$10,E287,0))+IF(Crédits!$K$6="",0,IF(Crédits!$K$6&lt;Crédits!$K$10,M287,0))+IF(Crédits!$K$7="",0,IF(Crédits!$K$7&lt;Crédits!$K$10,U287,0))+IF(Crédits!$K$8="",0,IF(Crédits!$K$8&lt;Crédits!$K$10,AC287,0))+IF(Crédits!$K$9="",0,IF(Crédits!$K$9&lt;Crédits!$K$10,AK287,0))))))</f>
        <v>0</v>
      </c>
      <c r="AU287" s="104">
        <f t="shared" si="287"/>
        <v>0</v>
      </c>
      <c r="AV287" s="88">
        <f>ROUND(AV286+AW287-MIN(N(Crédits!$E$10),AV286+AW287),2)</f>
        <v>0</v>
      </c>
      <c r="AW287" s="89">
        <f>AV286*N(Crédits!$D$10)/12</f>
        <v>0</v>
      </c>
      <c r="AX287" s="105">
        <f t="shared" si="288"/>
        <v>0</v>
      </c>
      <c r="AY287" s="105">
        <f t="shared" ref="AY287:AZ287" si="326">F287+N287+V287+AD287+AL287+AT287</f>
        <v>0</v>
      </c>
      <c r="AZ287" s="105">
        <f t="shared" si="326"/>
        <v>0</v>
      </c>
      <c r="BA287" s="105">
        <f t="shared" si="290"/>
        <v>0</v>
      </c>
      <c r="BB287" s="105">
        <f t="shared" si="291"/>
        <v>0</v>
      </c>
    </row>
    <row r="288" spans="1:54" ht="15" customHeight="1" x14ac:dyDescent="0.25">
      <c r="A288" s="2">
        <v>286</v>
      </c>
      <c r="B288" s="83">
        <f t="shared" si="292"/>
        <v>0</v>
      </c>
      <c r="C288" s="83">
        <f>B288*N(Crédits!$D$5)/12</f>
        <v>0</v>
      </c>
      <c r="D288" s="83">
        <f>MIN(N(Crédits!$E$5),B288+C288)</f>
        <v>0</v>
      </c>
      <c r="E288" s="83">
        <f t="shared" si="276"/>
        <v>0</v>
      </c>
      <c r="F288" s="86">
        <f>IF(Crédits!$K$5="",0,MAX(0,MIN(E288,Plan!$L$290-(IF(Crédits!$K$6="",0,IF(Crédits!$K$6&lt;Crédits!$K$5,M288,0))+IF(Crédits!$K$7="",0,IF(Crédits!$K$7&lt;Crédits!$K$5,U288,0))+IF(Crédits!$K$8="",0,IF(Crédits!$K$8&lt;Crédits!$K$5,AC288,0))+IF(Crédits!$K$9="",0,IF(Crédits!$K$9&lt;Crédits!$K$5,AK288,0))+IF(Crédits!$K$10="",0,IF(Crédits!$K$10&lt;Crédits!$K$5,AS288,0))))))</f>
        <v>0</v>
      </c>
      <c r="G288" s="87">
        <f t="shared" si="277"/>
        <v>0</v>
      </c>
      <c r="H288" s="88">
        <f>ROUND(H287+I288-MIN(N(Crédits!$E$5),H287+I288),2)</f>
        <v>0</v>
      </c>
      <c r="I288" s="89">
        <f>H287*N(Crédits!$D$5)/12</f>
        <v>0</v>
      </c>
      <c r="J288" s="90">
        <f t="shared" si="293"/>
        <v>0</v>
      </c>
      <c r="K288" s="90">
        <f>J288*N(Crédits!$D$6)/12</f>
        <v>0</v>
      </c>
      <c r="L288" s="90">
        <f>MIN(N(Crédits!$E$6),J288+K288)</f>
        <v>0</v>
      </c>
      <c r="M288" s="90">
        <f t="shared" si="278"/>
        <v>0</v>
      </c>
      <c r="N288" s="91">
        <f>IF(Crédits!$K$6="",0,MAX(0,MIN(M288,Plan!$L$290-(IF(Crédits!$K$5="",0,IF(Crédits!$K$5&lt;Crédits!$K$6,E288,0))+IF(Crédits!$K$7="",0,IF(Crédits!$K$7&lt;Crédits!$K$6,U288,0))+IF(Crédits!$K$8="",0,IF(Crédits!$K$8&lt;Crédits!$K$6,AC288,0))+IF(Crédits!$K$9="",0,IF(Crédits!$K$9&lt;Crédits!$K$6,AK288,0))+IF(Crédits!$K$10="",0,IF(Crédits!$K$10&lt;Crédits!$K$6,AS288,0))))))</f>
        <v>0</v>
      </c>
      <c r="O288" s="92">
        <f t="shared" si="279"/>
        <v>0</v>
      </c>
      <c r="P288" s="88">
        <f>ROUND(P287+Q288-MIN(N(Crédits!$E$6),P287+Q288),2)</f>
        <v>0</v>
      </c>
      <c r="Q288" s="89">
        <f>P287*N(Crédits!$D$6)/12</f>
        <v>0</v>
      </c>
      <c r="R288" s="93">
        <f t="shared" si="294"/>
        <v>0</v>
      </c>
      <c r="S288" s="93">
        <f>R288*N(Crédits!$D$7)/12</f>
        <v>0</v>
      </c>
      <c r="T288" s="93">
        <f>MIN(N(Crédits!$E$7),R288+S288)</f>
        <v>0</v>
      </c>
      <c r="U288" s="93">
        <f t="shared" si="280"/>
        <v>0</v>
      </c>
      <c r="V288" s="94">
        <f>IF(Crédits!$K$7="",0,MAX(0,MIN(U288,Plan!$L$290-(IF(Crédits!$K$5="",0,IF(Crédits!$K$5&lt;Crédits!$K$7,E288,0))+IF(Crédits!$K$6="",0,IF(Crédits!$K$6&lt;Crédits!$K$7,M288,0))+IF(Crédits!$K$8="",0,IF(Crédits!$K$8&lt;Crédits!$K$7,AC288,0))+IF(Crédits!$K$9="",0,IF(Crédits!$K$9&lt;Crédits!$K$7,AK288,0))+IF(Crédits!$K$10="",0,IF(Crédits!$K$10&lt;Crédits!$K$7,AS288,0))))))</f>
        <v>0</v>
      </c>
      <c r="W288" s="95">
        <f t="shared" si="281"/>
        <v>0</v>
      </c>
      <c r="X288" s="88">
        <f>ROUND(X287+Y288-MIN(N(Crédits!$E$7),X287+Y288),2)</f>
        <v>0</v>
      </c>
      <c r="Y288" s="89">
        <f>X287*N(Crédits!$D$7)/12</f>
        <v>0</v>
      </c>
      <c r="Z288" s="96">
        <f t="shared" si="295"/>
        <v>0</v>
      </c>
      <c r="AA288" s="96">
        <f>Z288*N(Crédits!$D$8)/12</f>
        <v>0</v>
      </c>
      <c r="AB288" s="96">
        <f>MIN(N(Crédits!$E$8),Z288+AA288)</f>
        <v>0</v>
      </c>
      <c r="AC288" s="96">
        <f t="shared" si="282"/>
        <v>0</v>
      </c>
      <c r="AD288" s="97">
        <f>IF(Crédits!$K$8="",0,MAX(0,MIN(AC288,Plan!$L$290-(IF(Crédits!$K$5="",0,IF(Crédits!$K$5&lt;Crédits!$K$8,E288,0))+IF(Crédits!$K$6="",0,IF(Crédits!$K$6&lt;Crédits!$K$8,M288,0))+IF(Crédits!$K$7="",0,IF(Crédits!$K$7&lt;Crédits!$K$8,U288,0))+IF(Crédits!$K$9="",0,IF(Crédits!$K$9&lt;Crédits!$K$8,AK288,0))+IF(Crédits!$K$10="",0,IF(Crédits!$K$10&lt;Crédits!$K$8,AS288,0))))))</f>
        <v>0</v>
      </c>
      <c r="AE288" s="98">
        <f t="shared" si="283"/>
        <v>0</v>
      </c>
      <c r="AF288" s="88">
        <f>ROUND(AF287+AG288-MIN(N(Crédits!$E$8),AF287+AG288),2)</f>
        <v>0</v>
      </c>
      <c r="AG288" s="89">
        <f>AF287*N(Crédits!$D$8)/12</f>
        <v>0</v>
      </c>
      <c r="AH288" s="99">
        <f t="shared" si="296"/>
        <v>0</v>
      </c>
      <c r="AI288" s="99">
        <f>AH288*N(Crédits!$D$9)/12</f>
        <v>0</v>
      </c>
      <c r="AJ288" s="99">
        <f>MIN(N(Crédits!$E$9),AH288+AI288)</f>
        <v>0</v>
      </c>
      <c r="AK288" s="99">
        <f t="shared" si="284"/>
        <v>0</v>
      </c>
      <c r="AL288" s="100">
        <f>IF(Crédits!$K$9="",0,MAX(0,MIN(AK288,Plan!$L$290-(IF(Crédits!$K$5="",0,IF(Crédits!$K$5&lt;Crédits!$K$9,E288,0))+IF(Crédits!$K$6="",0,IF(Crédits!$K$6&lt;Crédits!$K$9,M288,0))+IF(Crédits!$K$7="",0,IF(Crédits!$K$7&lt;Crédits!$K$9,U288,0))+IF(Crédits!$K$8="",0,IF(Crédits!$K$8&lt;Crédits!$K$9,AC288,0))+IF(Crédits!$K$10="",0,IF(Crédits!$K$10&lt;Crédits!$K$9,AS288,0))))))</f>
        <v>0</v>
      </c>
      <c r="AM288" s="101">
        <f t="shared" si="285"/>
        <v>0</v>
      </c>
      <c r="AN288" s="88">
        <f>ROUND(AN287+AO288-MIN(N(Crédits!$E$9),AN287+AO288),2)</f>
        <v>0</v>
      </c>
      <c r="AO288" s="89">
        <f>AN287*N(Crédits!$D$9)/12</f>
        <v>0</v>
      </c>
      <c r="AP288" s="102">
        <f t="shared" si="297"/>
        <v>0</v>
      </c>
      <c r="AQ288" s="102">
        <f>AP288*N(Crédits!$D$10)/12</f>
        <v>0</v>
      </c>
      <c r="AR288" s="102">
        <f>MIN(N(Crédits!$E$10),AP288+AQ288)</f>
        <v>0</v>
      </c>
      <c r="AS288" s="102">
        <f t="shared" si="286"/>
        <v>0</v>
      </c>
      <c r="AT288" s="103">
        <f>IF(Crédits!$K$10="",0,MAX(0,MIN(AS288,Plan!$L$290-(IF(Crédits!$K$5="",0,IF(Crédits!$K$5&lt;Crédits!$K$10,E288,0))+IF(Crédits!$K$6="",0,IF(Crédits!$K$6&lt;Crédits!$K$10,M288,0))+IF(Crédits!$K$7="",0,IF(Crédits!$K$7&lt;Crédits!$K$10,U288,0))+IF(Crédits!$K$8="",0,IF(Crédits!$K$8&lt;Crédits!$K$10,AC288,0))+IF(Crédits!$K$9="",0,IF(Crédits!$K$9&lt;Crédits!$K$10,AK288,0))))))</f>
        <v>0</v>
      </c>
      <c r="AU288" s="104">
        <f t="shared" si="287"/>
        <v>0</v>
      </c>
      <c r="AV288" s="88">
        <f>ROUND(AV287+AW288-MIN(N(Crédits!$E$10),AV287+AW288),2)</f>
        <v>0</v>
      </c>
      <c r="AW288" s="89">
        <f>AV287*N(Crédits!$D$10)/12</f>
        <v>0</v>
      </c>
      <c r="AX288" s="105">
        <f t="shared" si="288"/>
        <v>0</v>
      </c>
      <c r="AY288" s="105">
        <f t="shared" ref="AY288:AZ288" si="327">F288+N288+V288+AD288+AL288+AT288</f>
        <v>0</v>
      </c>
      <c r="AZ288" s="105">
        <f t="shared" si="327"/>
        <v>0</v>
      </c>
      <c r="BA288" s="105">
        <f t="shared" si="290"/>
        <v>0</v>
      </c>
      <c r="BB288" s="105">
        <f t="shared" si="291"/>
        <v>0</v>
      </c>
    </row>
    <row r="289" spans="1:54" ht="15" customHeight="1" x14ac:dyDescent="0.25">
      <c r="A289" s="2">
        <v>287</v>
      </c>
      <c r="B289" s="83">
        <f t="shared" si="292"/>
        <v>0</v>
      </c>
      <c r="C289" s="83">
        <f>B289*N(Crédits!$D$5)/12</f>
        <v>0</v>
      </c>
      <c r="D289" s="83">
        <f>MIN(N(Crédits!$E$5),B289+C289)</f>
        <v>0</v>
      </c>
      <c r="E289" s="83">
        <f t="shared" si="276"/>
        <v>0</v>
      </c>
      <c r="F289" s="86">
        <f>IF(Crédits!$K$5="",0,MAX(0,MIN(E289,Plan!$L$291-(IF(Crédits!$K$6="",0,IF(Crédits!$K$6&lt;Crédits!$K$5,M289,0))+IF(Crédits!$K$7="",0,IF(Crédits!$K$7&lt;Crédits!$K$5,U289,0))+IF(Crédits!$K$8="",0,IF(Crédits!$K$8&lt;Crédits!$K$5,AC289,0))+IF(Crédits!$K$9="",0,IF(Crédits!$K$9&lt;Crédits!$K$5,AK289,0))+IF(Crédits!$K$10="",0,IF(Crédits!$K$10&lt;Crédits!$K$5,AS289,0))))))</f>
        <v>0</v>
      </c>
      <c r="G289" s="87">
        <f t="shared" si="277"/>
        <v>0</v>
      </c>
      <c r="H289" s="88">
        <f>ROUND(H288+I289-MIN(N(Crédits!$E$5),H288+I289),2)</f>
        <v>0</v>
      </c>
      <c r="I289" s="89">
        <f>H288*N(Crédits!$D$5)/12</f>
        <v>0</v>
      </c>
      <c r="J289" s="90">
        <f t="shared" si="293"/>
        <v>0</v>
      </c>
      <c r="K289" s="90">
        <f>J289*N(Crédits!$D$6)/12</f>
        <v>0</v>
      </c>
      <c r="L289" s="90">
        <f>MIN(N(Crédits!$E$6),J289+K289)</f>
        <v>0</v>
      </c>
      <c r="M289" s="90">
        <f t="shared" si="278"/>
        <v>0</v>
      </c>
      <c r="N289" s="91">
        <f>IF(Crédits!$K$6="",0,MAX(0,MIN(M289,Plan!$L$291-(IF(Crédits!$K$5="",0,IF(Crédits!$K$5&lt;Crédits!$K$6,E289,0))+IF(Crédits!$K$7="",0,IF(Crédits!$K$7&lt;Crédits!$K$6,U289,0))+IF(Crédits!$K$8="",0,IF(Crédits!$K$8&lt;Crédits!$K$6,AC289,0))+IF(Crédits!$K$9="",0,IF(Crédits!$K$9&lt;Crédits!$K$6,AK289,0))+IF(Crédits!$K$10="",0,IF(Crédits!$K$10&lt;Crédits!$K$6,AS289,0))))))</f>
        <v>0</v>
      </c>
      <c r="O289" s="92">
        <f t="shared" si="279"/>
        <v>0</v>
      </c>
      <c r="P289" s="88">
        <f>ROUND(P288+Q289-MIN(N(Crédits!$E$6),P288+Q289),2)</f>
        <v>0</v>
      </c>
      <c r="Q289" s="89">
        <f>P288*N(Crédits!$D$6)/12</f>
        <v>0</v>
      </c>
      <c r="R289" s="93">
        <f t="shared" si="294"/>
        <v>0</v>
      </c>
      <c r="S289" s="93">
        <f>R289*N(Crédits!$D$7)/12</f>
        <v>0</v>
      </c>
      <c r="T289" s="93">
        <f>MIN(N(Crédits!$E$7),R289+S289)</f>
        <v>0</v>
      </c>
      <c r="U289" s="93">
        <f t="shared" si="280"/>
        <v>0</v>
      </c>
      <c r="V289" s="94">
        <f>IF(Crédits!$K$7="",0,MAX(0,MIN(U289,Plan!$L$291-(IF(Crédits!$K$5="",0,IF(Crédits!$K$5&lt;Crédits!$K$7,E289,0))+IF(Crédits!$K$6="",0,IF(Crédits!$K$6&lt;Crédits!$K$7,M289,0))+IF(Crédits!$K$8="",0,IF(Crédits!$K$8&lt;Crédits!$K$7,AC289,0))+IF(Crédits!$K$9="",0,IF(Crédits!$K$9&lt;Crédits!$K$7,AK289,0))+IF(Crédits!$K$10="",0,IF(Crédits!$K$10&lt;Crédits!$K$7,AS289,0))))))</f>
        <v>0</v>
      </c>
      <c r="W289" s="95">
        <f t="shared" si="281"/>
        <v>0</v>
      </c>
      <c r="X289" s="88">
        <f>ROUND(X288+Y289-MIN(N(Crédits!$E$7),X288+Y289),2)</f>
        <v>0</v>
      </c>
      <c r="Y289" s="89">
        <f>X288*N(Crédits!$D$7)/12</f>
        <v>0</v>
      </c>
      <c r="Z289" s="96">
        <f t="shared" si="295"/>
        <v>0</v>
      </c>
      <c r="AA289" s="96">
        <f>Z289*N(Crédits!$D$8)/12</f>
        <v>0</v>
      </c>
      <c r="AB289" s="96">
        <f>MIN(N(Crédits!$E$8),Z289+AA289)</f>
        <v>0</v>
      </c>
      <c r="AC289" s="96">
        <f t="shared" si="282"/>
        <v>0</v>
      </c>
      <c r="AD289" s="97">
        <f>IF(Crédits!$K$8="",0,MAX(0,MIN(AC289,Plan!$L$291-(IF(Crédits!$K$5="",0,IF(Crédits!$K$5&lt;Crédits!$K$8,E289,0))+IF(Crédits!$K$6="",0,IF(Crédits!$K$6&lt;Crédits!$K$8,M289,0))+IF(Crédits!$K$7="",0,IF(Crédits!$K$7&lt;Crédits!$K$8,U289,0))+IF(Crédits!$K$9="",0,IF(Crédits!$K$9&lt;Crédits!$K$8,AK289,0))+IF(Crédits!$K$10="",0,IF(Crédits!$K$10&lt;Crédits!$K$8,AS289,0))))))</f>
        <v>0</v>
      </c>
      <c r="AE289" s="98">
        <f t="shared" si="283"/>
        <v>0</v>
      </c>
      <c r="AF289" s="88">
        <f>ROUND(AF288+AG289-MIN(N(Crédits!$E$8),AF288+AG289),2)</f>
        <v>0</v>
      </c>
      <c r="AG289" s="89">
        <f>AF288*N(Crédits!$D$8)/12</f>
        <v>0</v>
      </c>
      <c r="AH289" s="99">
        <f t="shared" si="296"/>
        <v>0</v>
      </c>
      <c r="AI289" s="99">
        <f>AH289*N(Crédits!$D$9)/12</f>
        <v>0</v>
      </c>
      <c r="AJ289" s="99">
        <f>MIN(N(Crédits!$E$9),AH289+AI289)</f>
        <v>0</v>
      </c>
      <c r="AK289" s="99">
        <f t="shared" si="284"/>
        <v>0</v>
      </c>
      <c r="AL289" s="100">
        <f>IF(Crédits!$K$9="",0,MAX(0,MIN(AK289,Plan!$L$291-(IF(Crédits!$K$5="",0,IF(Crédits!$K$5&lt;Crédits!$K$9,E289,0))+IF(Crédits!$K$6="",0,IF(Crédits!$K$6&lt;Crédits!$K$9,M289,0))+IF(Crédits!$K$7="",0,IF(Crédits!$K$7&lt;Crédits!$K$9,U289,0))+IF(Crédits!$K$8="",0,IF(Crédits!$K$8&lt;Crédits!$K$9,AC289,0))+IF(Crédits!$K$10="",0,IF(Crédits!$K$10&lt;Crédits!$K$9,AS289,0))))))</f>
        <v>0</v>
      </c>
      <c r="AM289" s="101">
        <f t="shared" si="285"/>
        <v>0</v>
      </c>
      <c r="AN289" s="88">
        <f>ROUND(AN288+AO289-MIN(N(Crédits!$E$9),AN288+AO289),2)</f>
        <v>0</v>
      </c>
      <c r="AO289" s="89">
        <f>AN288*N(Crédits!$D$9)/12</f>
        <v>0</v>
      </c>
      <c r="AP289" s="102">
        <f t="shared" si="297"/>
        <v>0</v>
      </c>
      <c r="AQ289" s="102">
        <f>AP289*N(Crédits!$D$10)/12</f>
        <v>0</v>
      </c>
      <c r="AR289" s="102">
        <f>MIN(N(Crédits!$E$10),AP289+AQ289)</f>
        <v>0</v>
      </c>
      <c r="AS289" s="102">
        <f t="shared" si="286"/>
        <v>0</v>
      </c>
      <c r="AT289" s="103">
        <f>IF(Crédits!$K$10="",0,MAX(0,MIN(AS289,Plan!$L$291-(IF(Crédits!$K$5="",0,IF(Crédits!$K$5&lt;Crédits!$K$10,E289,0))+IF(Crédits!$K$6="",0,IF(Crédits!$K$6&lt;Crédits!$K$10,M289,0))+IF(Crédits!$K$7="",0,IF(Crédits!$K$7&lt;Crédits!$K$10,U289,0))+IF(Crédits!$K$8="",0,IF(Crédits!$K$8&lt;Crédits!$K$10,AC289,0))+IF(Crédits!$K$9="",0,IF(Crédits!$K$9&lt;Crédits!$K$10,AK289,0))))))</f>
        <v>0</v>
      </c>
      <c r="AU289" s="104">
        <f t="shared" si="287"/>
        <v>0</v>
      </c>
      <c r="AV289" s="88">
        <f>ROUND(AV288+AW289-MIN(N(Crédits!$E$10),AV288+AW289),2)</f>
        <v>0</v>
      </c>
      <c r="AW289" s="89">
        <f>AV288*N(Crédits!$D$10)/12</f>
        <v>0</v>
      </c>
      <c r="AX289" s="105">
        <f t="shared" si="288"/>
        <v>0</v>
      </c>
      <c r="AY289" s="105">
        <f t="shared" ref="AY289:AZ289" si="328">F289+N289+V289+AD289+AL289+AT289</f>
        <v>0</v>
      </c>
      <c r="AZ289" s="105">
        <f t="shared" si="328"/>
        <v>0</v>
      </c>
      <c r="BA289" s="105">
        <f t="shared" si="290"/>
        <v>0</v>
      </c>
      <c r="BB289" s="105">
        <f t="shared" si="291"/>
        <v>0</v>
      </c>
    </row>
    <row r="290" spans="1:54" ht="15" customHeight="1" x14ac:dyDescent="0.25">
      <c r="A290" s="2">
        <v>288</v>
      </c>
      <c r="B290" s="83">
        <f t="shared" si="292"/>
        <v>0</v>
      </c>
      <c r="C290" s="83">
        <f>B290*N(Crédits!$D$5)/12</f>
        <v>0</v>
      </c>
      <c r="D290" s="83">
        <f>MIN(N(Crédits!$E$5),B290+C290)</f>
        <v>0</v>
      </c>
      <c r="E290" s="83">
        <f t="shared" si="276"/>
        <v>0</v>
      </c>
      <c r="F290" s="86">
        <f>IF(Crédits!$K$5="",0,MAX(0,MIN(E290,Plan!$L$292-(IF(Crédits!$K$6="",0,IF(Crédits!$K$6&lt;Crédits!$K$5,M290,0))+IF(Crédits!$K$7="",0,IF(Crédits!$K$7&lt;Crédits!$K$5,U290,0))+IF(Crédits!$K$8="",0,IF(Crédits!$K$8&lt;Crédits!$K$5,AC290,0))+IF(Crédits!$K$9="",0,IF(Crédits!$K$9&lt;Crédits!$K$5,AK290,0))+IF(Crédits!$K$10="",0,IF(Crédits!$K$10&lt;Crédits!$K$5,AS290,0))))))</f>
        <v>0</v>
      </c>
      <c r="G290" s="87">
        <f t="shared" si="277"/>
        <v>0</v>
      </c>
      <c r="H290" s="88">
        <f>ROUND(H289+I290-MIN(N(Crédits!$E$5),H289+I290),2)</f>
        <v>0</v>
      </c>
      <c r="I290" s="89">
        <f>H289*N(Crédits!$D$5)/12</f>
        <v>0</v>
      </c>
      <c r="J290" s="90">
        <f t="shared" si="293"/>
        <v>0</v>
      </c>
      <c r="K290" s="90">
        <f>J290*N(Crédits!$D$6)/12</f>
        <v>0</v>
      </c>
      <c r="L290" s="90">
        <f>MIN(N(Crédits!$E$6),J290+K290)</f>
        <v>0</v>
      </c>
      <c r="M290" s="90">
        <f t="shared" si="278"/>
        <v>0</v>
      </c>
      <c r="N290" s="91">
        <f>IF(Crédits!$K$6="",0,MAX(0,MIN(M290,Plan!$L$292-(IF(Crédits!$K$5="",0,IF(Crédits!$K$5&lt;Crédits!$K$6,E290,0))+IF(Crédits!$K$7="",0,IF(Crédits!$K$7&lt;Crédits!$K$6,U290,0))+IF(Crédits!$K$8="",0,IF(Crédits!$K$8&lt;Crédits!$K$6,AC290,0))+IF(Crédits!$K$9="",0,IF(Crédits!$K$9&lt;Crédits!$K$6,AK290,0))+IF(Crédits!$K$10="",0,IF(Crédits!$K$10&lt;Crédits!$K$6,AS290,0))))))</f>
        <v>0</v>
      </c>
      <c r="O290" s="92">
        <f t="shared" si="279"/>
        <v>0</v>
      </c>
      <c r="P290" s="88">
        <f>ROUND(P289+Q290-MIN(N(Crédits!$E$6),P289+Q290),2)</f>
        <v>0</v>
      </c>
      <c r="Q290" s="89">
        <f>P289*N(Crédits!$D$6)/12</f>
        <v>0</v>
      </c>
      <c r="R290" s="93">
        <f t="shared" si="294"/>
        <v>0</v>
      </c>
      <c r="S290" s="93">
        <f>R290*N(Crédits!$D$7)/12</f>
        <v>0</v>
      </c>
      <c r="T290" s="93">
        <f>MIN(N(Crédits!$E$7),R290+S290)</f>
        <v>0</v>
      </c>
      <c r="U290" s="93">
        <f t="shared" si="280"/>
        <v>0</v>
      </c>
      <c r="V290" s="94">
        <f>IF(Crédits!$K$7="",0,MAX(0,MIN(U290,Plan!$L$292-(IF(Crédits!$K$5="",0,IF(Crédits!$K$5&lt;Crédits!$K$7,E290,0))+IF(Crédits!$K$6="",0,IF(Crédits!$K$6&lt;Crédits!$K$7,M290,0))+IF(Crédits!$K$8="",0,IF(Crédits!$K$8&lt;Crédits!$K$7,AC290,0))+IF(Crédits!$K$9="",0,IF(Crédits!$K$9&lt;Crédits!$K$7,AK290,0))+IF(Crédits!$K$10="",0,IF(Crédits!$K$10&lt;Crédits!$K$7,AS290,0))))))</f>
        <v>0</v>
      </c>
      <c r="W290" s="95">
        <f t="shared" si="281"/>
        <v>0</v>
      </c>
      <c r="X290" s="88">
        <f>ROUND(X289+Y290-MIN(N(Crédits!$E$7),X289+Y290),2)</f>
        <v>0</v>
      </c>
      <c r="Y290" s="89">
        <f>X289*N(Crédits!$D$7)/12</f>
        <v>0</v>
      </c>
      <c r="Z290" s="96">
        <f t="shared" si="295"/>
        <v>0</v>
      </c>
      <c r="AA290" s="96">
        <f>Z290*N(Crédits!$D$8)/12</f>
        <v>0</v>
      </c>
      <c r="AB290" s="96">
        <f>MIN(N(Crédits!$E$8),Z290+AA290)</f>
        <v>0</v>
      </c>
      <c r="AC290" s="96">
        <f t="shared" si="282"/>
        <v>0</v>
      </c>
      <c r="AD290" s="97">
        <f>IF(Crédits!$K$8="",0,MAX(0,MIN(AC290,Plan!$L$292-(IF(Crédits!$K$5="",0,IF(Crédits!$K$5&lt;Crédits!$K$8,E290,0))+IF(Crédits!$K$6="",0,IF(Crédits!$K$6&lt;Crédits!$K$8,M290,0))+IF(Crédits!$K$7="",0,IF(Crédits!$K$7&lt;Crédits!$K$8,U290,0))+IF(Crédits!$K$9="",0,IF(Crédits!$K$9&lt;Crédits!$K$8,AK290,0))+IF(Crédits!$K$10="",0,IF(Crédits!$K$10&lt;Crédits!$K$8,AS290,0))))))</f>
        <v>0</v>
      </c>
      <c r="AE290" s="98">
        <f t="shared" si="283"/>
        <v>0</v>
      </c>
      <c r="AF290" s="88">
        <f>ROUND(AF289+AG290-MIN(N(Crédits!$E$8),AF289+AG290),2)</f>
        <v>0</v>
      </c>
      <c r="AG290" s="89">
        <f>AF289*N(Crédits!$D$8)/12</f>
        <v>0</v>
      </c>
      <c r="AH290" s="99">
        <f t="shared" si="296"/>
        <v>0</v>
      </c>
      <c r="AI290" s="99">
        <f>AH290*N(Crédits!$D$9)/12</f>
        <v>0</v>
      </c>
      <c r="AJ290" s="99">
        <f>MIN(N(Crédits!$E$9),AH290+AI290)</f>
        <v>0</v>
      </c>
      <c r="AK290" s="99">
        <f t="shared" si="284"/>
        <v>0</v>
      </c>
      <c r="AL290" s="100">
        <f>IF(Crédits!$K$9="",0,MAX(0,MIN(AK290,Plan!$L$292-(IF(Crédits!$K$5="",0,IF(Crédits!$K$5&lt;Crédits!$K$9,E290,0))+IF(Crédits!$K$6="",0,IF(Crédits!$K$6&lt;Crédits!$K$9,M290,0))+IF(Crédits!$K$7="",0,IF(Crédits!$K$7&lt;Crédits!$K$9,U290,0))+IF(Crédits!$K$8="",0,IF(Crédits!$K$8&lt;Crédits!$K$9,AC290,0))+IF(Crédits!$K$10="",0,IF(Crédits!$K$10&lt;Crédits!$K$9,AS290,0))))))</f>
        <v>0</v>
      </c>
      <c r="AM290" s="101">
        <f t="shared" si="285"/>
        <v>0</v>
      </c>
      <c r="AN290" s="88">
        <f>ROUND(AN289+AO290-MIN(N(Crédits!$E$9),AN289+AO290),2)</f>
        <v>0</v>
      </c>
      <c r="AO290" s="89">
        <f>AN289*N(Crédits!$D$9)/12</f>
        <v>0</v>
      </c>
      <c r="AP290" s="102">
        <f t="shared" si="297"/>
        <v>0</v>
      </c>
      <c r="AQ290" s="102">
        <f>AP290*N(Crédits!$D$10)/12</f>
        <v>0</v>
      </c>
      <c r="AR290" s="102">
        <f>MIN(N(Crédits!$E$10),AP290+AQ290)</f>
        <v>0</v>
      </c>
      <c r="AS290" s="102">
        <f t="shared" si="286"/>
        <v>0</v>
      </c>
      <c r="AT290" s="103">
        <f>IF(Crédits!$K$10="",0,MAX(0,MIN(AS290,Plan!$L$292-(IF(Crédits!$K$5="",0,IF(Crédits!$K$5&lt;Crédits!$K$10,E290,0))+IF(Crédits!$K$6="",0,IF(Crédits!$K$6&lt;Crédits!$K$10,M290,0))+IF(Crédits!$K$7="",0,IF(Crédits!$K$7&lt;Crédits!$K$10,U290,0))+IF(Crédits!$K$8="",0,IF(Crédits!$K$8&lt;Crédits!$K$10,AC290,0))+IF(Crédits!$K$9="",0,IF(Crédits!$K$9&lt;Crédits!$K$10,AK290,0))))))</f>
        <v>0</v>
      </c>
      <c r="AU290" s="104">
        <f t="shared" si="287"/>
        <v>0</v>
      </c>
      <c r="AV290" s="88">
        <f>ROUND(AV289+AW290-MIN(N(Crédits!$E$10),AV289+AW290),2)</f>
        <v>0</v>
      </c>
      <c r="AW290" s="89">
        <f>AV289*N(Crédits!$D$10)/12</f>
        <v>0</v>
      </c>
      <c r="AX290" s="105">
        <f t="shared" si="288"/>
        <v>0</v>
      </c>
      <c r="AY290" s="105">
        <f t="shared" ref="AY290:AZ290" si="329">F290+N290+V290+AD290+AL290+AT290</f>
        <v>0</v>
      </c>
      <c r="AZ290" s="105">
        <f t="shared" si="329"/>
        <v>0</v>
      </c>
      <c r="BA290" s="105">
        <f t="shared" si="290"/>
        <v>0</v>
      </c>
      <c r="BB290" s="105">
        <f t="shared" si="291"/>
        <v>0</v>
      </c>
    </row>
    <row r="291" spans="1:54" ht="15" customHeight="1" x14ac:dyDescent="0.25">
      <c r="A291" s="2">
        <v>289</v>
      </c>
      <c r="B291" s="83">
        <f t="shared" si="292"/>
        <v>0</v>
      </c>
      <c r="C291" s="83">
        <f>B291*N(Crédits!$D$5)/12</f>
        <v>0</v>
      </c>
      <c r="D291" s="83">
        <f>MIN(N(Crédits!$E$5),B291+C291)</f>
        <v>0</v>
      </c>
      <c r="E291" s="83">
        <f t="shared" si="276"/>
        <v>0</v>
      </c>
      <c r="F291" s="86">
        <f>IF(Crédits!$K$5="",0,MAX(0,MIN(E291,Plan!$L$293-(IF(Crédits!$K$6="",0,IF(Crédits!$K$6&lt;Crédits!$K$5,M291,0))+IF(Crédits!$K$7="",0,IF(Crédits!$K$7&lt;Crédits!$K$5,U291,0))+IF(Crédits!$K$8="",0,IF(Crédits!$K$8&lt;Crédits!$K$5,AC291,0))+IF(Crédits!$K$9="",0,IF(Crédits!$K$9&lt;Crédits!$K$5,AK291,0))+IF(Crédits!$K$10="",0,IF(Crédits!$K$10&lt;Crédits!$K$5,AS291,0))))))</f>
        <v>0</v>
      </c>
      <c r="G291" s="87">
        <f t="shared" si="277"/>
        <v>0</v>
      </c>
      <c r="H291" s="88">
        <f>ROUND(H290+I291-MIN(N(Crédits!$E$5),H290+I291),2)</f>
        <v>0</v>
      </c>
      <c r="I291" s="89">
        <f>H290*N(Crédits!$D$5)/12</f>
        <v>0</v>
      </c>
      <c r="J291" s="90">
        <f t="shared" si="293"/>
        <v>0</v>
      </c>
      <c r="K291" s="90">
        <f>J291*N(Crédits!$D$6)/12</f>
        <v>0</v>
      </c>
      <c r="L291" s="90">
        <f>MIN(N(Crédits!$E$6),J291+K291)</f>
        <v>0</v>
      </c>
      <c r="M291" s="90">
        <f t="shared" si="278"/>
        <v>0</v>
      </c>
      <c r="N291" s="91">
        <f>IF(Crédits!$K$6="",0,MAX(0,MIN(M291,Plan!$L$293-(IF(Crédits!$K$5="",0,IF(Crédits!$K$5&lt;Crédits!$K$6,E291,0))+IF(Crédits!$K$7="",0,IF(Crédits!$K$7&lt;Crédits!$K$6,U291,0))+IF(Crédits!$K$8="",0,IF(Crédits!$K$8&lt;Crédits!$K$6,AC291,0))+IF(Crédits!$K$9="",0,IF(Crédits!$K$9&lt;Crédits!$K$6,AK291,0))+IF(Crédits!$K$10="",0,IF(Crédits!$K$10&lt;Crédits!$K$6,AS291,0))))))</f>
        <v>0</v>
      </c>
      <c r="O291" s="92">
        <f t="shared" si="279"/>
        <v>0</v>
      </c>
      <c r="P291" s="88">
        <f>ROUND(P290+Q291-MIN(N(Crédits!$E$6),P290+Q291),2)</f>
        <v>0</v>
      </c>
      <c r="Q291" s="89">
        <f>P290*N(Crédits!$D$6)/12</f>
        <v>0</v>
      </c>
      <c r="R291" s="93">
        <f t="shared" si="294"/>
        <v>0</v>
      </c>
      <c r="S291" s="93">
        <f>R291*N(Crédits!$D$7)/12</f>
        <v>0</v>
      </c>
      <c r="T291" s="93">
        <f>MIN(N(Crédits!$E$7),R291+S291)</f>
        <v>0</v>
      </c>
      <c r="U291" s="93">
        <f t="shared" si="280"/>
        <v>0</v>
      </c>
      <c r="V291" s="94">
        <f>IF(Crédits!$K$7="",0,MAX(0,MIN(U291,Plan!$L$293-(IF(Crédits!$K$5="",0,IF(Crédits!$K$5&lt;Crédits!$K$7,E291,0))+IF(Crédits!$K$6="",0,IF(Crédits!$K$6&lt;Crédits!$K$7,M291,0))+IF(Crédits!$K$8="",0,IF(Crédits!$K$8&lt;Crédits!$K$7,AC291,0))+IF(Crédits!$K$9="",0,IF(Crédits!$K$9&lt;Crédits!$K$7,AK291,0))+IF(Crédits!$K$10="",0,IF(Crédits!$K$10&lt;Crédits!$K$7,AS291,0))))))</f>
        <v>0</v>
      </c>
      <c r="W291" s="95">
        <f t="shared" si="281"/>
        <v>0</v>
      </c>
      <c r="X291" s="88">
        <f>ROUND(X290+Y291-MIN(N(Crédits!$E$7),X290+Y291),2)</f>
        <v>0</v>
      </c>
      <c r="Y291" s="89">
        <f>X290*N(Crédits!$D$7)/12</f>
        <v>0</v>
      </c>
      <c r="Z291" s="96">
        <f t="shared" si="295"/>
        <v>0</v>
      </c>
      <c r="AA291" s="96">
        <f>Z291*N(Crédits!$D$8)/12</f>
        <v>0</v>
      </c>
      <c r="AB291" s="96">
        <f>MIN(N(Crédits!$E$8),Z291+AA291)</f>
        <v>0</v>
      </c>
      <c r="AC291" s="96">
        <f t="shared" si="282"/>
        <v>0</v>
      </c>
      <c r="AD291" s="97">
        <f>IF(Crédits!$K$8="",0,MAX(0,MIN(AC291,Plan!$L$293-(IF(Crédits!$K$5="",0,IF(Crédits!$K$5&lt;Crédits!$K$8,E291,0))+IF(Crédits!$K$6="",0,IF(Crédits!$K$6&lt;Crédits!$K$8,M291,0))+IF(Crédits!$K$7="",0,IF(Crédits!$K$7&lt;Crédits!$K$8,U291,0))+IF(Crédits!$K$9="",0,IF(Crédits!$K$9&lt;Crédits!$K$8,AK291,0))+IF(Crédits!$K$10="",0,IF(Crédits!$K$10&lt;Crédits!$K$8,AS291,0))))))</f>
        <v>0</v>
      </c>
      <c r="AE291" s="98">
        <f t="shared" si="283"/>
        <v>0</v>
      </c>
      <c r="AF291" s="88">
        <f>ROUND(AF290+AG291-MIN(N(Crédits!$E$8),AF290+AG291),2)</f>
        <v>0</v>
      </c>
      <c r="AG291" s="89">
        <f>AF290*N(Crédits!$D$8)/12</f>
        <v>0</v>
      </c>
      <c r="AH291" s="99">
        <f t="shared" si="296"/>
        <v>0</v>
      </c>
      <c r="AI291" s="99">
        <f>AH291*N(Crédits!$D$9)/12</f>
        <v>0</v>
      </c>
      <c r="AJ291" s="99">
        <f>MIN(N(Crédits!$E$9),AH291+AI291)</f>
        <v>0</v>
      </c>
      <c r="AK291" s="99">
        <f t="shared" si="284"/>
        <v>0</v>
      </c>
      <c r="AL291" s="100">
        <f>IF(Crédits!$K$9="",0,MAX(0,MIN(AK291,Plan!$L$293-(IF(Crédits!$K$5="",0,IF(Crédits!$K$5&lt;Crédits!$K$9,E291,0))+IF(Crédits!$K$6="",0,IF(Crédits!$K$6&lt;Crédits!$K$9,M291,0))+IF(Crédits!$K$7="",0,IF(Crédits!$K$7&lt;Crédits!$K$9,U291,0))+IF(Crédits!$K$8="",0,IF(Crédits!$K$8&lt;Crédits!$K$9,AC291,0))+IF(Crédits!$K$10="",0,IF(Crédits!$K$10&lt;Crédits!$K$9,AS291,0))))))</f>
        <v>0</v>
      </c>
      <c r="AM291" s="101">
        <f t="shared" si="285"/>
        <v>0</v>
      </c>
      <c r="AN291" s="88">
        <f>ROUND(AN290+AO291-MIN(N(Crédits!$E$9),AN290+AO291),2)</f>
        <v>0</v>
      </c>
      <c r="AO291" s="89">
        <f>AN290*N(Crédits!$D$9)/12</f>
        <v>0</v>
      </c>
      <c r="AP291" s="102">
        <f t="shared" si="297"/>
        <v>0</v>
      </c>
      <c r="AQ291" s="102">
        <f>AP291*N(Crédits!$D$10)/12</f>
        <v>0</v>
      </c>
      <c r="AR291" s="102">
        <f>MIN(N(Crédits!$E$10),AP291+AQ291)</f>
        <v>0</v>
      </c>
      <c r="AS291" s="102">
        <f t="shared" si="286"/>
        <v>0</v>
      </c>
      <c r="AT291" s="103">
        <f>IF(Crédits!$K$10="",0,MAX(0,MIN(AS291,Plan!$L$293-(IF(Crédits!$K$5="",0,IF(Crédits!$K$5&lt;Crédits!$K$10,E291,0))+IF(Crédits!$K$6="",0,IF(Crédits!$K$6&lt;Crédits!$K$10,M291,0))+IF(Crédits!$K$7="",0,IF(Crédits!$K$7&lt;Crédits!$K$10,U291,0))+IF(Crédits!$K$8="",0,IF(Crédits!$K$8&lt;Crédits!$K$10,AC291,0))+IF(Crédits!$K$9="",0,IF(Crédits!$K$9&lt;Crédits!$K$10,AK291,0))))))</f>
        <v>0</v>
      </c>
      <c r="AU291" s="104">
        <f t="shared" si="287"/>
        <v>0</v>
      </c>
      <c r="AV291" s="88">
        <f>ROUND(AV290+AW291-MIN(N(Crédits!$E$10),AV290+AW291),2)</f>
        <v>0</v>
      </c>
      <c r="AW291" s="89">
        <f>AV290*N(Crédits!$D$10)/12</f>
        <v>0</v>
      </c>
      <c r="AX291" s="105">
        <f t="shared" si="288"/>
        <v>0</v>
      </c>
      <c r="AY291" s="105">
        <f t="shared" ref="AY291:AZ291" si="330">F291+N291+V291+AD291+AL291+AT291</f>
        <v>0</v>
      </c>
      <c r="AZ291" s="105">
        <f t="shared" si="330"/>
        <v>0</v>
      </c>
      <c r="BA291" s="105">
        <f t="shared" si="290"/>
        <v>0</v>
      </c>
      <c r="BB291" s="105">
        <f t="shared" si="291"/>
        <v>0</v>
      </c>
    </row>
    <row r="292" spans="1:54" ht="15" customHeight="1" x14ac:dyDescent="0.25">
      <c r="A292" s="2">
        <v>290</v>
      </c>
      <c r="B292" s="83">
        <f t="shared" si="292"/>
        <v>0</v>
      </c>
      <c r="C292" s="83">
        <f>B292*N(Crédits!$D$5)/12</f>
        <v>0</v>
      </c>
      <c r="D292" s="83">
        <f>MIN(N(Crédits!$E$5),B292+C292)</f>
        <v>0</v>
      </c>
      <c r="E292" s="83">
        <f t="shared" si="276"/>
        <v>0</v>
      </c>
      <c r="F292" s="86">
        <f>IF(Crédits!$K$5="",0,MAX(0,MIN(E292,Plan!$L$294-(IF(Crédits!$K$6="",0,IF(Crédits!$K$6&lt;Crédits!$K$5,M292,0))+IF(Crédits!$K$7="",0,IF(Crédits!$K$7&lt;Crédits!$K$5,U292,0))+IF(Crédits!$K$8="",0,IF(Crédits!$K$8&lt;Crédits!$K$5,AC292,0))+IF(Crédits!$K$9="",0,IF(Crédits!$K$9&lt;Crédits!$K$5,AK292,0))+IF(Crédits!$K$10="",0,IF(Crédits!$K$10&lt;Crédits!$K$5,AS292,0))))))</f>
        <v>0</v>
      </c>
      <c r="G292" s="87">
        <f t="shared" si="277"/>
        <v>0</v>
      </c>
      <c r="H292" s="88">
        <f>ROUND(H291+I292-MIN(N(Crédits!$E$5),H291+I292),2)</f>
        <v>0</v>
      </c>
      <c r="I292" s="89">
        <f>H291*N(Crédits!$D$5)/12</f>
        <v>0</v>
      </c>
      <c r="J292" s="90">
        <f t="shared" si="293"/>
        <v>0</v>
      </c>
      <c r="K292" s="90">
        <f>J292*N(Crédits!$D$6)/12</f>
        <v>0</v>
      </c>
      <c r="L292" s="90">
        <f>MIN(N(Crédits!$E$6),J292+K292)</f>
        <v>0</v>
      </c>
      <c r="M292" s="90">
        <f t="shared" si="278"/>
        <v>0</v>
      </c>
      <c r="N292" s="91">
        <f>IF(Crédits!$K$6="",0,MAX(0,MIN(M292,Plan!$L$294-(IF(Crédits!$K$5="",0,IF(Crédits!$K$5&lt;Crédits!$K$6,E292,0))+IF(Crédits!$K$7="",0,IF(Crédits!$K$7&lt;Crédits!$K$6,U292,0))+IF(Crédits!$K$8="",0,IF(Crédits!$K$8&lt;Crédits!$K$6,AC292,0))+IF(Crédits!$K$9="",0,IF(Crédits!$K$9&lt;Crédits!$K$6,AK292,0))+IF(Crédits!$K$10="",0,IF(Crédits!$K$10&lt;Crédits!$K$6,AS292,0))))))</f>
        <v>0</v>
      </c>
      <c r="O292" s="92">
        <f t="shared" si="279"/>
        <v>0</v>
      </c>
      <c r="P292" s="88">
        <f>ROUND(P291+Q292-MIN(N(Crédits!$E$6),P291+Q292),2)</f>
        <v>0</v>
      </c>
      <c r="Q292" s="89">
        <f>P291*N(Crédits!$D$6)/12</f>
        <v>0</v>
      </c>
      <c r="R292" s="93">
        <f t="shared" si="294"/>
        <v>0</v>
      </c>
      <c r="S292" s="93">
        <f>R292*N(Crédits!$D$7)/12</f>
        <v>0</v>
      </c>
      <c r="T292" s="93">
        <f>MIN(N(Crédits!$E$7),R292+S292)</f>
        <v>0</v>
      </c>
      <c r="U292" s="93">
        <f t="shared" si="280"/>
        <v>0</v>
      </c>
      <c r="V292" s="94">
        <f>IF(Crédits!$K$7="",0,MAX(0,MIN(U292,Plan!$L$294-(IF(Crédits!$K$5="",0,IF(Crédits!$K$5&lt;Crédits!$K$7,E292,0))+IF(Crédits!$K$6="",0,IF(Crédits!$K$6&lt;Crédits!$K$7,M292,0))+IF(Crédits!$K$8="",0,IF(Crédits!$K$8&lt;Crédits!$K$7,AC292,0))+IF(Crédits!$K$9="",0,IF(Crédits!$K$9&lt;Crédits!$K$7,AK292,0))+IF(Crédits!$K$10="",0,IF(Crédits!$K$10&lt;Crédits!$K$7,AS292,0))))))</f>
        <v>0</v>
      </c>
      <c r="W292" s="95">
        <f t="shared" si="281"/>
        <v>0</v>
      </c>
      <c r="X292" s="88">
        <f>ROUND(X291+Y292-MIN(N(Crédits!$E$7),X291+Y292),2)</f>
        <v>0</v>
      </c>
      <c r="Y292" s="89">
        <f>X291*N(Crédits!$D$7)/12</f>
        <v>0</v>
      </c>
      <c r="Z292" s="96">
        <f t="shared" si="295"/>
        <v>0</v>
      </c>
      <c r="AA292" s="96">
        <f>Z292*N(Crédits!$D$8)/12</f>
        <v>0</v>
      </c>
      <c r="AB292" s="96">
        <f>MIN(N(Crédits!$E$8),Z292+AA292)</f>
        <v>0</v>
      </c>
      <c r="AC292" s="96">
        <f t="shared" si="282"/>
        <v>0</v>
      </c>
      <c r="AD292" s="97">
        <f>IF(Crédits!$K$8="",0,MAX(0,MIN(AC292,Plan!$L$294-(IF(Crédits!$K$5="",0,IF(Crédits!$K$5&lt;Crédits!$K$8,E292,0))+IF(Crédits!$K$6="",0,IF(Crédits!$K$6&lt;Crédits!$K$8,M292,0))+IF(Crédits!$K$7="",0,IF(Crédits!$K$7&lt;Crédits!$K$8,U292,0))+IF(Crédits!$K$9="",0,IF(Crédits!$K$9&lt;Crédits!$K$8,AK292,0))+IF(Crédits!$K$10="",0,IF(Crédits!$K$10&lt;Crédits!$K$8,AS292,0))))))</f>
        <v>0</v>
      </c>
      <c r="AE292" s="98">
        <f t="shared" si="283"/>
        <v>0</v>
      </c>
      <c r="AF292" s="88">
        <f>ROUND(AF291+AG292-MIN(N(Crédits!$E$8),AF291+AG292),2)</f>
        <v>0</v>
      </c>
      <c r="AG292" s="89">
        <f>AF291*N(Crédits!$D$8)/12</f>
        <v>0</v>
      </c>
      <c r="AH292" s="99">
        <f t="shared" si="296"/>
        <v>0</v>
      </c>
      <c r="AI292" s="99">
        <f>AH292*N(Crédits!$D$9)/12</f>
        <v>0</v>
      </c>
      <c r="AJ292" s="99">
        <f>MIN(N(Crédits!$E$9),AH292+AI292)</f>
        <v>0</v>
      </c>
      <c r="AK292" s="99">
        <f t="shared" si="284"/>
        <v>0</v>
      </c>
      <c r="AL292" s="100">
        <f>IF(Crédits!$K$9="",0,MAX(0,MIN(AK292,Plan!$L$294-(IF(Crédits!$K$5="",0,IF(Crédits!$K$5&lt;Crédits!$K$9,E292,0))+IF(Crédits!$K$6="",0,IF(Crédits!$K$6&lt;Crédits!$K$9,M292,0))+IF(Crédits!$K$7="",0,IF(Crédits!$K$7&lt;Crédits!$K$9,U292,0))+IF(Crédits!$K$8="",0,IF(Crédits!$K$8&lt;Crédits!$K$9,AC292,0))+IF(Crédits!$K$10="",0,IF(Crédits!$K$10&lt;Crédits!$K$9,AS292,0))))))</f>
        <v>0</v>
      </c>
      <c r="AM292" s="101">
        <f t="shared" si="285"/>
        <v>0</v>
      </c>
      <c r="AN292" s="88">
        <f>ROUND(AN291+AO292-MIN(N(Crédits!$E$9),AN291+AO292),2)</f>
        <v>0</v>
      </c>
      <c r="AO292" s="89">
        <f>AN291*N(Crédits!$D$9)/12</f>
        <v>0</v>
      </c>
      <c r="AP292" s="102">
        <f t="shared" si="297"/>
        <v>0</v>
      </c>
      <c r="AQ292" s="102">
        <f>AP292*N(Crédits!$D$10)/12</f>
        <v>0</v>
      </c>
      <c r="AR292" s="102">
        <f>MIN(N(Crédits!$E$10),AP292+AQ292)</f>
        <v>0</v>
      </c>
      <c r="AS292" s="102">
        <f t="shared" si="286"/>
        <v>0</v>
      </c>
      <c r="AT292" s="103">
        <f>IF(Crédits!$K$10="",0,MAX(0,MIN(AS292,Plan!$L$294-(IF(Crédits!$K$5="",0,IF(Crédits!$K$5&lt;Crédits!$K$10,E292,0))+IF(Crédits!$K$6="",0,IF(Crédits!$K$6&lt;Crédits!$K$10,M292,0))+IF(Crédits!$K$7="",0,IF(Crédits!$K$7&lt;Crédits!$K$10,U292,0))+IF(Crédits!$K$8="",0,IF(Crédits!$K$8&lt;Crédits!$K$10,AC292,0))+IF(Crédits!$K$9="",0,IF(Crédits!$K$9&lt;Crédits!$K$10,AK292,0))))))</f>
        <v>0</v>
      </c>
      <c r="AU292" s="104">
        <f t="shared" si="287"/>
        <v>0</v>
      </c>
      <c r="AV292" s="88">
        <f>ROUND(AV291+AW292-MIN(N(Crédits!$E$10),AV291+AW292),2)</f>
        <v>0</v>
      </c>
      <c r="AW292" s="89">
        <f>AV291*N(Crédits!$D$10)/12</f>
        <v>0</v>
      </c>
      <c r="AX292" s="105">
        <f t="shared" si="288"/>
        <v>0</v>
      </c>
      <c r="AY292" s="105">
        <f t="shared" ref="AY292:AZ292" si="331">F292+N292+V292+AD292+AL292+AT292</f>
        <v>0</v>
      </c>
      <c r="AZ292" s="105">
        <f t="shared" si="331"/>
        <v>0</v>
      </c>
      <c r="BA292" s="105">
        <f t="shared" si="290"/>
        <v>0</v>
      </c>
      <c r="BB292" s="105">
        <f t="shared" si="291"/>
        <v>0</v>
      </c>
    </row>
    <row r="293" spans="1:54" ht="15" customHeight="1" x14ac:dyDescent="0.25">
      <c r="A293" s="2">
        <v>291</v>
      </c>
      <c r="B293" s="83">
        <f t="shared" si="292"/>
        <v>0</v>
      </c>
      <c r="C293" s="83">
        <f>B293*N(Crédits!$D$5)/12</f>
        <v>0</v>
      </c>
      <c r="D293" s="83">
        <f>MIN(N(Crédits!$E$5),B293+C293)</f>
        <v>0</v>
      </c>
      <c r="E293" s="83">
        <f t="shared" si="276"/>
        <v>0</v>
      </c>
      <c r="F293" s="86">
        <f>IF(Crédits!$K$5="",0,MAX(0,MIN(E293,Plan!$L$295-(IF(Crédits!$K$6="",0,IF(Crédits!$K$6&lt;Crédits!$K$5,M293,0))+IF(Crédits!$K$7="",0,IF(Crédits!$K$7&lt;Crédits!$K$5,U293,0))+IF(Crédits!$K$8="",0,IF(Crédits!$K$8&lt;Crédits!$K$5,AC293,0))+IF(Crédits!$K$9="",0,IF(Crédits!$K$9&lt;Crédits!$K$5,AK293,0))+IF(Crédits!$K$10="",0,IF(Crédits!$K$10&lt;Crédits!$K$5,AS293,0))))))</f>
        <v>0</v>
      </c>
      <c r="G293" s="87">
        <f t="shared" si="277"/>
        <v>0</v>
      </c>
      <c r="H293" s="88">
        <f>ROUND(H292+I293-MIN(N(Crédits!$E$5),H292+I293),2)</f>
        <v>0</v>
      </c>
      <c r="I293" s="89">
        <f>H292*N(Crédits!$D$5)/12</f>
        <v>0</v>
      </c>
      <c r="J293" s="90">
        <f t="shared" si="293"/>
        <v>0</v>
      </c>
      <c r="K293" s="90">
        <f>J293*N(Crédits!$D$6)/12</f>
        <v>0</v>
      </c>
      <c r="L293" s="90">
        <f>MIN(N(Crédits!$E$6),J293+K293)</f>
        <v>0</v>
      </c>
      <c r="M293" s="90">
        <f t="shared" si="278"/>
        <v>0</v>
      </c>
      <c r="N293" s="91">
        <f>IF(Crédits!$K$6="",0,MAX(0,MIN(M293,Plan!$L$295-(IF(Crédits!$K$5="",0,IF(Crédits!$K$5&lt;Crédits!$K$6,E293,0))+IF(Crédits!$K$7="",0,IF(Crédits!$K$7&lt;Crédits!$K$6,U293,0))+IF(Crédits!$K$8="",0,IF(Crédits!$K$8&lt;Crédits!$K$6,AC293,0))+IF(Crédits!$K$9="",0,IF(Crédits!$K$9&lt;Crédits!$K$6,AK293,0))+IF(Crédits!$K$10="",0,IF(Crédits!$K$10&lt;Crédits!$K$6,AS293,0))))))</f>
        <v>0</v>
      </c>
      <c r="O293" s="92">
        <f t="shared" si="279"/>
        <v>0</v>
      </c>
      <c r="P293" s="88">
        <f>ROUND(P292+Q293-MIN(N(Crédits!$E$6),P292+Q293),2)</f>
        <v>0</v>
      </c>
      <c r="Q293" s="89">
        <f>P292*N(Crédits!$D$6)/12</f>
        <v>0</v>
      </c>
      <c r="R293" s="93">
        <f t="shared" si="294"/>
        <v>0</v>
      </c>
      <c r="S293" s="93">
        <f>R293*N(Crédits!$D$7)/12</f>
        <v>0</v>
      </c>
      <c r="T293" s="93">
        <f>MIN(N(Crédits!$E$7),R293+S293)</f>
        <v>0</v>
      </c>
      <c r="U293" s="93">
        <f t="shared" si="280"/>
        <v>0</v>
      </c>
      <c r="V293" s="94">
        <f>IF(Crédits!$K$7="",0,MAX(0,MIN(U293,Plan!$L$295-(IF(Crédits!$K$5="",0,IF(Crédits!$K$5&lt;Crédits!$K$7,E293,0))+IF(Crédits!$K$6="",0,IF(Crédits!$K$6&lt;Crédits!$K$7,M293,0))+IF(Crédits!$K$8="",0,IF(Crédits!$K$8&lt;Crédits!$K$7,AC293,0))+IF(Crédits!$K$9="",0,IF(Crédits!$K$9&lt;Crédits!$K$7,AK293,0))+IF(Crédits!$K$10="",0,IF(Crédits!$K$10&lt;Crédits!$K$7,AS293,0))))))</f>
        <v>0</v>
      </c>
      <c r="W293" s="95">
        <f t="shared" si="281"/>
        <v>0</v>
      </c>
      <c r="X293" s="88">
        <f>ROUND(X292+Y293-MIN(N(Crédits!$E$7),X292+Y293),2)</f>
        <v>0</v>
      </c>
      <c r="Y293" s="89">
        <f>X292*N(Crédits!$D$7)/12</f>
        <v>0</v>
      </c>
      <c r="Z293" s="96">
        <f t="shared" si="295"/>
        <v>0</v>
      </c>
      <c r="AA293" s="96">
        <f>Z293*N(Crédits!$D$8)/12</f>
        <v>0</v>
      </c>
      <c r="AB293" s="96">
        <f>MIN(N(Crédits!$E$8),Z293+AA293)</f>
        <v>0</v>
      </c>
      <c r="AC293" s="96">
        <f t="shared" si="282"/>
        <v>0</v>
      </c>
      <c r="AD293" s="97">
        <f>IF(Crédits!$K$8="",0,MAX(0,MIN(AC293,Plan!$L$295-(IF(Crédits!$K$5="",0,IF(Crédits!$K$5&lt;Crédits!$K$8,E293,0))+IF(Crédits!$K$6="",0,IF(Crédits!$K$6&lt;Crédits!$K$8,M293,0))+IF(Crédits!$K$7="",0,IF(Crédits!$K$7&lt;Crédits!$K$8,U293,0))+IF(Crédits!$K$9="",0,IF(Crédits!$K$9&lt;Crédits!$K$8,AK293,0))+IF(Crédits!$K$10="",0,IF(Crédits!$K$10&lt;Crédits!$K$8,AS293,0))))))</f>
        <v>0</v>
      </c>
      <c r="AE293" s="98">
        <f t="shared" si="283"/>
        <v>0</v>
      </c>
      <c r="AF293" s="88">
        <f>ROUND(AF292+AG293-MIN(N(Crédits!$E$8),AF292+AG293),2)</f>
        <v>0</v>
      </c>
      <c r="AG293" s="89">
        <f>AF292*N(Crédits!$D$8)/12</f>
        <v>0</v>
      </c>
      <c r="AH293" s="99">
        <f t="shared" si="296"/>
        <v>0</v>
      </c>
      <c r="AI293" s="99">
        <f>AH293*N(Crédits!$D$9)/12</f>
        <v>0</v>
      </c>
      <c r="AJ293" s="99">
        <f>MIN(N(Crédits!$E$9),AH293+AI293)</f>
        <v>0</v>
      </c>
      <c r="AK293" s="99">
        <f t="shared" si="284"/>
        <v>0</v>
      </c>
      <c r="AL293" s="100">
        <f>IF(Crédits!$K$9="",0,MAX(0,MIN(AK293,Plan!$L$295-(IF(Crédits!$K$5="",0,IF(Crédits!$K$5&lt;Crédits!$K$9,E293,0))+IF(Crédits!$K$6="",0,IF(Crédits!$K$6&lt;Crédits!$K$9,M293,0))+IF(Crédits!$K$7="",0,IF(Crédits!$K$7&lt;Crédits!$K$9,U293,0))+IF(Crédits!$K$8="",0,IF(Crédits!$K$8&lt;Crédits!$K$9,AC293,0))+IF(Crédits!$K$10="",0,IF(Crédits!$K$10&lt;Crédits!$K$9,AS293,0))))))</f>
        <v>0</v>
      </c>
      <c r="AM293" s="101">
        <f t="shared" si="285"/>
        <v>0</v>
      </c>
      <c r="AN293" s="88">
        <f>ROUND(AN292+AO293-MIN(N(Crédits!$E$9),AN292+AO293),2)</f>
        <v>0</v>
      </c>
      <c r="AO293" s="89">
        <f>AN292*N(Crédits!$D$9)/12</f>
        <v>0</v>
      </c>
      <c r="AP293" s="102">
        <f t="shared" si="297"/>
        <v>0</v>
      </c>
      <c r="AQ293" s="102">
        <f>AP293*N(Crédits!$D$10)/12</f>
        <v>0</v>
      </c>
      <c r="AR293" s="102">
        <f>MIN(N(Crédits!$E$10),AP293+AQ293)</f>
        <v>0</v>
      </c>
      <c r="AS293" s="102">
        <f t="shared" si="286"/>
        <v>0</v>
      </c>
      <c r="AT293" s="103">
        <f>IF(Crédits!$K$10="",0,MAX(0,MIN(AS293,Plan!$L$295-(IF(Crédits!$K$5="",0,IF(Crédits!$K$5&lt;Crédits!$K$10,E293,0))+IF(Crédits!$K$6="",0,IF(Crédits!$K$6&lt;Crédits!$K$10,M293,0))+IF(Crédits!$K$7="",0,IF(Crédits!$K$7&lt;Crédits!$K$10,U293,0))+IF(Crédits!$K$8="",0,IF(Crédits!$K$8&lt;Crédits!$K$10,AC293,0))+IF(Crédits!$K$9="",0,IF(Crédits!$K$9&lt;Crédits!$K$10,AK293,0))))))</f>
        <v>0</v>
      </c>
      <c r="AU293" s="104">
        <f t="shared" si="287"/>
        <v>0</v>
      </c>
      <c r="AV293" s="88">
        <f>ROUND(AV292+AW293-MIN(N(Crédits!$E$10),AV292+AW293),2)</f>
        <v>0</v>
      </c>
      <c r="AW293" s="89">
        <f>AV292*N(Crédits!$D$10)/12</f>
        <v>0</v>
      </c>
      <c r="AX293" s="105">
        <f t="shared" si="288"/>
        <v>0</v>
      </c>
      <c r="AY293" s="105">
        <f t="shared" ref="AY293:AZ293" si="332">F293+N293+V293+AD293+AL293+AT293</f>
        <v>0</v>
      </c>
      <c r="AZ293" s="105">
        <f t="shared" si="332"/>
        <v>0</v>
      </c>
      <c r="BA293" s="105">
        <f t="shared" si="290"/>
        <v>0</v>
      </c>
      <c r="BB293" s="105">
        <f t="shared" si="291"/>
        <v>0</v>
      </c>
    </row>
    <row r="294" spans="1:54" ht="15" customHeight="1" x14ac:dyDescent="0.25">
      <c r="A294" s="2">
        <v>292</v>
      </c>
      <c r="B294" s="83">
        <f t="shared" si="292"/>
        <v>0</v>
      </c>
      <c r="C294" s="83">
        <f>B294*N(Crédits!$D$5)/12</f>
        <v>0</v>
      </c>
      <c r="D294" s="83">
        <f>MIN(N(Crédits!$E$5),B294+C294)</f>
        <v>0</v>
      </c>
      <c r="E294" s="83">
        <f t="shared" si="276"/>
        <v>0</v>
      </c>
      <c r="F294" s="86">
        <f>IF(Crédits!$K$5="",0,MAX(0,MIN(E294,Plan!$L$296-(IF(Crédits!$K$6="",0,IF(Crédits!$K$6&lt;Crédits!$K$5,M294,0))+IF(Crédits!$K$7="",0,IF(Crédits!$K$7&lt;Crédits!$K$5,U294,0))+IF(Crédits!$K$8="",0,IF(Crédits!$K$8&lt;Crédits!$K$5,AC294,0))+IF(Crédits!$K$9="",0,IF(Crédits!$K$9&lt;Crédits!$K$5,AK294,0))+IF(Crédits!$K$10="",0,IF(Crédits!$K$10&lt;Crédits!$K$5,AS294,0))))))</f>
        <v>0</v>
      </c>
      <c r="G294" s="87">
        <f t="shared" si="277"/>
        <v>0</v>
      </c>
      <c r="H294" s="88">
        <f>ROUND(H293+I294-MIN(N(Crédits!$E$5),H293+I294),2)</f>
        <v>0</v>
      </c>
      <c r="I294" s="89">
        <f>H293*N(Crédits!$D$5)/12</f>
        <v>0</v>
      </c>
      <c r="J294" s="90">
        <f t="shared" si="293"/>
        <v>0</v>
      </c>
      <c r="K294" s="90">
        <f>J294*N(Crédits!$D$6)/12</f>
        <v>0</v>
      </c>
      <c r="L294" s="90">
        <f>MIN(N(Crédits!$E$6),J294+K294)</f>
        <v>0</v>
      </c>
      <c r="M294" s="90">
        <f t="shared" si="278"/>
        <v>0</v>
      </c>
      <c r="N294" s="91">
        <f>IF(Crédits!$K$6="",0,MAX(0,MIN(M294,Plan!$L$296-(IF(Crédits!$K$5="",0,IF(Crédits!$K$5&lt;Crédits!$K$6,E294,0))+IF(Crédits!$K$7="",0,IF(Crédits!$K$7&lt;Crédits!$K$6,U294,0))+IF(Crédits!$K$8="",0,IF(Crédits!$K$8&lt;Crédits!$K$6,AC294,0))+IF(Crédits!$K$9="",0,IF(Crédits!$K$9&lt;Crédits!$K$6,AK294,0))+IF(Crédits!$K$10="",0,IF(Crédits!$K$10&lt;Crédits!$K$6,AS294,0))))))</f>
        <v>0</v>
      </c>
      <c r="O294" s="92">
        <f t="shared" si="279"/>
        <v>0</v>
      </c>
      <c r="P294" s="88">
        <f>ROUND(P293+Q294-MIN(N(Crédits!$E$6),P293+Q294),2)</f>
        <v>0</v>
      </c>
      <c r="Q294" s="89">
        <f>P293*N(Crédits!$D$6)/12</f>
        <v>0</v>
      </c>
      <c r="R294" s="93">
        <f t="shared" si="294"/>
        <v>0</v>
      </c>
      <c r="S294" s="93">
        <f>R294*N(Crédits!$D$7)/12</f>
        <v>0</v>
      </c>
      <c r="T294" s="93">
        <f>MIN(N(Crédits!$E$7),R294+S294)</f>
        <v>0</v>
      </c>
      <c r="U294" s="93">
        <f t="shared" si="280"/>
        <v>0</v>
      </c>
      <c r="V294" s="94">
        <f>IF(Crédits!$K$7="",0,MAX(0,MIN(U294,Plan!$L$296-(IF(Crédits!$K$5="",0,IF(Crédits!$K$5&lt;Crédits!$K$7,E294,0))+IF(Crédits!$K$6="",0,IF(Crédits!$K$6&lt;Crédits!$K$7,M294,0))+IF(Crédits!$K$8="",0,IF(Crédits!$K$8&lt;Crédits!$K$7,AC294,0))+IF(Crédits!$K$9="",0,IF(Crédits!$K$9&lt;Crédits!$K$7,AK294,0))+IF(Crédits!$K$10="",0,IF(Crédits!$K$10&lt;Crédits!$K$7,AS294,0))))))</f>
        <v>0</v>
      </c>
      <c r="W294" s="95">
        <f t="shared" si="281"/>
        <v>0</v>
      </c>
      <c r="X294" s="88">
        <f>ROUND(X293+Y294-MIN(N(Crédits!$E$7),X293+Y294),2)</f>
        <v>0</v>
      </c>
      <c r="Y294" s="89">
        <f>X293*N(Crédits!$D$7)/12</f>
        <v>0</v>
      </c>
      <c r="Z294" s="96">
        <f t="shared" si="295"/>
        <v>0</v>
      </c>
      <c r="AA294" s="96">
        <f>Z294*N(Crédits!$D$8)/12</f>
        <v>0</v>
      </c>
      <c r="AB294" s="96">
        <f>MIN(N(Crédits!$E$8),Z294+AA294)</f>
        <v>0</v>
      </c>
      <c r="AC294" s="96">
        <f t="shared" si="282"/>
        <v>0</v>
      </c>
      <c r="AD294" s="97">
        <f>IF(Crédits!$K$8="",0,MAX(0,MIN(AC294,Plan!$L$296-(IF(Crédits!$K$5="",0,IF(Crédits!$K$5&lt;Crédits!$K$8,E294,0))+IF(Crédits!$K$6="",0,IF(Crédits!$K$6&lt;Crédits!$K$8,M294,0))+IF(Crédits!$K$7="",0,IF(Crédits!$K$7&lt;Crédits!$K$8,U294,0))+IF(Crédits!$K$9="",0,IF(Crédits!$K$9&lt;Crédits!$K$8,AK294,0))+IF(Crédits!$K$10="",0,IF(Crédits!$K$10&lt;Crédits!$K$8,AS294,0))))))</f>
        <v>0</v>
      </c>
      <c r="AE294" s="98">
        <f t="shared" si="283"/>
        <v>0</v>
      </c>
      <c r="AF294" s="88">
        <f>ROUND(AF293+AG294-MIN(N(Crédits!$E$8),AF293+AG294),2)</f>
        <v>0</v>
      </c>
      <c r="AG294" s="89">
        <f>AF293*N(Crédits!$D$8)/12</f>
        <v>0</v>
      </c>
      <c r="AH294" s="99">
        <f t="shared" si="296"/>
        <v>0</v>
      </c>
      <c r="AI294" s="99">
        <f>AH294*N(Crédits!$D$9)/12</f>
        <v>0</v>
      </c>
      <c r="AJ294" s="99">
        <f>MIN(N(Crédits!$E$9),AH294+AI294)</f>
        <v>0</v>
      </c>
      <c r="AK294" s="99">
        <f t="shared" si="284"/>
        <v>0</v>
      </c>
      <c r="AL294" s="100">
        <f>IF(Crédits!$K$9="",0,MAX(0,MIN(AK294,Plan!$L$296-(IF(Crédits!$K$5="",0,IF(Crédits!$K$5&lt;Crédits!$K$9,E294,0))+IF(Crédits!$K$6="",0,IF(Crédits!$K$6&lt;Crédits!$K$9,M294,0))+IF(Crédits!$K$7="",0,IF(Crédits!$K$7&lt;Crédits!$K$9,U294,0))+IF(Crédits!$K$8="",0,IF(Crédits!$K$8&lt;Crédits!$K$9,AC294,0))+IF(Crédits!$K$10="",0,IF(Crédits!$K$10&lt;Crédits!$K$9,AS294,0))))))</f>
        <v>0</v>
      </c>
      <c r="AM294" s="101">
        <f t="shared" si="285"/>
        <v>0</v>
      </c>
      <c r="AN294" s="88">
        <f>ROUND(AN293+AO294-MIN(N(Crédits!$E$9),AN293+AO294),2)</f>
        <v>0</v>
      </c>
      <c r="AO294" s="89">
        <f>AN293*N(Crédits!$D$9)/12</f>
        <v>0</v>
      </c>
      <c r="AP294" s="102">
        <f t="shared" si="297"/>
        <v>0</v>
      </c>
      <c r="AQ294" s="102">
        <f>AP294*N(Crédits!$D$10)/12</f>
        <v>0</v>
      </c>
      <c r="AR294" s="102">
        <f>MIN(N(Crédits!$E$10),AP294+AQ294)</f>
        <v>0</v>
      </c>
      <c r="AS294" s="102">
        <f t="shared" si="286"/>
        <v>0</v>
      </c>
      <c r="AT294" s="103">
        <f>IF(Crédits!$K$10="",0,MAX(0,MIN(AS294,Plan!$L$296-(IF(Crédits!$K$5="",0,IF(Crédits!$K$5&lt;Crédits!$K$10,E294,0))+IF(Crédits!$K$6="",0,IF(Crédits!$K$6&lt;Crédits!$K$10,M294,0))+IF(Crédits!$K$7="",0,IF(Crédits!$K$7&lt;Crédits!$K$10,U294,0))+IF(Crédits!$K$8="",0,IF(Crédits!$K$8&lt;Crédits!$K$10,AC294,0))+IF(Crédits!$K$9="",0,IF(Crédits!$K$9&lt;Crédits!$K$10,AK294,0))))))</f>
        <v>0</v>
      </c>
      <c r="AU294" s="104">
        <f t="shared" si="287"/>
        <v>0</v>
      </c>
      <c r="AV294" s="88">
        <f>ROUND(AV293+AW294-MIN(N(Crédits!$E$10),AV293+AW294),2)</f>
        <v>0</v>
      </c>
      <c r="AW294" s="89">
        <f>AV293*N(Crédits!$D$10)/12</f>
        <v>0</v>
      </c>
      <c r="AX294" s="105">
        <f t="shared" si="288"/>
        <v>0</v>
      </c>
      <c r="AY294" s="105">
        <f t="shared" ref="AY294:AZ294" si="333">F294+N294+V294+AD294+AL294+AT294</f>
        <v>0</v>
      </c>
      <c r="AZ294" s="105">
        <f t="shared" si="333"/>
        <v>0</v>
      </c>
      <c r="BA294" s="105">
        <f t="shared" si="290"/>
        <v>0</v>
      </c>
      <c r="BB294" s="105">
        <f t="shared" si="291"/>
        <v>0</v>
      </c>
    </row>
    <row r="295" spans="1:54" ht="15" customHeight="1" x14ac:dyDescent="0.25">
      <c r="A295" s="2">
        <v>293</v>
      </c>
      <c r="B295" s="83">
        <f t="shared" si="292"/>
        <v>0</v>
      </c>
      <c r="C295" s="83">
        <f>B295*N(Crédits!$D$5)/12</f>
        <v>0</v>
      </c>
      <c r="D295" s="83">
        <f>MIN(N(Crédits!$E$5),B295+C295)</f>
        <v>0</v>
      </c>
      <c r="E295" s="83">
        <f t="shared" si="276"/>
        <v>0</v>
      </c>
      <c r="F295" s="86">
        <f>IF(Crédits!$K$5="",0,MAX(0,MIN(E295,Plan!$L$297-(IF(Crédits!$K$6="",0,IF(Crédits!$K$6&lt;Crédits!$K$5,M295,0))+IF(Crédits!$K$7="",0,IF(Crédits!$K$7&lt;Crédits!$K$5,U295,0))+IF(Crédits!$K$8="",0,IF(Crédits!$K$8&lt;Crédits!$K$5,AC295,0))+IF(Crédits!$K$9="",0,IF(Crédits!$K$9&lt;Crédits!$K$5,AK295,0))+IF(Crédits!$K$10="",0,IF(Crédits!$K$10&lt;Crédits!$K$5,AS295,0))))))</f>
        <v>0</v>
      </c>
      <c r="G295" s="87">
        <f t="shared" si="277"/>
        <v>0</v>
      </c>
      <c r="H295" s="88">
        <f>ROUND(H294+I295-MIN(N(Crédits!$E$5),H294+I295),2)</f>
        <v>0</v>
      </c>
      <c r="I295" s="89">
        <f>H294*N(Crédits!$D$5)/12</f>
        <v>0</v>
      </c>
      <c r="J295" s="90">
        <f t="shared" si="293"/>
        <v>0</v>
      </c>
      <c r="K295" s="90">
        <f>J295*N(Crédits!$D$6)/12</f>
        <v>0</v>
      </c>
      <c r="L295" s="90">
        <f>MIN(N(Crédits!$E$6),J295+K295)</f>
        <v>0</v>
      </c>
      <c r="M295" s="90">
        <f t="shared" si="278"/>
        <v>0</v>
      </c>
      <c r="N295" s="91">
        <f>IF(Crédits!$K$6="",0,MAX(0,MIN(M295,Plan!$L$297-(IF(Crédits!$K$5="",0,IF(Crédits!$K$5&lt;Crédits!$K$6,E295,0))+IF(Crédits!$K$7="",0,IF(Crédits!$K$7&lt;Crédits!$K$6,U295,0))+IF(Crédits!$K$8="",0,IF(Crédits!$K$8&lt;Crédits!$K$6,AC295,0))+IF(Crédits!$K$9="",0,IF(Crédits!$K$9&lt;Crédits!$K$6,AK295,0))+IF(Crédits!$K$10="",0,IF(Crédits!$K$10&lt;Crédits!$K$6,AS295,0))))))</f>
        <v>0</v>
      </c>
      <c r="O295" s="92">
        <f t="shared" si="279"/>
        <v>0</v>
      </c>
      <c r="P295" s="88">
        <f>ROUND(P294+Q295-MIN(N(Crédits!$E$6),P294+Q295),2)</f>
        <v>0</v>
      </c>
      <c r="Q295" s="89">
        <f>P294*N(Crédits!$D$6)/12</f>
        <v>0</v>
      </c>
      <c r="R295" s="93">
        <f t="shared" si="294"/>
        <v>0</v>
      </c>
      <c r="S295" s="93">
        <f>R295*N(Crédits!$D$7)/12</f>
        <v>0</v>
      </c>
      <c r="T295" s="93">
        <f>MIN(N(Crédits!$E$7),R295+S295)</f>
        <v>0</v>
      </c>
      <c r="U295" s="93">
        <f t="shared" si="280"/>
        <v>0</v>
      </c>
      <c r="V295" s="94">
        <f>IF(Crédits!$K$7="",0,MAX(0,MIN(U295,Plan!$L$297-(IF(Crédits!$K$5="",0,IF(Crédits!$K$5&lt;Crédits!$K$7,E295,0))+IF(Crédits!$K$6="",0,IF(Crédits!$K$6&lt;Crédits!$K$7,M295,0))+IF(Crédits!$K$8="",0,IF(Crédits!$K$8&lt;Crédits!$K$7,AC295,0))+IF(Crédits!$K$9="",0,IF(Crédits!$K$9&lt;Crédits!$K$7,AK295,0))+IF(Crédits!$K$10="",0,IF(Crédits!$K$10&lt;Crédits!$K$7,AS295,0))))))</f>
        <v>0</v>
      </c>
      <c r="W295" s="95">
        <f t="shared" si="281"/>
        <v>0</v>
      </c>
      <c r="X295" s="88">
        <f>ROUND(X294+Y295-MIN(N(Crédits!$E$7),X294+Y295),2)</f>
        <v>0</v>
      </c>
      <c r="Y295" s="89">
        <f>X294*N(Crédits!$D$7)/12</f>
        <v>0</v>
      </c>
      <c r="Z295" s="96">
        <f t="shared" si="295"/>
        <v>0</v>
      </c>
      <c r="AA295" s="96">
        <f>Z295*N(Crédits!$D$8)/12</f>
        <v>0</v>
      </c>
      <c r="AB295" s="96">
        <f>MIN(N(Crédits!$E$8),Z295+AA295)</f>
        <v>0</v>
      </c>
      <c r="AC295" s="96">
        <f t="shared" si="282"/>
        <v>0</v>
      </c>
      <c r="AD295" s="97">
        <f>IF(Crédits!$K$8="",0,MAX(0,MIN(AC295,Plan!$L$297-(IF(Crédits!$K$5="",0,IF(Crédits!$K$5&lt;Crédits!$K$8,E295,0))+IF(Crédits!$K$6="",0,IF(Crédits!$K$6&lt;Crédits!$K$8,M295,0))+IF(Crédits!$K$7="",0,IF(Crédits!$K$7&lt;Crédits!$K$8,U295,0))+IF(Crédits!$K$9="",0,IF(Crédits!$K$9&lt;Crédits!$K$8,AK295,0))+IF(Crédits!$K$10="",0,IF(Crédits!$K$10&lt;Crédits!$K$8,AS295,0))))))</f>
        <v>0</v>
      </c>
      <c r="AE295" s="98">
        <f t="shared" si="283"/>
        <v>0</v>
      </c>
      <c r="AF295" s="88">
        <f>ROUND(AF294+AG295-MIN(N(Crédits!$E$8),AF294+AG295),2)</f>
        <v>0</v>
      </c>
      <c r="AG295" s="89">
        <f>AF294*N(Crédits!$D$8)/12</f>
        <v>0</v>
      </c>
      <c r="AH295" s="99">
        <f t="shared" si="296"/>
        <v>0</v>
      </c>
      <c r="AI295" s="99">
        <f>AH295*N(Crédits!$D$9)/12</f>
        <v>0</v>
      </c>
      <c r="AJ295" s="99">
        <f>MIN(N(Crédits!$E$9),AH295+AI295)</f>
        <v>0</v>
      </c>
      <c r="AK295" s="99">
        <f t="shared" si="284"/>
        <v>0</v>
      </c>
      <c r="AL295" s="100">
        <f>IF(Crédits!$K$9="",0,MAX(0,MIN(AK295,Plan!$L$297-(IF(Crédits!$K$5="",0,IF(Crédits!$K$5&lt;Crédits!$K$9,E295,0))+IF(Crédits!$K$6="",0,IF(Crédits!$K$6&lt;Crédits!$K$9,M295,0))+IF(Crédits!$K$7="",0,IF(Crédits!$K$7&lt;Crédits!$K$9,U295,0))+IF(Crédits!$K$8="",0,IF(Crédits!$K$8&lt;Crédits!$K$9,AC295,0))+IF(Crédits!$K$10="",0,IF(Crédits!$K$10&lt;Crédits!$K$9,AS295,0))))))</f>
        <v>0</v>
      </c>
      <c r="AM295" s="101">
        <f t="shared" si="285"/>
        <v>0</v>
      </c>
      <c r="AN295" s="88">
        <f>ROUND(AN294+AO295-MIN(N(Crédits!$E$9),AN294+AO295),2)</f>
        <v>0</v>
      </c>
      <c r="AO295" s="89">
        <f>AN294*N(Crédits!$D$9)/12</f>
        <v>0</v>
      </c>
      <c r="AP295" s="102">
        <f t="shared" si="297"/>
        <v>0</v>
      </c>
      <c r="AQ295" s="102">
        <f>AP295*N(Crédits!$D$10)/12</f>
        <v>0</v>
      </c>
      <c r="AR295" s="102">
        <f>MIN(N(Crédits!$E$10),AP295+AQ295)</f>
        <v>0</v>
      </c>
      <c r="AS295" s="102">
        <f t="shared" si="286"/>
        <v>0</v>
      </c>
      <c r="AT295" s="103">
        <f>IF(Crédits!$K$10="",0,MAX(0,MIN(AS295,Plan!$L$297-(IF(Crédits!$K$5="",0,IF(Crédits!$K$5&lt;Crédits!$K$10,E295,0))+IF(Crédits!$K$6="",0,IF(Crédits!$K$6&lt;Crédits!$K$10,M295,0))+IF(Crédits!$K$7="",0,IF(Crédits!$K$7&lt;Crédits!$K$10,U295,0))+IF(Crédits!$K$8="",0,IF(Crédits!$K$8&lt;Crédits!$K$10,AC295,0))+IF(Crédits!$K$9="",0,IF(Crédits!$K$9&lt;Crédits!$K$10,AK295,0))))))</f>
        <v>0</v>
      </c>
      <c r="AU295" s="104">
        <f t="shared" si="287"/>
        <v>0</v>
      </c>
      <c r="AV295" s="88">
        <f>ROUND(AV294+AW295-MIN(N(Crédits!$E$10),AV294+AW295),2)</f>
        <v>0</v>
      </c>
      <c r="AW295" s="89">
        <f>AV294*N(Crédits!$D$10)/12</f>
        <v>0</v>
      </c>
      <c r="AX295" s="105">
        <f t="shared" si="288"/>
        <v>0</v>
      </c>
      <c r="AY295" s="105">
        <f t="shared" ref="AY295:AZ295" si="334">F295+N295+V295+AD295+AL295+AT295</f>
        <v>0</v>
      </c>
      <c r="AZ295" s="105">
        <f t="shared" si="334"/>
        <v>0</v>
      </c>
      <c r="BA295" s="105">
        <f t="shared" si="290"/>
        <v>0</v>
      </c>
      <c r="BB295" s="105">
        <f t="shared" si="291"/>
        <v>0</v>
      </c>
    </row>
    <row r="296" spans="1:54" ht="15" customHeight="1" x14ac:dyDescent="0.25">
      <c r="A296" s="2">
        <v>294</v>
      </c>
      <c r="B296" s="83">
        <f t="shared" si="292"/>
        <v>0</v>
      </c>
      <c r="C296" s="83">
        <f>B296*N(Crédits!$D$5)/12</f>
        <v>0</v>
      </c>
      <c r="D296" s="83">
        <f>MIN(N(Crédits!$E$5),B296+C296)</f>
        <v>0</v>
      </c>
      <c r="E296" s="83">
        <f t="shared" si="276"/>
        <v>0</v>
      </c>
      <c r="F296" s="86">
        <f>IF(Crédits!$K$5="",0,MAX(0,MIN(E296,Plan!$L$298-(IF(Crédits!$K$6="",0,IF(Crédits!$K$6&lt;Crédits!$K$5,M296,0))+IF(Crédits!$K$7="",0,IF(Crédits!$K$7&lt;Crédits!$K$5,U296,0))+IF(Crédits!$K$8="",0,IF(Crédits!$K$8&lt;Crédits!$K$5,AC296,0))+IF(Crédits!$K$9="",0,IF(Crédits!$K$9&lt;Crédits!$K$5,AK296,0))+IF(Crédits!$K$10="",0,IF(Crédits!$K$10&lt;Crédits!$K$5,AS296,0))))))</f>
        <v>0</v>
      </c>
      <c r="G296" s="87">
        <f t="shared" si="277"/>
        <v>0</v>
      </c>
      <c r="H296" s="88">
        <f>ROUND(H295+I296-MIN(N(Crédits!$E$5),H295+I296),2)</f>
        <v>0</v>
      </c>
      <c r="I296" s="89">
        <f>H295*N(Crédits!$D$5)/12</f>
        <v>0</v>
      </c>
      <c r="J296" s="90">
        <f t="shared" si="293"/>
        <v>0</v>
      </c>
      <c r="K296" s="90">
        <f>J296*N(Crédits!$D$6)/12</f>
        <v>0</v>
      </c>
      <c r="L296" s="90">
        <f>MIN(N(Crédits!$E$6),J296+K296)</f>
        <v>0</v>
      </c>
      <c r="M296" s="90">
        <f t="shared" si="278"/>
        <v>0</v>
      </c>
      <c r="N296" s="91">
        <f>IF(Crédits!$K$6="",0,MAX(0,MIN(M296,Plan!$L$298-(IF(Crédits!$K$5="",0,IF(Crédits!$K$5&lt;Crédits!$K$6,E296,0))+IF(Crédits!$K$7="",0,IF(Crédits!$K$7&lt;Crédits!$K$6,U296,0))+IF(Crédits!$K$8="",0,IF(Crédits!$K$8&lt;Crédits!$K$6,AC296,0))+IF(Crédits!$K$9="",0,IF(Crédits!$K$9&lt;Crédits!$K$6,AK296,0))+IF(Crédits!$K$10="",0,IF(Crédits!$K$10&lt;Crédits!$K$6,AS296,0))))))</f>
        <v>0</v>
      </c>
      <c r="O296" s="92">
        <f t="shared" si="279"/>
        <v>0</v>
      </c>
      <c r="P296" s="88">
        <f>ROUND(P295+Q296-MIN(N(Crédits!$E$6),P295+Q296),2)</f>
        <v>0</v>
      </c>
      <c r="Q296" s="89">
        <f>P295*N(Crédits!$D$6)/12</f>
        <v>0</v>
      </c>
      <c r="R296" s="93">
        <f t="shared" si="294"/>
        <v>0</v>
      </c>
      <c r="S296" s="93">
        <f>R296*N(Crédits!$D$7)/12</f>
        <v>0</v>
      </c>
      <c r="T296" s="93">
        <f>MIN(N(Crédits!$E$7),R296+S296)</f>
        <v>0</v>
      </c>
      <c r="U296" s="93">
        <f t="shared" si="280"/>
        <v>0</v>
      </c>
      <c r="V296" s="94">
        <f>IF(Crédits!$K$7="",0,MAX(0,MIN(U296,Plan!$L$298-(IF(Crédits!$K$5="",0,IF(Crédits!$K$5&lt;Crédits!$K$7,E296,0))+IF(Crédits!$K$6="",0,IF(Crédits!$K$6&lt;Crédits!$K$7,M296,0))+IF(Crédits!$K$8="",0,IF(Crédits!$K$8&lt;Crédits!$K$7,AC296,0))+IF(Crédits!$K$9="",0,IF(Crédits!$K$9&lt;Crédits!$K$7,AK296,0))+IF(Crédits!$K$10="",0,IF(Crédits!$K$10&lt;Crédits!$K$7,AS296,0))))))</f>
        <v>0</v>
      </c>
      <c r="W296" s="95">
        <f t="shared" si="281"/>
        <v>0</v>
      </c>
      <c r="X296" s="88">
        <f>ROUND(X295+Y296-MIN(N(Crédits!$E$7),X295+Y296),2)</f>
        <v>0</v>
      </c>
      <c r="Y296" s="89">
        <f>X295*N(Crédits!$D$7)/12</f>
        <v>0</v>
      </c>
      <c r="Z296" s="96">
        <f t="shared" si="295"/>
        <v>0</v>
      </c>
      <c r="AA296" s="96">
        <f>Z296*N(Crédits!$D$8)/12</f>
        <v>0</v>
      </c>
      <c r="AB296" s="96">
        <f>MIN(N(Crédits!$E$8),Z296+AA296)</f>
        <v>0</v>
      </c>
      <c r="AC296" s="96">
        <f t="shared" si="282"/>
        <v>0</v>
      </c>
      <c r="AD296" s="97">
        <f>IF(Crédits!$K$8="",0,MAX(0,MIN(AC296,Plan!$L$298-(IF(Crédits!$K$5="",0,IF(Crédits!$K$5&lt;Crédits!$K$8,E296,0))+IF(Crédits!$K$6="",0,IF(Crédits!$K$6&lt;Crédits!$K$8,M296,0))+IF(Crédits!$K$7="",0,IF(Crédits!$K$7&lt;Crédits!$K$8,U296,0))+IF(Crédits!$K$9="",0,IF(Crédits!$K$9&lt;Crédits!$K$8,AK296,0))+IF(Crédits!$K$10="",0,IF(Crédits!$K$10&lt;Crédits!$K$8,AS296,0))))))</f>
        <v>0</v>
      </c>
      <c r="AE296" s="98">
        <f t="shared" si="283"/>
        <v>0</v>
      </c>
      <c r="AF296" s="88">
        <f>ROUND(AF295+AG296-MIN(N(Crédits!$E$8),AF295+AG296),2)</f>
        <v>0</v>
      </c>
      <c r="AG296" s="89">
        <f>AF295*N(Crédits!$D$8)/12</f>
        <v>0</v>
      </c>
      <c r="AH296" s="99">
        <f t="shared" si="296"/>
        <v>0</v>
      </c>
      <c r="AI296" s="99">
        <f>AH296*N(Crédits!$D$9)/12</f>
        <v>0</v>
      </c>
      <c r="AJ296" s="99">
        <f>MIN(N(Crédits!$E$9),AH296+AI296)</f>
        <v>0</v>
      </c>
      <c r="AK296" s="99">
        <f t="shared" si="284"/>
        <v>0</v>
      </c>
      <c r="AL296" s="100">
        <f>IF(Crédits!$K$9="",0,MAX(0,MIN(AK296,Plan!$L$298-(IF(Crédits!$K$5="",0,IF(Crédits!$K$5&lt;Crédits!$K$9,E296,0))+IF(Crédits!$K$6="",0,IF(Crédits!$K$6&lt;Crédits!$K$9,M296,0))+IF(Crédits!$K$7="",0,IF(Crédits!$K$7&lt;Crédits!$K$9,U296,0))+IF(Crédits!$K$8="",0,IF(Crédits!$K$8&lt;Crédits!$K$9,AC296,0))+IF(Crédits!$K$10="",0,IF(Crédits!$K$10&lt;Crédits!$K$9,AS296,0))))))</f>
        <v>0</v>
      </c>
      <c r="AM296" s="101">
        <f t="shared" si="285"/>
        <v>0</v>
      </c>
      <c r="AN296" s="88">
        <f>ROUND(AN295+AO296-MIN(N(Crédits!$E$9),AN295+AO296),2)</f>
        <v>0</v>
      </c>
      <c r="AO296" s="89">
        <f>AN295*N(Crédits!$D$9)/12</f>
        <v>0</v>
      </c>
      <c r="AP296" s="102">
        <f t="shared" si="297"/>
        <v>0</v>
      </c>
      <c r="AQ296" s="102">
        <f>AP296*N(Crédits!$D$10)/12</f>
        <v>0</v>
      </c>
      <c r="AR296" s="102">
        <f>MIN(N(Crédits!$E$10),AP296+AQ296)</f>
        <v>0</v>
      </c>
      <c r="AS296" s="102">
        <f t="shared" si="286"/>
        <v>0</v>
      </c>
      <c r="AT296" s="103">
        <f>IF(Crédits!$K$10="",0,MAX(0,MIN(AS296,Plan!$L$298-(IF(Crédits!$K$5="",0,IF(Crédits!$K$5&lt;Crédits!$K$10,E296,0))+IF(Crédits!$K$6="",0,IF(Crédits!$K$6&lt;Crédits!$K$10,M296,0))+IF(Crédits!$K$7="",0,IF(Crédits!$K$7&lt;Crédits!$K$10,U296,0))+IF(Crédits!$K$8="",0,IF(Crédits!$K$8&lt;Crédits!$K$10,AC296,0))+IF(Crédits!$K$9="",0,IF(Crédits!$K$9&lt;Crédits!$K$10,AK296,0))))))</f>
        <v>0</v>
      </c>
      <c r="AU296" s="104">
        <f t="shared" si="287"/>
        <v>0</v>
      </c>
      <c r="AV296" s="88">
        <f>ROUND(AV295+AW296-MIN(N(Crédits!$E$10),AV295+AW296),2)</f>
        <v>0</v>
      </c>
      <c r="AW296" s="89">
        <f>AV295*N(Crédits!$D$10)/12</f>
        <v>0</v>
      </c>
      <c r="AX296" s="105">
        <f t="shared" si="288"/>
        <v>0</v>
      </c>
      <c r="AY296" s="105">
        <f t="shared" ref="AY296:AZ296" si="335">F296+N296+V296+AD296+AL296+AT296</f>
        <v>0</v>
      </c>
      <c r="AZ296" s="105">
        <f t="shared" si="335"/>
        <v>0</v>
      </c>
      <c r="BA296" s="105">
        <f t="shared" si="290"/>
        <v>0</v>
      </c>
      <c r="BB296" s="105">
        <f t="shared" si="291"/>
        <v>0</v>
      </c>
    </row>
    <row r="297" spans="1:54" ht="15" customHeight="1" x14ac:dyDescent="0.25">
      <c r="A297" s="2">
        <v>295</v>
      </c>
      <c r="B297" s="83">
        <f t="shared" si="292"/>
        <v>0</v>
      </c>
      <c r="C297" s="83">
        <f>B297*N(Crédits!$D$5)/12</f>
        <v>0</v>
      </c>
      <c r="D297" s="83">
        <f>MIN(N(Crédits!$E$5),B297+C297)</f>
        <v>0</v>
      </c>
      <c r="E297" s="83">
        <f t="shared" si="276"/>
        <v>0</v>
      </c>
      <c r="F297" s="86">
        <f>IF(Crédits!$K$5="",0,MAX(0,MIN(E297,Plan!$L$299-(IF(Crédits!$K$6="",0,IF(Crédits!$K$6&lt;Crédits!$K$5,M297,0))+IF(Crédits!$K$7="",0,IF(Crédits!$K$7&lt;Crédits!$K$5,U297,0))+IF(Crédits!$K$8="",0,IF(Crédits!$K$8&lt;Crédits!$K$5,AC297,0))+IF(Crédits!$K$9="",0,IF(Crédits!$K$9&lt;Crédits!$K$5,AK297,0))+IF(Crédits!$K$10="",0,IF(Crédits!$K$10&lt;Crédits!$K$5,AS297,0))))))</f>
        <v>0</v>
      </c>
      <c r="G297" s="87">
        <f t="shared" si="277"/>
        <v>0</v>
      </c>
      <c r="H297" s="88">
        <f>ROUND(H296+I297-MIN(N(Crédits!$E$5),H296+I297),2)</f>
        <v>0</v>
      </c>
      <c r="I297" s="89">
        <f>H296*N(Crédits!$D$5)/12</f>
        <v>0</v>
      </c>
      <c r="J297" s="90">
        <f t="shared" si="293"/>
        <v>0</v>
      </c>
      <c r="K297" s="90">
        <f>J297*N(Crédits!$D$6)/12</f>
        <v>0</v>
      </c>
      <c r="L297" s="90">
        <f>MIN(N(Crédits!$E$6),J297+K297)</f>
        <v>0</v>
      </c>
      <c r="M297" s="90">
        <f t="shared" si="278"/>
        <v>0</v>
      </c>
      <c r="N297" s="91">
        <f>IF(Crédits!$K$6="",0,MAX(0,MIN(M297,Plan!$L$299-(IF(Crédits!$K$5="",0,IF(Crédits!$K$5&lt;Crédits!$K$6,E297,0))+IF(Crédits!$K$7="",0,IF(Crédits!$K$7&lt;Crédits!$K$6,U297,0))+IF(Crédits!$K$8="",0,IF(Crédits!$K$8&lt;Crédits!$K$6,AC297,0))+IF(Crédits!$K$9="",0,IF(Crédits!$K$9&lt;Crédits!$K$6,AK297,0))+IF(Crédits!$K$10="",0,IF(Crédits!$K$10&lt;Crédits!$K$6,AS297,0))))))</f>
        <v>0</v>
      </c>
      <c r="O297" s="92">
        <f t="shared" si="279"/>
        <v>0</v>
      </c>
      <c r="P297" s="88">
        <f>ROUND(P296+Q297-MIN(N(Crédits!$E$6),P296+Q297),2)</f>
        <v>0</v>
      </c>
      <c r="Q297" s="89">
        <f>P296*N(Crédits!$D$6)/12</f>
        <v>0</v>
      </c>
      <c r="R297" s="93">
        <f t="shared" si="294"/>
        <v>0</v>
      </c>
      <c r="S297" s="93">
        <f>R297*N(Crédits!$D$7)/12</f>
        <v>0</v>
      </c>
      <c r="T297" s="93">
        <f>MIN(N(Crédits!$E$7),R297+S297)</f>
        <v>0</v>
      </c>
      <c r="U297" s="93">
        <f t="shared" si="280"/>
        <v>0</v>
      </c>
      <c r="V297" s="94">
        <f>IF(Crédits!$K$7="",0,MAX(0,MIN(U297,Plan!$L$299-(IF(Crédits!$K$5="",0,IF(Crédits!$K$5&lt;Crédits!$K$7,E297,0))+IF(Crédits!$K$6="",0,IF(Crédits!$K$6&lt;Crédits!$K$7,M297,0))+IF(Crédits!$K$8="",0,IF(Crédits!$K$8&lt;Crédits!$K$7,AC297,0))+IF(Crédits!$K$9="",0,IF(Crédits!$K$9&lt;Crédits!$K$7,AK297,0))+IF(Crédits!$K$10="",0,IF(Crédits!$K$10&lt;Crédits!$K$7,AS297,0))))))</f>
        <v>0</v>
      </c>
      <c r="W297" s="95">
        <f t="shared" si="281"/>
        <v>0</v>
      </c>
      <c r="X297" s="88">
        <f>ROUND(X296+Y297-MIN(N(Crédits!$E$7),X296+Y297),2)</f>
        <v>0</v>
      </c>
      <c r="Y297" s="89">
        <f>X296*N(Crédits!$D$7)/12</f>
        <v>0</v>
      </c>
      <c r="Z297" s="96">
        <f t="shared" si="295"/>
        <v>0</v>
      </c>
      <c r="AA297" s="96">
        <f>Z297*N(Crédits!$D$8)/12</f>
        <v>0</v>
      </c>
      <c r="AB297" s="96">
        <f>MIN(N(Crédits!$E$8),Z297+AA297)</f>
        <v>0</v>
      </c>
      <c r="AC297" s="96">
        <f t="shared" si="282"/>
        <v>0</v>
      </c>
      <c r="AD297" s="97">
        <f>IF(Crédits!$K$8="",0,MAX(0,MIN(AC297,Plan!$L$299-(IF(Crédits!$K$5="",0,IF(Crédits!$K$5&lt;Crédits!$K$8,E297,0))+IF(Crédits!$K$6="",0,IF(Crédits!$K$6&lt;Crédits!$K$8,M297,0))+IF(Crédits!$K$7="",0,IF(Crédits!$K$7&lt;Crédits!$K$8,U297,0))+IF(Crédits!$K$9="",0,IF(Crédits!$K$9&lt;Crédits!$K$8,AK297,0))+IF(Crédits!$K$10="",0,IF(Crédits!$K$10&lt;Crédits!$K$8,AS297,0))))))</f>
        <v>0</v>
      </c>
      <c r="AE297" s="98">
        <f t="shared" si="283"/>
        <v>0</v>
      </c>
      <c r="AF297" s="88">
        <f>ROUND(AF296+AG297-MIN(N(Crédits!$E$8),AF296+AG297),2)</f>
        <v>0</v>
      </c>
      <c r="AG297" s="89">
        <f>AF296*N(Crédits!$D$8)/12</f>
        <v>0</v>
      </c>
      <c r="AH297" s="99">
        <f t="shared" si="296"/>
        <v>0</v>
      </c>
      <c r="AI297" s="99">
        <f>AH297*N(Crédits!$D$9)/12</f>
        <v>0</v>
      </c>
      <c r="AJ297" s="99">
        <f>MIN(N(Crédits!$E$9),AH297+AI297)</f>
        <v>0</v>
      </c>
      <c r="AK297" s="99">
        <f t="shared" si="284"/>
        <v>0</v>
      </c>
      <c r="AL297" s="100">
        <f>IF(Crédits!$K$9="",0,MAX(0,MIN(AK297,Plan!$L$299-(IF(Crédits!$K$5="",0,IF(Crédits!$K$5&lt;Crédits!$K$9,E297,0))+IF(Crédits!$K$6="",0,IF(Crédits!$K$6&lt;Crédits!$K$9,M297,0))+IF(Crédits!$K$7="",0,IF(Crédits!$K$7&lt;Crédits!$K$9,U297,0))+IF(Crédits!$K$8="",0,IF(Crédits!$K$8&lt;Crédits!$K$9,AC297,0))+IF(Crédits!$K$10="",0,IF(Crédits!$K$10&lt;Crédits!$K$9,AS297,0))))))</f>
        <v>0</v>
      </c>
      <c r="AM297" s="101">
        <f t="shared" si="285"/>
        <v>0</v>
      </c>
      <c r="AN297" s="88">
        <f>ROUND(AN296+AO297-MIN(N(Crédits!$E$9),AN296+AO297),2)</f>
        <v>0</v>
      </c>
      <c r="AO297" s="89">
        <f>AN296*N(Crédits!$D$9)/12</f>
        <v>0</v>
      </c>
      <c r="AP297" s="102">
        <f t="shared" si="297"/>
        <v>0</v>
      </c>
      <c r="AQ297" s="102">
        <f>AP297*N(Crédits!$D$10)/12</f>
        <v>0</v>
      </c>
      <c r="AR297" s="102">
        <f>MIN(N(Crédits!$E$10),AP297+AQ297)</f>
        <v>0</v>
      </c>
      <c r="AS297" s="102">
        <f t="shared" si="286"/>
        <v>0</v>
      </c>
      <c r="AT297" s="103">
        <f>IF(Crédits!$K$10="",0,MAX(0,MIN(AS297,Plan!$L$299-(IF(Crédits!$K$5="",0,IF(Crédits!$K$5&lt;Crédits!$K$10,E297,0))+IF(Crédits!$K$6="",0,IF(Crédits!$K$6&lt;Crédits!$K$10,M297,0))+IF(Crédits!$K$7="",0,IF(Crédits!$K$7&lt;Crédits!$K$10,U297,0))+IF(Crédits!$K$8="",0,IF(Crédits!$K$8&lt;Crédits!$K$10,AC297,0))+IF(Crédits!$K$9="",0,IF(Crédits!$K$9&lt;Crédits!$K$10,AK297,0))))))</f>
        <v>0</v>
      </c>
      <c r="AU297" s="104">
        <f t="shared" si="287"/>
        <v>0</v>
      </c>
      <c r="AV297" s="88">
        <f>ROUND(AV296+AW297-MIN(N(Crédits!$E$10),AV296+AW297),2)</f>
        <v>0</v>
      </c>
      <c r="AW297" s="89">
        <f>AV296*N(Crédits!$D$10)/12</f>
        <v>0</v>
      </c>
      <c r="AX297" s="105">
        <f t="shared" si="288"/>
        <v>0</v>
      </c>
      <c r="AY297" s="105">
        <f t="shared" ref="AY297:AZ297" si="336">F297+N297+V297+AD297+AL297+AT297</f>
        <v>0</v>
      </c>
      <c r="AZ297" s="105">
        <f t="shared" si="336"/>
        <v>0</v>
      </c>
      <c r="BA297" s="105">
        <f t="shared" si="290"/>
        <v>0</v>
      </c>
      <c r="BB297" s="105">
        <f t="shared" si="291"/>
        <v>0</v>
      </c>
    </row>
    <row r="298" spans="1:54" ht="15" customHeight="1" x14ac:dyDescent="0.25">
      <c r="A298" s="2">
        <v>296</v>
      </c>
      <c r="B298" s="83">
        <f t="shared" si="292"/>
        <v>0</v>
      </c>
      <c r="C298" s="83">
        <f>B298*N(Crédits!$D$5)/12</f>
        <v>0</v>
      </c>
      <c r="D298" s="83">
        <f>MIN(N(Crédits!$E$5),B298+C298)</f>
        <v>0</v>
      </c>
      <c r="E298" s="83">
        <f t="shared" si="276"/>
        <v>0</v>
      </c>
      <c r="F298" s="86">
        <f>IF(Crédits!$K$5="",0,MAX(0,MIN(E298,Plan!$L$300-(IF(Crédits!$K$6="",0,IF(Crédits!$K$6&lt;Crédits!$K$5,M298,0))+IF(Crédits!$K$7="",0,IF(Crédits!$K$7&lt;Crédits!$K$5,U298,0))+IF(Crédits!$K$8="",0,IF(Crédits!$K$8&lt;Crédits!$K$5,AC298,0))+IF(Crédits!$K$9="",0,IF(Crédits!$K$9&lt;Crédits!$K$5,AK298,0))+IF(Crédits!$K$10="",0,IF(Crédits!$K$10&lt;Crédits!$K$5,AS298,0))))))</f>
        <v>0</v>
      </c>
      <c r="G298" s="87">
        <f t="shared" si="277"/>
        <v>0</v>
      </c>
      <c r="H298" s="88">
        <f>ROUND(H297+I298-MIN(N(Crédits!$E$5),H297+I298),2)</f>
        <v>0</v>
      </c>
      <c r="I298" s="89">
        <f>H297*N(Crédits!$D$5)/12</f>
        <v>0</v>
      </c>
      <c r="J298" s="90">
        <f t="shared" si="293"/>
        <v>0</v>
      </c>
      <c r="K298" s="90">
        <f>J298*N(Crédits!$D$6)/12</f>
        <v>0</v>
      </c>
      <c r="L298" s="90">
        <f>MIN(N(Crédits!$E$6),J298+K298)</f>
        <v>0</v>
      </c>
      <c r="M298" s="90">
        <f t="shared" si="278"/>
        <v>0</v>
      </c>
      <c r="N298" s="91">
        <f>IF(Crédits!$K$6="",0,MAX(0,MIN(M298,Plan!$L$300-(IF(Crédits!$K$5="",0,IF(Crédits!$K$5&lt;Crédits!$K$6,E298,0))+IF(Crédits!$K$7="",0,IF(Crédits!$K$7&lt;Crédits!$K$6,U298,0))+IF(Crédits!$K$8="",0,IF(Crédits!$K$8&lt;Crédits!$K$6,AC298,0))+IF(Crédits!$K$9="",0,IF(Crédits!$K$9&lt;Crédits!$K$6,AK298,0))+IF(Crédits!$K$10="",0,IF(Crédits!$K$10&lt;Crédits!$K$6,AS298,0))))))</f>
        <v>0</v>
      </c>
      <c r="O298" s="92">
        <f t="shared" si="279"/>
        <v>0</v>
      </c>
      <c r="P298" s="88">
        <f>ROUND(P297+Q298-MIN(N(Crédits!$E$6),P297+Q298),2)</f>
        <v>0</v>
      </c>
      <c r="Q298" s="89">
        <f>P297*N(Crédits!$D$6)/12</f>
        <v>0</v>
      </c>
      <c r="R298" s="93">
        <f t="shared" si="294"/>
        <v>0</v>
      </c>
      <c r="S298" s="93">
        <f>R298*N(Crédits!$D$7)/12</f>
        <v>0</v>
      </c>
      <c r="T298" s="93">
        <f>MIN(N(Crédits!$E$7),R298+S298)</f>
        <v>0</v>
      </c>
      <c r="U298" s="93">
        <f t="shared" si="280"/>
        <v>0</v>
      </c>
      <c r="V298" s="94">
        <f>IF(Crédits!$K$7="",0,MAX(0,MIN(U298,Plan!$L$300-(IF(Crédits!$K$5="",0,IF(Crédits!$K$5&lt;Crédits!$K$7,E298,0))+IF(Crédits!$K$6="",0,IF(Crédits!$K$6&lt;Crédits!$K$7,M298,0))+IF(Crédits!$K$8="",0,IF(Crédits!$K$8&lt;Crédits!$K$7,AC298,0))+IF(Crédits!$K$9="",0,IF(Crédits!$K$9&lt;Crédits!$K$7,AK298,0))+IF(Crédits!$K$10="",0,IF(Crédits!$K$10&lt;Crédits!$K$7,AS298,0))))))</f>
        <v>0</v>
      </c>
      <c r="W298" s="95">
        <f t="shared" si="281"/>
        <v>0</v>
      </c>
      <c r="X298" s="88">
        <f>ROUND(X297+Y298-MIN(N(Crédits!$E$7),X297+Y298),2)</f>
        <v>0</v>
      </c>
      <c r="Y298" s="89">
        <f>X297*N(Crédits!$D$7)/12</f>
        <v>0</v>
      </c>
      <c r="Z298" s="96">
        <f t="shared" si="295"/>
        <v>0</v>
      </c>
      <c r="AA298" s="96">
        <f>Z298*N(Crédits!$D$8)/12</f>
        <v>0</v>
      </c>
      <c r="AB298" s="96">
        <f>MIN(N(Crédits!$E$8),Z298+AA298)</f>
        <v>0</v>
      </c>
      <c r="AC298" s="96">
        <f t="shared" si="282"/>
        <v>0</v>
      </c>
      <c r="AD298" s="97">
        <f>IF(Crédits!$K$8="",0,MAX(0,MIN(AC298,Plan!$L$300-(IF(Crédits!$K$5="",0,IF(Crédits!$K$5&lt;Crédits!$K$8,E298,0))+IF(Crédits!$K$6="",0,IF(Crédits!$K$6&lt;Crédits!$K$8,M298,0))+IF(Crédits!$K$7="",0,IF(Crédits!$K$7&lt;Crédits!$K$8,U298,0))+IF(Crédits!$K$9="",0,IF(Crédits!$K$9&lt;Crédits!$K$8,AK298,0))+IF(Crédits!$K$10="",0,IF(Crédits!$K$10&lt;Crédits!$K$8,AS298,0))))))</f>
        <v>0</v>
      </c>
      <c r="AE298" s="98">
        <f t="shared" si="283"/>
        <v>0</v>
      </c>
      <c r="AF298" s="88">
        <f>ROUND(AF297+AG298-MIN(N(Crédits!$E$8),AF297+AG298),2)</f>
        <v>0</v>
      </c>
      <c r="AG298" s="89">
        <f>AF297*N(Crédits!$D$8)/12</f>
        <v>0</v>
      </c>
      <c r="AH298" s="99">
        <f t="shared" si="296"/>
        <v>0</v>
      </c>
      <c r="AI298" s="99">
        <f>AH298*N(Crédits!$D$9)/12</f>
        <v>0</v>
      </c>
      <c r="AJ298" s="99">
        <f>MIN(N(Crédits!$E$9),AH298+AI298)</f>
        <v>0</v>
      </c>
      <c r="AK298" s="99">
        <f t="shared" si="284"/>
        <v>0</v>
      </c>
      <c r="AL298" s="100">
        <f>IF(Crédits!$K$9="",0,MAX(0,MIN(AK298,Plan!$L$300-(IF(Crédits!$K$5="",0,IF(Crédits!$K$5&lt;Crédits!$K$9,E298,0))+IF(Crédits!$K$6="",0,IF(Crédits!$K$6&lt;Crédits!$K$9,M298,0))+IF(Crédits!$K$7="",0,IF(Crédits!$K$7&lt;Crédits!$K$9,U298,0))+IF(Crédits!$K$8="",0,IF(Crédits!$K$8&lt;Crédits!$K$9,AC298,0))+IF(Crédits!$K$10="",0,IF(Crédits!$K$10&lt;Crédits!$K$9,AS298,0))))))</f>
        <v>0</v>
      </c>
      <c r="AM298" s="101">
        <f t="shared" si="285"/>
        <v>0</v>
      </c>
      <c r="AN298" s="88">
        <f>ROUND(AN297+AO298-MIN(N(Crédits!$E$9),AN297+AO298),2)</f>
        <v>0</v>
      </c>
      <c r="AO298" s="89">
        <f>AN297*N(Crédits!$D$9)/12</f>
        <v>0</v>
      </c>
      <c r="AP298" s="102">
        <f t="shared" si="297"/>
        <v>0</v>
      </c>
      <c r="AQ298" s="102">
        <f>AP298*N(Crédits!$D$10)/12</f>
        <v>0</v>
      </c>
      <c r="AR298" s="102">
        <f>MIN(N(Crédits!$E$10),AP298+AQ298)</f>
        <v>0</v>
      </c>
      <c r="AS298" s="102">
        <f t="shared" si="286"/>
        <v>0</v>
      </c>
      <c r="AT298" s="103">
        <f>IF(Crédits!$K$10="",0,MAX(0,MIN(AS298,Plan!$L$300-(IF(Crédits!$K$5="",0,IF(Crédits!$K$5&lt;Crédits!$K$10,E298,0))+IF(Crédits!$K$6="",0,IF(Crédits!$K$6&lt;Crédits!$K$10,M298,0))+IF(Crédits!$K$7="",0,IF(Crédits!$K$7&lt;Crédits!$K$10,U298,0))+IF(Crédits!$K$8="",0,IF(Crédits!$K$8&lt;Crédits!$K$10,AC298,0))+IF(Crédits!$K$9="",0,IF(Crédits!$K$9&lt;Crédits!$K$10,AK298,0))))))</f>
        <v>0</v>
      </c>
      <c r="AU298" s="104">
        <f t="shared" si="287"/>
        <v>0</v>
      </c>
      <c r="AV298" s="88">
        <f>ROUND(AV297+AW298-MIN(N(Crédits!$E$10),AV297+AW298),2)</f>
        <v>0</v>
      </c>
      <c r="AW298" s="89">
        <f>AV297*N(Crédits!$D$10)/12</f>
        <v>0</v>
      </c>
      <c r="AX298" s="105">
        <f t="shared" si="288"/>
        <v>0</v>
      </c>
      <c r="AY298" s="105">
        <f t="shared" ref="AY298:AZ298" si="337">F298+N298+V298+AD298+AL298+AT298</f>
        <v>0</v>
      </c>
      <c r="AZ298" s="105">
        <f t="shared" si="337"/>
        <v>0</v>
      </c>
      <c r="BA298" s="105">
        <f t="shared" si="290"/>
        <v>0</v>
      </c>
      <c r="BB298" s="105">
        <f t="shared" si="291"/>
        <v>0</v>
      </c>
    </row>
    <row r="299" spans="1:54" ht="15" customHeight="1" x14ac:dyDescent="0.25">
      <c r="A299" s="2">
        <v>297</v>
      </c>
      <c r="B299" s="83">
        <f t="shared" si="292"/>
        <v>0</v>
      </c>
      <c r="C299" s="83">
        <f>B299*N(Crédits!$D$5)/12</f>
        <v>0</v>
      </c>
      <c r="D299" s="83">
        <f>MIN(N(Crédits!$E$5),B299+C299)</f>
        <v>0</v>
      </c>
      <c r="E299" s="83">
        <f t="shared" si="276"/>
        <v>0</v>
      </c>
      <c r="F299" s="86">
        <f>IF(Crédits!$K$5="",0,MAX(0,MIN(E299,Plan!$L$301-(IF(Crédits!$K$6="",0,IF(Crédits!$K$6&lt;Crédits!$K$5,M299,0))+IF(Crédits!$K$7="",0,IF(Crédits!$K$7&lt;Crédits!$K$5,U299,0))+IF(Crédits!$K$8="",0,IF(Crédits!$K$8&lt;Crédits!$K$5,AC299,0))+IF(Crédits!$K$9="",0,IF(Crédits!$K$9&lt;Crédits!$K$5,AK299,0))+IF(Crédits!$K$10="",0,IF(Crédits!$K$10&lt;Crédits!$K$5,AS299,0))))))</f>
        <v>0</v>
      </c>
      <c r="G299" s="87">
        <f t="shared" si="277"/>
        <v>0</v>
      </c>
      <c r="H299" s="88">
        <f>ROUND(H298+I299-MIN(N(Crédits!$E$5),H298+I299),2)</f>
        <v>0</v>
      </c>
      <c r="I299" s="89">
        <f>H298*N(Crédits!$D$5)/12</f>
        <v>0</v>
      </c>
      <c r="J299" s="90">
        <f t="shared" si="293"/>
        <v>0</v>
      </c>
      <c r="K299" s="90">
        <f>J299*N(Crédits!$D$6)/12</f>
        <v>0</v>
      </c>
      <c r="L299" s="90">
        <f>MIN(N(Crédits!$E$6),J299+K299)</f>
        <v>0</v>
      </c>
      <c r="M299" s="90">
        <f t="shared" si="278"/>
        <v>0</v>
      </c>
      <c r="N299" s="91">
        <f>IF(Crédits!$K$6="",0,MAX(0,MIN(M299,Plan!$L$301-(IF(Crédits!$K$5="",0,IF(Crédits!$K$5&lt;Crédits!$K$6,E299,0))+IF(Crédits!$K$7="",0,IF(Crédits!$K$7&lt;Crédits!$K$6,U299,0))+IF(Crédits!$K$8="",0,IF(Crédits!$K$8&lt;Crédits!$K$6,AC299,0))+IF(Crédits!$K$9="",0,IF(Crédits!$K$9&lt;Crédits!$K$6,AK299,0))+IF(Crédits!$K$10="",0,IF(Crédits!$K$10&lt;Crédits!$K$6,AS299,0))))))</f>
        <v>0</v>
      </c>
      <c r="O299" s="92">
        <f t="shared" si="279"/>
        <v>0</v>
      </c>
      <c r="P299" s="88">
        <f>ROUND(P298+Q299-MIN(N(Crédits!$E$6),P298+Q299),2)</f>
        <v>0</v>
      </c>
      <c r="Q299" s="89">
        <f>P298*N(Crédits!$D$6)/12</f>
        <v>0</v>
      </c>
      <c r="R299" s="93">
        <f t="shared" si="294"/>
        <v>0</v>
      </c>
      <c r="S299" s="93">
        <f>R299*N(Crédits!$D$7)/12</f>
        <v>0</v>
      </c>
      <c r="T299" s="93">
        <f>MIN(N(Crédits!$E$7),R299+S299)</f>
        <v>0</v>
      </c>
      <c r="U299" s="93">
        <f t="shared" si="280"/>
        <v>0</v>
      </c>
      <c r="V299" s="94">
        <f>IF(Crédits!$K$7="",0,MAX(0,MIN(U299,Plan!$L$301-(IF(Crédits!$K$5="",0,IF(Crédits!$K$5&lt;Crédits!$K$7,E299,0))+IF(Crédits!$K$6="",0,IF(Crédits!$K$6&lt;Crédits!$K$7,M299,0))+IF(Crédits!$K$8="",0,IF(Crédits!$K$8&lt;Crédits!$K$7,AC299,0))+IF(Crédits!$K$9="",0,IF(Crédits!$K$9&lt;Crédits!$K$7,AK299,0))+IF(Crédits!$K$10="",0,IF(Crédits!$K$10&lt;Crédits!$K$7,AS299,0))))))</f>
        <v>0</v>
      </c>
      <c r="W299" s="95">
        <f t="shared" si="281"/>
        <v>0</v>
      </c>
      <c r="X299" s="88">
        <f>ROUND(X298+Y299-MIN(N(Crédits!$E$7),X298+Y299),2)</f>
        <v>0</v>
      </c>
      <c r="Y299" s="89">
        <f>X298*N(Crédits!$D$7)/12</f>
        <v>0</v>
      </c>
      <c r="Z299" s="96">
        <f t="shared" si="295"/>
        <v>0</v>
      </c>
      <c r="AA299" s="96">
        <f>Z299*N(Crédits!$D$8)/12</f>
        <v>0</v>
      </c>
      <c r="AB299" s="96">
        <f>MIN(N(Crédits!$E$8),Z299+AA299)</f>
        <v>0</v>
      </c>
      <c r="AC299" s="96">
        <f t="shared" si="282"/>
        <v>0</v>
      </c>
      <c r="AD299" s="97">
        <f>IF(Crédits!$K$8="",0,MAX(0,MIN(AC299,Plan!$L$301-(IF(Crédits!$K$5="",0,IF(Crédits!$K$5&lt;Crédits!$K$8,E299,0))+IF(Crédits!$K$6="",0,IF(Crédits!$K$6&lt;Crédits!$K$8,M299,0))+IF(Crédits!$K$7="",0,IF(Crédits!$K$7&lt;Crédits!$K$8,U299,0))+IF(Crédits!$K$9="",0,IF(Crédits!$K$9&lt;Crédits!$K$8,AK299,0))+IF(Crédits!$K$10="",0,IF(Crédits!$K$10&lt;Crédits!$K$8,AS299,0))))))</f>
        <v>0</v>
      </c>
      <c r="AE299" s="98">
        <f t="shared" si="283"/>
        <v>0</v>
      </c>
      <c r="AF299" s="88">
        <f>ROUND(AF298+AG299-MIN(N(Crédits!$E$8),AF298+AG299),2)</f>
        <v>0</v>
      </c>
      <c r="AG299" s="89">
        <f>AF298*N(Crédits!$D$8)/12</f>
        <v>0</v>
      </c>
      <c r="AH299" s="99">
        <f t="shared" si="296"/>
        <v>0</v>
      </c>
      <c r="AI299" s="99">
        <f>AH299*N(Crédits!$D$9)/12</f>
        <v>0</v>
      </c>
      <c r="AJ299" s="99">
        <f>MIN(N(Crédits!$E$9),AH299+AI299)</f>
        <v>0</v>
      </c>
      <c r="AK299" s="99">
        <f t="shared" si="284"/>
        <v>0</v>
      </c>
      <c r="AL299" s="100">
        <f>IF(Crédits!$K$9="",0,MAX(0,MIN(AK299,Plan!$L$301-(IF(Crédits!$K$5="",0,IF(Crédits!$K$5&lt;Crédits!$K$9,E299,0))+IF(Crédits!$K$6="",0,IF(Crédits!$K$6&lt;Crédits!$K$9,M299,0))+IF(Crédits!$K$7="",0,IF(Crédits!$K$7&lt;Crédits!$K$9,U299,0))+IF(Crédits!$K$8="",0,IF(Crédits!$K$8&lt;Crédits!$K$9,AC299,0))+IF(Crédits!$K$10="",0,IF(Crédits!$K$10&lt;Crédits!$K$9,AS299,0))))))</f>
        <v>0</v>
      </c>
      <c r="AM299" s="101">
        <f t="shared" si="285"/>
        <v>0</v>
      </c>
      <c r="AN299" s="88">
        <f>ROUND(AN298+AO299-MIN(N(Crédits!$E$9),AN298+AO299),2)</f>
        <v>0</v>
      </c>
      <c r="AO299" s="89">
        <f>AN298*N(Crédits!$D$9)/12</f>
        <v>0</v>
      </c>
      <c r="AP299" s="102">
        <f t="shared" si="297"/>
        <v>0</v>
      </c>
      <c r="AQ299" s="102">
        <f>AP299*N(Crédits!$D$10)/12</f>
        <v>0</v>
      </c>
      <c r="AR299" s="102">
        <f>MIN(N(Crédits!$E$10),AP299+AQ299)</f>
        <v>0</v>
      </c>
      <c r="AS299" s="102">
        <f t="shared" si="286"/>
        <v>0</v>
      </c>
      <c r="AT299" s="103">
        <f>IF(Crédits!$K$10="",0,MAX(0,MIN(AS299,Plan!$L$301-(IF(Crédits!$K$5="",0,IF(Crédits!$K$5&lt;Crédits!$K$10,E299,0))+IF(Crédits!$K$6="",0,IF(Crédits!$K$6&lt;Crédits!$K$10,M299,0))+IF(Crédits!$K$7="",0,IF(Crédits!$K$7&lt;Crédits!$K$10,U299,0))+IF(Crédits!$K$8="",0,IF(Crédits!$K$8&lt;Crédits!$K$10,AC299,0))+IF(Crédits!$K$9="",0,IF(Crédits!$K$9&lt;Crédits!$K$10,AK299,0))))))</f>
        <v>0</v>
      </c>
      <c r="AU299" s="104">
        <f t="shared" si="287"/>
        <v>0</v>
      </c>
      <c r="AV299" s="88">
        <f>ROUND(AV298+AW299-MIN(N(Crédits!$E$10),AV298+AW299),2)</f>
        <v>0</v>
      </c>
      <c r="AW299" s="89">
        <f>AV298*N(Crédits!$D$10)/12</f>
        <v>0</v>
      </c>
      <c r="AX299" s="105">
        <f t="shared" si="288"/>
        <v>0</v>
      </c>
      <c r="AY299" s="105">
        <f t="shared" ref="AY299:AZ299" si="338">F299+N299+V299+AD299+AL299+AT299</f>
        <v>0</v>
      </c>
      <c r="AZ299" s="105">
        <f t="shared" si="338"/>
        <v>0</v>
      </c>
      <c r="BA299" s="105">
        <f t="shared" si="290"/>
        <v>0</v>
      </c>
      <c r="BB299" s="105">
        <f t="shared" si="291"/>
        <v>0</v>
      </c>
    </row>
    <row r="300" spans="1:54" ht="15" customHeight="1" x14ac:dyDescent="0.25">
      <c r="A300" s="2">
        <v>298</v>
      </c>
      <c r="B300" s="83">
        <f t="shared" si="292"/>
        <v>0</v>
      </c>
      <c r="C300" s="83">
        <f>B300*N(Crédits!$D$5)/12</f>
        <v>0</v>
      </c>
      <c r="D300" s="83">
        <f>MIN(N(Crédits!$E$5),B300+C300)</f>
        <v>0</v>
      </c>
      <c r="E300" s="83">
        <f t="shared" si="276"/>
        <v>0</v>
      </c>
      <c r="F300" s="86">
        <f>IF(Crédits!$K$5="",0,MAX(0,MIN(E300,Plan!$L$302-(IF(Crédits!$K$6="",0,IF(Crédits!$K$6&lt;Crédits!$K$5,M300,0))+IF(Crédits!$K$7="",0,IF(Crédits!$K$7&lt;Crédits!$K$5,U300,0))+IF(Crédits!$K$8="",0,IF(Crédits!$K$8&lt;Crédits!$K$5,AC300,0))+IF(Crédits!$K$9="",0,IF(Crédits!$K$9&lt;Crédits!$K$5,AK300,0))+IF(Crédits!$K$10="",0,IF(Crédits!$K$10&lt;Crédits!$K$5,AS300,0))))))</f>
        <v>0</v>
      </c>
      <c r="G300" s="87">
        <f t="shared" si="277"/>
        <v>0</v>
      </c>
      <c r="H300" s="88">
        <f>ROUND(H299+I300-MIN(N(Crédits!$E$5),H299+I300),2)</f>
        <v>0</v>
      </c>
      <c r="I300" s="89">
        <f>H299*N(Crédits!$D$5)/12</f>
        <v>0</v>
      </c>
      <c r="J300" s="90">
        <f t="shared" si="293"/>
        <v>0</v>
      </c>
      <c r="K300" s="90">
        <f>J300*N(Crédits!$D$6)/12</f>
        <v>0</v>
      </c>
      <c r="L300" s="90">
        <f>MIN(N(Crédits!$E$6),J300+K300)</f>
        <v>0</v>
      </c>
      <c r="M300" s="90">
        <f t="shared" si="278"/>
        <v>0</v>
      </c>
      <c r="N300" s="91">
        <f>IF(Crédits!$K$6="",0,MAX(0,MIN(M300,Plan!$L$302-(IF(Crédits!$K$5="",0,IF(Crédits!$K$5&lt;Crédits!$K$6,E300,0))+IF(Crédits!$K$7="",0,IF(Crédits!$K$7&lt;Crédits!$K$6,U300,0))+IF(Crédits!$K$8="",0,IF(Crédits!$K$8&lt;Crédits!$K$6,AC300,0))+IF(Crédits!$K$9="",0,IF(Crédits!$K$9&lt;Crédits!$K$6,AK300,0))+IF(Crédits!$K$10="",0,IF(Crédits!$K$10&lt;Crédits!$K$6,AS300,0))))))</f>
        <v>0</v>
      </c>
      <c r="O300" s="92">
        <f t="shared" si="279"/>
        <v>0</v>
      </c>
      <c r="P300" s="88">
        <f>ROUND(P299+Q300-MIN(N(Crédits!$E$6),P299+Q300),2)</f>
        <v>0</v>
      </c>
      <c r="Q300" s="89">
        <f>P299*N(Crédits!$D$6)/12</f>
        <v>0</v>
      </c>
      <c r="R300" s="93">
        <f t="shared" si="294"/>
        <v>0</v>
      </c>
      <c r="S300" s="93">
        <f>R300*N(Crédits!$D$7)/12</f>
        <v>0</v>
      </c>
      <c r="T300" s="93">
        <f>MIN(N(Crédits!$E$7),R300+S300)</f>
        <v>0</v>
      </c>
      <c r="U300" s="93">
        <f t="shared" si="280"/>
        <v>0</v>
      </c>
      <c r="V300" s="94">
        <f>IF(Crédits!$K$7="",0,MAX(0,MIN(U300,Plan!$L$302-(IF(Crédits!$K$5="",0,IF(Crédits!$K$5&lt;Crédits!$K$7,E300,0))+IF(Crédits!$K$6="",0,IF(Crédits!$K$6&lt;Crédits!$K$7,M300,0))+IF(Crédits!$K$8="",0,IF(Crédits!$K$8&lt;Crédits!$K$7,AC300,0))+IF(Crédits!$K$9="",0,IF(Crédits!$K$9&lt;Crédits!$K$7,AK300,0))+IF(Crédits!$K$10="",0,IF(Crédits!$K$10&lt;Crédits!$K$7,AS300,0))))))</f>
        <v>0</v>
      </c>
      <c r="W300" s="95">
        <f t="shared" si="281"/>
        <v>0</v>
      </c>
      <c r="X300" s="88">
        <f>ROUND(X299+Y300-MIN(N(Crédits!$E$7),X299+Y300),2)</f>
        <v>0</v>
      </c>
      <c r="Y300" s="89">
        <f>X299*N(Crédits!$D$7)/12</f>
        <v>0</v>
      </c>
      <c r="Z300" s="96">
        <f t="shared" si="295"/>
        <v>0</v>
      </c>
      <c r="AA300" s="96">
        <f>Z300*N(Crédits!$D$8)/12</f>
        <v>0</v>
      </c>
      <c r="AB300" s="96">
        <f>MIN(N(Crédits!$E$8),Z300+AA300)</f>
        <v>0</v>
      </c>
      <c r="AC300" s="96">
        <f t="shared" si="282"/>
        <v>0</v>
      </c>
      <c r="AD300" s="97">
        <f>IF(Crédits!$K$8="",0,MAX(0,MIN(AC300,Plan!$L$302-(IF(Crédits!$K$5="",0,IF(Crédits!$K$5&lt;Crédits!$K$8,E300,0))+IF(Crédits!$K$6="",0,IF(Crédits!$K$6&lt;Crédits!$K$8,M300,0))+IF(Crédits!$K$7="",0,IF(Crédits!$K$7&lt;Crédits!$K$8,U300,0))+IF(Crédits!$K$9="",0,IF(Crédits!$K$9&lt;Crédits!$K$8,AK300,0))+IF(Crédits!$K$10="",0,IF(Crédits!$K$10&lt;Crédits!$K$8,AS300,0))))))</f>
        <v>0</v>
      </c>
      <c r="AE300" s="98">
        <f t="shared" si="283"/>
        <v>0</v>
      </c>
      <c r="AF300" s="88">
        <f>ROUND(AF299+AG300-MIN(N(Crédits!$E$8),AF299+AG300),2)</f>
        <v>0</v>
      </c>
      <c r="AG300" s="89">
        <f>AF299*N(Crédits!$D$8)/12</f>
        <v>0</v>
      </c>
      <c r="AH300" s="99">
        <f t="shared" si="296"/>
        <v>0</v>
      </c>
      <c r="AI300" s="99">
        <f>AH300*N(Crédits!$D$9)/12</f>
        <v>0</v>
      </c>
      <c r="AJ300" s="99">
        <f>MIN(N(Crédits!$E$9),AH300+AI300)</f>
        <v>0</v>
      </c>
      <c r="AK300" s="99">
        <f t="shared" si="284"/>
        <v>0</v>
      </c>
      <c r="AL300" s="100">
        <f>IF(Crédits!$K$9="",0,MAX(0,MIN(AK300,Plan!$L$302-(IF(Crédits!$K$5="",0,IF(Crédits!$K$5&lt;Crédits!$K$9,E300,0))+IF(Crédits!$K$6="",0,IF(Crédits!$K$6&lt;Crédits!$K$9,M300,0))+IF(Crédits!$K$7="",0,IF(Crédits!$K$7&lt;Crédits!$K$9,U300,0))+IF(Crédits!$K$8="",0,IF(Crédits!$K$8&lt;Crédits!$K$9,AC300,0))+IF(Crédits!$K$10="",0,IF(Crédits!$K$10&lt;Crédits!$K$9,AS300,0))))))</f>
        <v>0</v>
      </c>
      <c r="AM300" s="101">
        <f t="shared" si="285"/>
        <v>0</v>
      </c>
      <c r="AN300" s="88">
        <f>ROUND(AN299+AO300-MIN(N(Crédits!$E$9),AN299+AO300),2)</f>
        <v>0</v>
      </c>
      <c r="AO300" s="89">
        <f>AN299*N(Crédits!$D$9)/12</f>
        <v>0</v>
      </c>
      <c r="AP300" s="102">
        <f t="shared" si="297"/>
        <v>0</v>
      </c>
      <c r="AQ300" s="102">
        <f>AP300*N(Crédits!$D$10)/12</f>
        <v>0</v>
      </c>
      <c r="AR300" s="102">
        <f>MIN(N(Crédits!$E$10),AP300+AQ300)</f>
        <v>0</v>
      </c>
      <c r="AS300" s="102">
        <f t="shared" si="286"/>
        <v>0</v>
      </c>
      <c r="AT300" s="103">
        <f>IF(Crédits!$K$10="",0,MAX(0,MIN(AS300,Plan!$L$302-(IF(Crédits!$K$5="",0,IF(Crédits!$K$5&lt;Crédits!$K$10,E300,0))+IF(Crédits!$K$6="",0,IF(Crédits!$K$6&lt;Crédits!$K$10,M300,0))+IF(Crédits!$K$7="",0,IF(Crédits!$K$7&lt;Crédits!$K$10,U300,0))+IF(Crédits!$K$8="",0,IF(Crédits!$K$8&lt;Crédits!$K$10,AC300,0))+IF(Crédits!$K$9="",0,IF(Crédits!$K$9&lt;Crédits!$K$10,AK300,0))))))</f>
        <v>0</v>
      </c>
      <c r="AU300" s="104">
        <f t="shared" si="287"/>
        <v>0</v>
      </c>
      <c r="AV300" s="88">
        <f>ROUND(AV299+AW300-MIN(N(Crédits!$E$10),AV299+AW300),2)</f>
        <v>0</v>
      </c>
      <c r="AW300" s="89">
        <f>AV299*N(Crédits!$D$10)/12</f>
        <v>0</v>
      </c>
      <c r="AX300" s="105">
        <f t="shared" si="288"/>
        <v>0</v>
      </c>
      <c r="AY300" s="105">
        <f t="shared" ref="AY300:AZ300" si="339">F300+N300+V300+AD300+AL300+AT300</f>
        <v>0</v>
      </c>
      <c r="AZ300" s="105">
        <f t="shared" si="339"/>
        <v>0</v>
      </c>
      <c r="BA300" s="105">
        <f t="shared" si="290"/>
        <v>0</v>
      </c>
      <c r="BB300" s="105">
        <f t="shared" si="291"/>
        <v>0</v>
      </c>
    </row>
    <row r="301" spans="1:54" ht="15" customHeight="1" x14ac:dyDescent="0.25">
      <c r="A301" s="2">
        <v>299</v>
      </c>
      <c r="B301" s="83">
        <f t="shared" si="292"/>
        <v>0</v>
      </c>
      <c r="C301" s="83">
        <f>B301*N(Crédits!$D$5)/12</f>
        <v>0</v>
      </c>
      <c r="D301" s="83">
        <f>MIN(N(Crédits!$E$5),B301+C301)</f>
        <v>0</v>
      </c>
      <c r="E301" s="83">
        <f t="shared" si="276"/>
        <v>0</v>
      </c>
      <c r="F301" s="86">
        <f>IF(Crédits!$K$5="",0,MAX(0,MIN(E301,Plan!$L$303-(IF(Crédits!$K$6="",0,IF(Crédits!$K$6&lt;Crédits!$K$5,M301,0))+IF(Crédits!$K$7="",0,IF(Crédits!$K$7&lt;Crédits!$K$5,U301,0))+IF(Crédits!$K$8="",0,IF(Crédits!$K$8&lt;Crédits!$K$5,AC301,0))+IF(Crédits!$K$9="",0,IF(Crédits!$K$9&lt;Crédits!$K$5,AK301,0))+IF(Crédits!$K$10="",0,IF(Crédits!$K$10&lt;Crédits!$K$5,AS301,0))))))</f>
        <v>0</v>
      </c>
      <c r="G301" s="87">
        <f t="shared" si="277"/>
        <v>0</v>
      </c>
      <c r="H301" s="88">
        <f>ROUND(H300+I301-MIN(N(Crédits!$E$5),H300+I301),2)</f>
        <v>0</v>
      </c>
      <c r="I301" s="89">
        <f>H300*N(Crédits!$D$5)/12</f>
        <v>0</v>
      </c>
      <c r="J301" s="90">
        <f t="shared" si="293"/>
        <v>0</v>
      </c>
      <c r="K301" s="90">
        <f>J301*N(Crédits!$D$6)/12</f>
        <v>0</v>
      </c>
      <c r="L301" s="90">
        <f>MIN(N(Crédits!$E$6),J301+K301)</f>
        <v>0</v>
      </c>
      <c r="M301" s="90">
        <f t="shared" si="278"/>
        <v>0</v>
      </c>
      <c r="N301" s="91">
        <f>IF(Crédits!$K$6="",0,MAX(0,MIN(M301,Plan!$L$303-(IF(Crédits!$K$5="",0,IF(Crédits!$K$5&lt;Crédits!$K$6,E301,0))+IF(Crédits!$K$7="",0,IF(Crédits!$K$7&lt;Crédits!$K$6,U301,0))+IF(Crédits!$K$8="",0,IF(Crédits!$K$8&lt;Crédits!$K$6,AC301,0))+IF(Crédits!$K$9="",0,IF(Crédits!$K$9&lt;Crédits!$K$6,AK301,0))+IF(Crédits!$K$10="",0,IF(Crédits!$K$10&lt;Crédits!$K$6,AS301,0))))))</f>
        <v>0</v>
      </c>
      <c r="O301" s="92">
        <f t="shared" si="279"/>
        <v>0</v>
      </c>
      <c r="P301" s="88">
        <f>ROUND(P300+Q301-MIN(N(Crédits!$E$6),P300+Q301),2)</f>
        <v>0</v>
      </c>
      <c r="Q301" s="89">
        <f>P300*N(Crédits!$D$6)/12</f>
        <v>0</v>
      </c>
      <c r="R301" s="93">
        <f t="shared" si="294"/>
        <v>0</v>
      </c>
      <c r="S301" s="93">
        <f>R301*N(Crédits!$D$7)/12</f>
        <v>0</v>
      </c>
      <c r="T301" s="93">
        <f>MIN(N(Crédits!$E$7),R301+S301)</f>
        <v>0</v>
      </c>
      <c r="U301" s="93">
        <f t="shared" si="280"/>
        <v>0</v>
      </c>
      <c r="V301" s="94">
        <f>IF(Crédits!$K$7="",0,MAX(0,MIN(U301,Plan!$L$303-(IF(Crédits!$K$5="",0,IF(Crédits!$K$5&lt;Crédits!$K$7,E301,0))+IF(Crédits!$K$6="",0,IF(Crédits!$K$6&lt;Crédits!$K$7,M301,0))+IF(Crédits!$K$8="",0,IF(Crédits!$K$8&lt;Crédits!$K$7,AC301,0))+IF(Crédits!$K$9="",0,IF(Crédits!$K$9&lt;Crédits!$K$7,AK301,0))+IF(Crédits!$K$10="",0,IF(Crédits!$K$10&lt;Crédits!$K$7,AS301,0))))))</f>
        <v>0</v>
      </c>
      <c r="W301" s="95">
        <f t="shared" si="281"/>
        <v>0</v>
      </c>
      <c r="X301" s="88">
        <f>ROUND(X300+Y301-MIN(N(Crédits!$E$7),X300+Y301),2)</f>
        <v>0</v>
      </c>
      <c r="Y301" s="89">
        <f>X300*N(Crédits!$D$7)/12</f>
        <v>0</v>
      </c>
      <c r="Z301" s="96">
        <f t="shared" si="295"/>
        <v>0</v>
      </c>
      <c r="AA301" s="96">
        <f>Z301*N(Crédits!$D$8)/12</f>
        <v>0</v>
      </c>
      <c r="AB301" s="96">
        <f>MIN(N(Crédits!$E$8),Z301+AA301)</f>
        <v>0</v>
      </c>
      <c r="AC301" s="96">
        <f t="shared" si="282"/>
        <v>0</v>
      </c>
      <c r="AD301" s="97">
        <f>IF(Crédits!$K$8="",0,MAX(0,MIN(AC301,Plan!$L$303-(IF(Crédits!$K$5="",0,IF(Crédits!$K$5&lt;Crédits!$K$8,E301,0))+IF(Crédits!$K$6="",0,IF(Crédits!$K$6&lt;Crédits!$K$8,M301,0))+IF(Crédits!$K$7="",0,IF(Crédits!$K$7&lt;Crédits!$K$8,U301,0))+IF(Crédits!$K$9="",0,IF(Crédits!$K$9&lt;Crédits!$K$8,AK301,0))+IF(Crédits!$K$10="",0,IF(Crédits!$K$10&lt;Crédits!$K$8,AS301,0))))))</f>
        <v>0</v>
      </c>
      <c r="AE301" s="98">
        <f t="shared" si="283"/>
        <v>0</v>
      </c>
      <c r="AF301" s="88">
        <f>ROUND(AF300+AG301-MIN(N(Crédits!$E$8),AF300+AG301),2)</f>
        <v>0</v>
      </c>
      <c r="AG301" s="89">
        <f>AF300*N(Crédits!$D$8)/12</f>
        <v>0</v>
      </c>
      <c r="AH301" s="99">
        <f t="shared" si="296"/>
        <v>0</v>
      </c>
      <c r="AI301" s="99">
        <f>AH301*N(Crédits!$D$9)/12</f>
        <v>0</v>
      </c>
      <c r="AJ301" s="99">
        <f>MIN(N(Crédits!$E$9),AH301+AI301)</f>
        <v>0</v>
      </c>
      <c r="AK301" s="99">
        <f t="shared" si="284"/>
        <v>0</v>
      </c>
      <c r="AL301" s="100">
        <f>IF(Crédits!$K$9="",0,MAX(0,MIN(AK301,Plan!$L$303-(IF(Crédits!$K$5="",0,IF(Crédits!$K$5&lt;Crédits!$K$9,E301,0))+IF(Crédits!$K$6="",0,IF(Crédits!$K$6&lt;Crédits!$K$9,M301,0))+IF(Crédits!$K$7="",0,IF(Crédits!$K$7&lt;Crédits!$K$9,U301,0))+IF(Crédits!$K$8="",0,IF(Crédits!$K$8&lt;Crédits!$K$9,AC301,0))+IF(Crédits!$K$10="",0,IF(Crédits!$K$10&lt;Crédits!$K$9,AS301,0))))))</f>
        <v>0</v>
      </c>
      <c r="AM301" s="101">
        <f t="shared" si="285"/>
        <v>0</v>
      </c>
      <c r="AN301" s="88">
        <f>ROUND(AN300+AO301-MIN(N(Crédits!$E$9),AN300+AO301),2)</f>
        <v>0</v>
      </c>
      <c r="AO301" s="89">
        <f>AN300*N(Crédits!$D$9)/12</f>
        <v>0</v>
      </c>
      <c r="AP301" s="102">
        <f t="shared" si="297"/>
        <v>0</v>
      </c>
      <c r="AQ301" s="102">
        <f>AP301*N(Crédits!$D$10)/12</f>
        <v>0</v>
      </c>
      <c r="AR301" s="102">
        <f>MIN(N(Crédits!$E$10),AP301+AQ301)</f>
        <v>0</v>
      </c>
      <c r="AS301" s="102">
        <f t="shared" si="286"/>
        <v>0</v>
      </c>
      <c r="AT301" s="103">
        <f>IF(Crédits!$K$10="",0,MAX(0,MIN(AS301,Plan!$L$303-(IF(Crédits!$K$5="",0,IF(Crédits!$K$5&lt;Crédits!$K$10,E301,0))+IF(Crédits!$K$6="",0,IF(Crédits!$K$6&lt;Crédits!$K$10,M301,0))+IF(Crédits!$K$7="",0,IF(Crédits!$K$7&lt;Crédits!$K$10,U301,0))+IF(Crédits!$K$8="",0,IF(Crédits!$K$8&lt;Crédits!$K$10,AC301,0))+IF(Crédits!$K$9="",0,IF(Crédits!$K$9&lt;Crédits!$K$10,AK301,0))))))</f>
        <v>0</v>
      </c>
      <c r="AU301" s="104">
        <f t="shared" si="287"/>
        <v>0</v>
      </c>
      <c r="AV301" s="88">
        <f>ROUND(AV300+AW301-MIN(N(Crédits!$E$10),AV300+AW301),2)</f>
        <v>0</v>
      </c>
      <c r="AW301" s="89">
        <f>AV300*N(Crédits!$D$10)/12</f>
        <v>0</v>
      </c>
      <c r="AX301" s="105">
        <f t="shared" si="288"/>
        <v>0</v>
      </c>
      <c r="AY301" s="105">
        <f t="shared" ref="AY301:AZ301" si="340">F301+N301+V301+AD301+AL301+AT301</f>
        <v>0</v>
      </c>
      <c r="AZ301" s="105">
        <f t="shared" si="340"/>
        <v>0</v>
      </c>
      <c r="BA301" s="105">
        <f t="shared" si="290"/>
        <v>0</v>
      </c>
      <c r="BB301" s="105">
        <f t="shared" si="291"/>
        <v>0</v>
      </c>
    </row>
    <row r="302" spans="1:54" ht="15" customHeight="1" x14ac:dyDescent="0.25">
      <c r="A302" s="2">
        <v>300</v>
      </c>
      <c r="B302" s="83">
        <f t="shared" si="292"/>
        <v>0</v>
      </c>
      <c r="C302" s="83">
        <f>B302*N(Crédits!$D$5)/12</f>
        <v>0</v>
      </c>
      <c r="D302" s="83">
        <f>MIN(N(Crédits!$E$5),B302+C302)</f>
        <v>0</v>
      </c>
      <c r="E302" s="83">
        <f t="shared" si="276"/>
        <v>0</v>
      </c>
      <c r="F302" s="86">
        <f>IF(Crédits!$K$5="",0,MAX(0,MIN(E302,Plan!$L$304-(IF(Crédits!$K$6="",0,IF(Crédits!$K$6&lt;Crédits!$K$5,M302,0))+IF(Crédits!$K$7="",0,IF(Crédits!$K$7&lt;Crédits!$K$5,U302,0))+IF(Crédits!$K$8="",0,IF(Crédits!$K$8&lt;Crédits!$K$5,AC302,0))+IF(Crédits!$K$9="",0,IF(Crédits!$K$9&lt;Crédits!$K$5,AK302,0))+IF(Crédits!$K$10="",0,IF(Crédits!$K$10&lt;Crédits!$K$5,AS302,0))))))</f>
        <v>0</v>
      </c>
      <c r="G302" s="87">
        <f t="shared" si="277"/>
        <v>0</v>
      </c>
      <c r="H302" s="88">
        <f>ROUND(H301+I302-MIN(N(Crédits!$E$5),H301+I302),2)</f>
        <v>0</v>
      </c>
      <c r="I302" s="89">
        <f>H301*N(Crédits!$D$5)/12</f>
        <v>0</v>
      </c>
      <c r="J302" s="90">
        <f t="shared" si="293"/>
        <v>0</v>
      </c>
      <c r="K302" s="90">
        <f>J302*N(Crédits!$D$6)/12</f>
        <v>0</v>
      </c>
      <c r="L302" s="90">
        <f>MIN(N(Crédits!$E$6),J302+K302)</f>
        <v>0</v>
      </c>
      <c r="M302" s="90">
        <f t="shared" si="278"/>
        <v>0</v>
      </c>
      <c r="N302" s="91">
        <f>IF(Crédits!$K$6="",0,MAX(0,MIN(M302,Plan!$L$304-(IF(Crédits!$K$5="",0,IF(Crédits!$K$5&lt;Crédits!$K$6,E302,0))+IF(Crédits!$K$7="",0,IF(Crédits!$K$7&lt;Crédits!$K$6,U302,0))+IF(Crédits!$K$8="",0,IF(Crédits!$K$8&lt;Crédits!$K$6,AC302,0))+IF(Crédits!$K$9="",0,IF(Crédits!$K$9&lt;Crédits!$K$6,AK302,0))+IF(Crédits!$K$10="",0,IF(Crédits!$K$10&lt;Crédits!$K$6,AS302,0))))))</f>
        <v>0</v>
      </c>
      <c r="O302" s="92">
        <f t="shared" si="279"/>
        <v>0</v>
      </c>
      <c r="P302" s="88">
        <f>ROUND(P301+Q302-MIN(N(Crédits!$E$6),P301+Q302),2)</f>
        <v>0</v>
      </c>
      <c r="Q302" s="89">
        <f>P301*N(Crédits!$D$6)/12</f>
        <v>0</v>
      </c>
      <c r="R302" s="93">
        <f t="shared" si="294"/>
        <v>0</v>
      </c>
      <c r="S302" s="93">
        <f>R302*N(Crédits!$D$7)/12</f>
        <v>0</v>
      </c>
      <c r="T302" s="93">
        <f>MIN(N(Crédits!$E$7),R302+S302)</f>
        <v>0</v>
      </c>
      <c r="U302" s="93">
        <f t="shared" si="280"/>
        <v>0</v>
      </c>
      <c r="V302" s="94">
        <f>IF(Crédits!$K$7="",0,MAX(0,MIN(U302,Plan!$L$304-(IF(Crédits!$K$5="",0,IF(Crédits!$K$5&lt;Crédits!$K$7,E302,0))+IF(Crédits!$K$6="",0,IF(Crédits!$K$6&lt;Crédits!$K$7,M302,0))+IF(Crédits!$K$8="",0,IF(Crédits!$K$8&lt;Crédits!$K$7,AC302,0))+IF(Crédits!$K$9="",0,IF(Crédits!$K$9&lt;Crédits!$K$7,AK302,0))+IF(Crédits!$K$10="",0,IF(Crédits!$K$10&lt;Crédits!$K$7,AS302,0))))))</f>
        <v>0</v>
      </c>
      <c r="W302" s="95">
        <f t="shared" si="281"/>
        <v>0</v>
      </c>
      <c r="X302" s="88">
        <f>ROUND(X301+Y302-MIN(N(Crédits!$E$7),X301+Y302),2)</f>
        <v>0</v>
      </c>
      <c r="Y302" s="89">
        <f>X301*N(Crédits!$D$7)/12</f>
        <v>0</v>
      </c>
      <c r="Z302" s="96">
        <f t="shared" si="295"/>
        <v>0</v>
      </c>
      <c r="AA302" s="96">
        <f>Z302*N(Crédits!$D$8)/12</f>
        <v>0</v>
      </c>
      <c r="AB302" s="96">
        <f>MIN(N(Crédits!$E$8),Z302+AA302)</f>
        <v>0</v>
      </c>
      <c r="AC302" s="96">
        <f t="shared" si="282"/>
        <v>0</v>
      </c>
      <c r="AD302" s="97">
        <f>IF(Crédits!$K$8="",0,MAX(0,MIN(AC302,Plan!$L$304-(IF(Crédits!$K$5="",0,IF(Crédits!$K$5&lt;Crédits!$K$8,E302,0))+IF(Crédits!$K$6="",0,IF(Crédits!$K$6&lt;Crédits!$K$8,M302,0))+IF(Crédits!$K$7="",0,IF(Crédits!$K$7&lt;Crédits!$K$8,U302,0))+IF(Crédits!$K$9="",0,IF(Crédits!$K$9&lt;Crédits!$K$8,AK302,0))+IF(Crédits!$K$10="",0,IF(Crédits!$K$10&lt;Crédits!$K$8,AS302,0))))))</f>
        <v>0</v>
      </c>
      <c r="AE302" s="98">
        <f t="shared" si="283"/>
        <v>0</v>
      </c>
      <c r="AF302" s="88">
        <f>ROUND(AF301+AG302-MIN(N(Crédits!$E$8),AF301+AG302),2)</f>
        <v>0</v>
      </c>
      <c r="AG302" s="89">
        <f>AF301*N(Crédits!$D$8)/12</f>
        <v>0</v>
      </c>
      <c r="AH302" s="99">
        <f t="shared" si="296"/>
        <v>0</v>
      </c>
      <c r="AI302" s="99">
        <f>AH302*N(Crédits!$D$9)/12</f>
        <v>0</v>
      </c>
      <c r="AJ302" s="99">
        <f>MIN(N(Crédits!$E$9),AH302+AI302)</f>
        <v>0</v>
      </c>
      <c r="AK302" s="99">
        <f t="shared" si="284"/>
        <v>0</v>
      </c>
      <c r="AL302" s="100">
        <f>IF(Crédits!$K$9="",0,MAX(0,MIN(AK302,Plan!$L$304-(IF(Crédits!$K$5="",0,IF(Crédits!$K$5&lt;Crédits!$K$9,E302,0))+IF(Crédits!$K$6="",0,IF(Crédits!$K$6&lt;Crédits!$K$9,M302,0))+IF(Crédits!$K$7="",0,IF(Crédits!$K$7&lt;Crédits!$K$9,U302,0))+IF(Crédits!$K$8="",0,IF(Crédits!$K$8&lt;Crédits!$K$9,AC302,0))+IF(Crédits!$K$10="",0,IF(Crédits!$K$10&lt;Crédits!$K$9,AS302,0))))))</f>
        <v>0</v>
      </c>
      <c r="AM302" s="101">
        <f t="shared" si="285"/>
        <v>0</v>
      </c>
      <c r="AN302" s="88">
        <f>ROUND(AN301+AO302-MIN(N(Crédits!$E$9),AN301+AO302),2)</f>
        <v>0</v>
      </c>
      <c r="AO302" s="89">
        <f>AN301*N(Crédits!$D$9)/12</f>
        <v>0</v>
      </c>
      <c r="AP302" s="102">
        <f t="shared" si="297"/>
        <v>0</v>
      </c>
      <c r="AQ302" s="102">
        <f>AP302*N(Crédits!$D$10)/12</f>
        <v>0</v>
      </c>
      <c r="AR302" s="102">
        <f>MIN(N(Crédits!$E$10),AP302+AQ302)</f>
        <v>0</v>
      </c>
      <c r="AS302" s="102">
        <f t="shared" si="286"/>
        <v>0</v>
      </c>
      <c r="AT302" s="103">
        <f>IF(Crédits!$K$10="",0,MAX(0,MIN(AS302,Plan!$L$304-(IF(Crédits!$K$5="",0,IF(Crédits!$K$5&lt;Crédits!$K$10,E302,0))+IF(Crédits!$K$6="",0,IF(Crédits!$K$6&lt;Crédits!$K$10,M302,0))+IF(Crédits!$K$7="",0,IF(Crédits!$K$7&lt;Crédits!$K$10,U302,0))+IF(Crédits!$K$8="",0,IF(Crédits!$K$8&lt;Crédits!$K$10,AC302,0))+IF(Crédits!$K$9="",0,IF(Crédits!$K$9&lt;Crédits!$K$10,AK302,0))))))</f>
        <v>0</v>
      </c>
      <c r="AU302" s="104">
        <f t="shared" si="287"/>
        <v>0</v>
      </c>
      <c r="AV302" s="88">
        <f>ROUND(AV301+AW302-MIN(N(Crédits!$E$10),AV301+AW302),2)</f>
        <v>0</v>
      </c>
      <c r="AW302" s="89">
        <f>AV301*N(Crédits!$D$10)/12</f>
        <v>0</v>
      </c>
      <c r="AX302" s="105">
        <f t="shared" si="288"/>
        <v>0</v>
      </c>
      <c r="AY302" s="105">
        <f t="shared" ref="AY302:AZ302" si="341">F302+N302+V302+AD302+AL302+AT302</f>
        <v>0</v>
      </c>
      <c r="AZ302" s="105">
        <f t="shared" si="341"/>
        <v>0</v>
      </c>
      <c r="BA302" s="105">
        <f t="shared" si="290"/>
        <v>0</v>
      </c>
      <c r="BB302" s="105">
        <f t="shared" si="291"/>
        <v>0</v>
      </c>
    </row>
    <row r="303" spans="1:54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</row>
    <row r="304" spans="1:54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</row>
    <row r="305" spans="1:54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</row>
    <row r="306" spans="1:54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</row>
    <row r="307" spans="1:54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</row>
    <row r="308" spans="1:54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</row>
    <row r="309" spans="1:54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</row>
    <row r="310" spans="1:54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</row>
    <row r="311" spans="1:54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</row>
    <row r="312" spans="1:54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</row>
    <row r="313" spans="1:54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</row>
    <row r="314" spans="1:54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</row>
    <row r="315" spans="1:54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</row>
    <row r="316" spans="1:54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</row>
    <row r="317" spans="1:54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</row>
    <row r="318" spans="1:54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</row>
    <row r="319" spans="1:54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</row>
    <row r="320" spans="1:54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</row>
    <row r="321" spans="1:54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</row>
    <row r="322" spans="1:54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</row>
    <row r="323" spans="1:54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</row>
    <row r="324" spans="1:54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</row>
    <row r="325" spans="1:54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</row>
    <row r="326" spans="1:54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</row>
    <row r="327" spans="1:54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</row>
    <row r="328" spans="1:54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</row>
    <row r="329" spans="1:54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</row>
    <row r="330" spans="1:54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</row>
    <row r="331" spans="1:54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</row>
    <row r="332" spans="1:54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</row>
    <row r="333" spans="1:54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</row>
    <row r="334" spans="1:54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</row>
    <row r="335" spans="1:54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</row>
    <row r="336" spans="1:54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</row>
    <row r="337" spans="1:54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</row>
    <row r="338" spans="1:54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</row>
    <row r="339" spans="1:54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</row>
    <row r="340" spans="1:54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</row>
    <row r="341" spans="1:54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</row>
    <row r="342" spans="1:54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</row>
    <row r="343" spans="1:54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</row>
    <row r="344" spans="1:54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</row>
    <row r="345" spans="1:54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</row>
    <row r="346" spans="1:54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</row>
    <row r="347" spans="1:54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</row>
    <row r="348" spans="1:54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</row>
    <row r="349" spans="1:54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</row>
    <row r="350" spans="1:54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</row>
    <row r="351" spans="1:54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</row>
    <row r="352" spans="1:54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</row>
    <row r="353" spans="1:54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</row>
    <row r="354" spans="1:54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</row>
    <row r="355" spans="1:54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</row>
    <row r="356" spans="1:54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</row>
    <row r="357" spans="1:54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</row>
    <row r="358" spans="1:54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</row>
    <row r="359" spans="1:54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</row>
    <row r="360" spans="1:54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</row>
    <row r="361" spans="1:54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</row>
    <row r="362" spans="1:54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</row>
    <row r="363" spans="1:54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</row>
    <row r="364" spans="1:54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</row>
    <row r="365" spans="1:54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</row>
    <row r="366" spans="1:54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</row>
    <row r="367" spans="1:54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</row>
    <row r="368" spans="1:54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</row>
    <row r="369" spans="1:54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</row>
    <row r="370" spans="1:54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</row>
    <row r="371" spans="1:54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</row>
    <row r="372" spans="1:54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</row>
    <row r="373" spans="1:54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</row>
    <row r="374" spans="1:54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</row>
    <row r="375" spans="1:54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</row>
    <row r="376" spans="1:54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</row>
    <row r="377" spans="1:54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</row>
    <row r="378" spans="1:54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</row>
    <row r="379" spans="1:54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</row>
    <row r="380" spans="1:54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</row>
    <row r="381" spans="1:54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</row>
    <row r="382" spans="1:54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</row>
    <row r="383" spans="1:54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</row>
    <row r="384" spans="1:54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</row>
    <row r="385" spans="1:54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</row>
    <row r="386" spans="1:54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</row>
    <row r="387" spans="1:54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</row>
    <row r="388" spans="1:54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</row>
    <row r="389" spans="1:54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</row>
    <row r="390" spans="1:54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</row>
    <row r="391" spans="1:54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</row>
    <row r="392" spans="1:54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</row>
    <row r="393" spans="1:54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</row>
    <row r="394" spans="1:54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</row>
    <row r="395" spans="1:54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</row>
    <row r="396" spans="1:54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</row>
    <row r="397" spans="1:54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</row>
    <row r="398" spans="1:54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</row>
    <row r="399" spans="1:54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</row>
    <row r="400" spans="1:54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</row>
    <row r="401" spans="1:54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</row>
    <row r="402" spans="1:54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</row>
    <row r="403" spans="1:54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</row>
    <row r="404" spans="1:54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</row>
    <row r="405" spans="1:54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</row>
    <row r="406" spans="1:54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</row>
    <row r="407" spans="1:54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</row>
    <row r="408" spans="1:54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</row>
    <row r="409" spans="1:54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</row>
    <row r="410" spans="1:54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</row>
    <row r="411" spans="1:54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</row>
    <row r="412" spans="1:54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</row>
    <row r="413" spans="1:54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</row>
    <row r="414" spans="1:54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</row>
    <row r="415" spans="1:54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</row>
    <row r="416" spans="1:54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</row>
    <row r="417" spans="1:54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</row>
    <row r="418" spans="1:54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</row>
    <row r="419" spans="1:54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</row>
    <row r="420" spans="1:54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</row>
    <row r="421" spans="1:54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</row>
    <row r="422" spans="1:54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</row>
    <row r="423" spans="1:54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</row>
    <row r="424" spans="1:54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</row>
    <row r="425" spans="1:54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</row>
    <row r="426" spans="1:54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</row>
    <row r="427" spans="1:54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</row>
    <row r="428" spans="1:54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</row>
    <row r="429" spans="1:54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</row>
    <row r="430" spans="1:54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</row>
    <row r="431" spans="1:54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</row>
    <row r="432" spans="1:54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</row>
    <row r="433" spans="1:54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</row>
    <row r="434" spans="1:54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</row>
    <row r="435" spans="1:54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</row>
    <row r="436" spans="1:54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</row>
    <row r="437" spans="1:54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</row>
    <row r="438" spans="1:54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</row>
    <row r="439" spans="1:54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</row>
    <row r="440" spans="1:54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</row>
    <row r="441" spans="1:54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</row>
    <row r="442" spans="1:54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</row>
    <row r="443" spans="1:54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</row>
    <row r="444" spans="1:54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</row>
    <row r="445" spans="1:54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</row>
    <row r="446" spans="1:54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</row>
    <row r="447" spans="1:54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</row>
    <row r="448" spans="1:54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</row>
    <row r="449" spans="1:54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</row>
    <row r="450" spans="1:54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</row>
    <row r="451" spans="1:54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</row>
    <row r="452" spans="1:54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</row>
    <row r="453" spans="1:54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</row>
    <row r="454" spans="1:54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</row>
    <row r="455" spans="1:54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</row>
    <row r="456" spans="1:54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</row>
    <row r="457" spans="1:54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</row>
    <row r="458" spans="1:54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</row>
    <row r="459" spans="1:54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</row>
    <row r="460" spans="1:54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</row>
    <row r="461" spans="1:54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</row>
    <row r="462" spans="1:54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</row>
    <row r="463" spans="1:54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</row>
    <row r="464" spans="1:54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</row>
    <row r="465" spans="1:54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</row>
    <row r="466" spans="1:54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</row>
    <row r="467" spans="1:54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</row>
    <row r="468" spans="1:54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</row>
    <row r="469" spans="1:54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</row>
    <row r="470" spans="1:54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</row>
    <row r="471" spans="1:54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</row>
    <row r="472" spans="1:54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</row>
    <row r="473" spans="1:54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</row>
    <row r="474" spans="1:54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</row>
    <row r="475" spans="1:54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</row>
    <row r="476" spans="1:54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</row>
    <row r="477" spans="1:54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</row>
    <row r="478" spans="1:54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</row>
    <row r="479" spans="1:54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</row>
    <row r="480" spans="1:54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</row>
    <row r="481" spans="1:54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</row>
    <row r="482" spans="1:54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</row>
    <row r="483" spans="1:54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</row>
    <row r="484" spans="1:54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</row>
    <row r="485" spans="1:54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</row>
    <row r="486" spans="1:54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</row>
    <row r="487" spans="1:54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</row>
    <row r="488" spans="1:54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</row>
    <row r="489" spans="1:54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</row>
    <row r="490" spans="1:54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</row>
    <row r="491" spans="1:54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</row>
    <row r="492" spans="1:54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</row>
    <row r="493" spans="1:54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</row>
    <row r="494" spans="1:54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</row>
    <row r="495" spans="1:54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</row>
    <row r="496" spans="1:54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</row>
    <row r="497" spans="1:54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</row>
    <row r="498" spans="1:54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</row>
    <row r="499" spans="1:54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</row>
    <row r="500" spans="1:54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</row>
    <row r="501" spans="1:54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</row>
    <row r="502" spans="1:54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</row>
    <row r="503" spans="1:54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</row>
    <row r="504" spans="1:54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</row>
    <row r="505" spans="1:54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</row>
    <row r="506" spans="1:54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</row>
    <row r="507" spans="1:54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</row>
    <row r="508" spans="1:54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</row>
    <row r="509" spans="1:54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</row>
    <row r="510" spans="1:54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</row>
    <row r="511" spans="1:54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</row>
    <row r="512" spans="1:54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</row>
    <row r="513" spans="1:54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</row>
    <row r="514" spans="1:54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</row>
    <row r="515" spans="1:54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</row>
    <row r="516" spans="1:54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</row>
    <row r="517" spans="1:54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</row>
    <row r="518" spans="1:54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</row>
    <row r="519" spans="1:54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</row>
    <row r="520" spans="1:54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</row>
    <row r="521" spans="1:54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</row>
    <row r="522" spans="1:54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</row>
    <row r="523" spans="1:54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</row>
    <row r="524" spans="1:54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</row>
    <row r="525" spans="1:54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</row>
    <row r="526" spans="1:54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</row>
    <row r="527" spans="1:54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</row>
    <row r="528" spans="1:54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</row>
    <row r="529" spans="1:54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</row>
    <row r="530" spans="1:54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</row>
    <row r="531" spans="1:54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</row>
    <row r="532" spans="1:54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</row>
    <row r="533" spans="1:54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</row>
    <row r="534" spans="1:54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</row>
    <row r="535" spans="1:54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</row>
    <row r="536" spans="1:54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</row>
    <row r="537" spans="1:54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</row>
    <row r="538" spans="1:54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</row>
    <row r="539" spans="1:54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</row>
    <row r="540" spans="1:54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</row>
    <row r="541" spans="1:54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</row>
    <row r="542" spans="1:54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</row>
    <row r="543" spans="1:54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</row>
    <row r="544" spans="1:54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</row>
    <row r="545" spans="1:54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</row>
    <row r="546" spans="1:54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</row>
    <row r="547" spans="1:54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</row>
    <row r="548" spans="1:54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</row>
    <row r="549" spans="1:54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</row>
    <row r="550" spans="1:54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</row>
    <row r="551" spans="1:54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</row>
    <row r="552" spans="1:54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</row>
    <row r="553" spans="1:54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</row>
    <row r="554" spans="1:54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</row>
    <row r="555" spans="1:54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</row>
    <row r="556" spans="1:54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</row>
    <row r="557" spans="1:54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</row>
    <row r="558" spans="1:54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</row>
    <row r="559" spans="1:54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</row>
    <row r="560" spans="1:54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</row>
    <row r="561" spans="1:54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</row>
    <row r="562" spans="1:54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</row>
    <row r="563" spans="1:54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</row>
    <row r="564" spans="1:54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</row>
    <row r="565" spans="1:54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</row>
    <row r="566" spans="1:54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</row>
    <row r="567" spans="1:54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</row>
    <row r="568" spans="1:54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</row>
    <row r="569" spans="1:54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</row>
    <row r="570" spans="1:54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</row>
    <row r="571" spans="1:54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</row>
    <row r="572" spans="1:54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</row>
    <row r="573" spans="1:54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</row>
    <row r="574" spans="1:54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</row>
    <row r="575" spans="1:54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</row>
    <row r="576" spans="1:54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</row>
    <row r="577" spans="1:54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</row>
    <row r="578" spans="1:54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</row>
    <row r="579" spans="1:54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</row>
    <row r="580" spans="1:54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</row>
    <row r="581" spans="1:54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</row>
    <row r="582" spans="1:54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</row>
    <row r="583" spans="1:54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</row>
    <row r="584" spans="1:54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</row>
    <row r="585" spans="1:54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</row>
    <row r="586" spans="1:54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</row>
    <row r="587" spans="1:54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</row>
    <row r="588" spans="1:54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</row>
    <row r="589" spans="1:54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</row>
    <row r="590" spans="1:54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</row>
    <row r="591" spans="1:54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</row>
    <row r="592" spans="1:54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</row>
    <row r="593" spans="1:54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</row>
    <row r="594" spans="1:54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</row>
    <row r="595" spans="1:54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</row>
    <row r="596" spans="1:54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</row>
    <row r="597" spans="1:54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</row>
    <row r="598" spans="1:54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</row>
    <row r="599" spans="1:54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</row>
    <row r="600" spans="1:54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</row>
    <row r="601" spans="1:54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</row>
    <row r="602" spans="1:54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</row>
    <row r="603" spans="1:54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</row>
    <row r="604" spans="1:54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</row>
    <row r="605" spans="1:54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</row>
    <row r="606" spans="1:54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</row>
    <row r="607" spans="1:54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</row>
    <row r="608" spans="1:54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</row>
    <row r="609" spans="1:54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</row>
    <row r="610" spans="1:54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</row>
    <row r="611" spans="1:54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</row>
    <row r="612" spans="1:54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</row>
    <row r="613" spans="1:54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</row>
    <row r="614" spans="1:54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</row>
    <row r="615" spans="1:54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</row>
    <row r="616" spans="1:54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</row>
    <row r="617" spans="1:54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</row>
    <row r="618" spans="1:54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</row>
    <row r="619" spans="1:54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</row>
    <row r="620" spans="1:54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</row>
    <row r="621" spans="1:54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</row>
    <row r="622" spans="1:54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</row>
    <row r="623" spans="1:54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</row>
    <row r="624" spans="1:54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</row>
    <row r="625" spans="1:54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</row>
    <row r="626" spans="1:54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</row>
    <row r="627" spans="1:54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</row>
    <row r="628" spans="1:54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</row>
    <row r="629" spans="1:54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</row>
    <row r="630" spans="1:54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</row>
    <row r="631" spans="1:54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</row>
    <row r="632" spans="1:54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</row>
    <row r="633" spans="1:54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</row>
    <row r="634" spans="1:54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</row>
    <row r="635" spans="1:54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</row>
    <row r="636" spans="1:54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</row>
    <row r="637" spans="1:54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</row>
    <row r="638" spans="1:54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</row>
    <row r="639" spans="1:54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</row>
    <row r="640" spans="1:54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</row>
    <row r="641" spans="1:54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</row>
    <row r="642" spans="1:54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</row>
    <row r="643" spans="1:54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</row>
    <row r="644" spans="1:54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</row>
    <row r="645" spans="1:54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</row>
    <row r="646" spans="1:54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</row>
    <row r="647" spans="1:54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</row>
    <row r="648" spans="1:54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</row>
    <row r="649" spans="1:54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</row>
    <row r="650" spans="1:54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</row>
    <row r="651" spans="1:54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</row>
    <row r="652" spans="1:54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</row>
    <row r="653" spans="1:54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</row>
    <row r="654" spans="1:54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</row>
    <row r="655" spans="1:54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</row>
    <row r="656" spans="1:54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</row>
    <row r="657" spans="1:54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</row>
    <row r="658" spans="1:54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</row>
    <row r="659" spans="1:54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</row>
    <row r="660" spans="1:54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</row>
    <row r="661" spans="1:54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</row>
    <row r="662" spans="1:54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</row>
    <row r="663" spans="1:54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</row>
    <row r="664" spans="1:54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</row>
    <row r="665" spans="1:54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</row>
    <row r="666" spans="1:54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</row>
    <row r="667" spans="1:54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</row>
    <row r="668" spans="1:54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</row>
    <row r="669" spans="1:54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</row>
    <row r="670" spans="1:54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</row>
    <row r="671" spans="1:54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</row>
    <row r="672" spans="1:54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</row>
    <row r="673" spans="1:54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</row>
    <row r="674" spans="1:54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</row>
    <row r="675" spans="1:54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</row>
    <row r="676" spans="1:54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</row>
    <row r="677" spans="1:54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</row>
    <row r="678" spans="1:54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</row>
    <row r="679" spans="1:54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</row>
    <row r="680" spans="1:54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</row>
    <row r="681" spans="1:54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</row>
    <row r="682" spans="1:54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</row>
    <row r="683" spans="1:54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</row>
    <row r="684" spans="1:54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</row>
    <row r="685" spans="1:54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</row>
    <row r="686" spans="1:54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</row>
    <row r="687" spans="1:54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</row>
    <row r="688" spans="1:54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</row>
    <row r="689" spans="1:54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</row>
    <row r="690" spans="1:54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</row>
    <row r="691" spans="1:54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</row>
    <row r="692" spans="1:54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</row>
    <row r="693" spans="1:54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</row>
    <row r="694" spans="1:54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</row>
    <row r="695" spans="1:54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</row>
    <row r="696" spans="1:54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</row>
    <row r="697" spans="1:54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</row>
    <row r="698" spans="1:54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</row>
    <row r="699" spans="1:54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</row>
    <row r="700" spans="1:54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</row>
    <row r="701" spans="1:54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</row>
    <row r="702" spans="1:54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</row>
    <row r="703" spans="1:54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</row>
    <row r="704" spans="1:54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</row>
    <row r="705" spans="1:54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</row>
    <row r="706" spans="1:54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</row>
    <row r="707" spans="1:54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</row>
    <row r="708" spans="1:54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</row>
    <row r="709" spans="1:54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</row>
    <row r="710" spans="1:54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</row>
    <row r="711" spans="1:54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</row>
    <row r="712" spans="1:54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</row>
    <row r="713" spans="1:54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</row>
    <row r="714" spans="1:54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</row>
    <row r="715" spans="1:54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</row>
    <row r="716" spans="1:54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</row>
    <row r="717" spans="1:54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</row>
    <row r="718" spans="1:54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</row>
    <row r="719" spans="1:54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</row>
    <row r="720" spans="1:54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</row>
    <row r="721" spans="1:54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</row>
    <row r="722" spans="1:54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</row>
    <row r="723" spans="1:54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</row>
    <row r="724" spans="1:54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</row>
    <row r="725" spans="1:54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</row>
    <row r="726" spans="1:54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</row>
    <row r="727" spans="1:54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</row>
    <row r="728" spans="1:54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</row>
    <row r="729" spans="1:54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</row>
    <row r="730" spans="1:54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</row>
    <row r="731" spans="1:54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</row>
    <row r="732" spans="1:54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</row>
    <row r="733" spans="1:54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</row>
    <row r="734" spans="1:54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</row>
    <row r="735" spans="1:54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</row>
    <row r="736" spans="1:54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</row>
    <row r="737" spans="1:54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</row>
    <row r="738" spans="1:54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</row>
    <row r="739" spans="1:54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</row>
    <row r="740" spans="1:54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</row>
    <row r="741" spans="1:54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</row>
    <row r="742" spans="1:54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</row>
    <row r="743" spans="1:54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</row>
    <row r="744" spans="1:54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</row>
    <row r="745" spans="1:54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</row>
    <row r="746" spans="1:54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</row>
    <row r="747" spans="1:54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</row>
    <row r="748" spans="1:54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</row>
    <row r="749" spans="1:54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</row>
    <row r="750" spans="1:54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</row>
    <row r="751" spans="1:54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</row>
    <row r="752" spans="1:54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</row>
    <row r="753" spans="1:54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</row>
    <row r="754" spans="1:54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</row>
    <row r="755" spans="1:54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</row>
    <row r="756" spans="1:54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</row>
    <row r="757" spans="1:54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</row>
    <row r="758" spans="1:54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</row>
    <row r="759" spans="1:54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</row>
    <row r="760" spans="1:54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</row>
    <row r="761" spans="1:54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</row>
    <row r="762" spans="1:54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</row>
    <row r="763" spans="1:54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</row>
    <row r="764" spans="1:54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</row>
    <row r="765" spans="1:54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</row>
    <row r="766" spans="1:54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</row>
    <row r="767" spans="1:54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</row>
    <row r="768" spans="1:54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</row>
    <row r="769" spans="1:54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</row>
    <row r="770" spans="1:54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</row>
    <row r="771" spans="1:54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</row>
    <row r="772" spans="1:54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</row>
    <row r="773" spans="1:54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</row>
    <row r="774" spans="1:54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</row>
    <row r="775" spans="1:54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</row>
    <row r="776" spans="1:54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</row>
    <row r="777" spans="1:54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</row>
    <row r="778" spans="1:54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</row>
    <row r="779" spans="1:54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</row>
    <row r="780" spans="1:54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</row>
    <row r="781" spans="1:54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</row>
    <row r="782" spans="1:54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</row>
    <row r="783" spans="1:54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</row>
    <row r="784" spans="1:54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</row>
    <row r="785" spans="1:54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</row>
    <row r="786" spans="1:54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</row>
    <row r="787" spans="1:54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</row>
    <row r="788" spans="1:54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</row>
    <row r="789" spans="1:54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</row>
    <row r="790" spans="1:54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</row>
    <row r="791" spans="1:54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</row>
    <row r="792" spans="1:54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</row>
    <row r="793" spans="1:54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</row>
    <row r="794" spans="1:54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</row>
    <row r="795" spans="1:54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</row>
    <row r="796" spans="1:54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</row>
    <row r="797" spans="1:54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</row>
    <row r="798" spans="1:54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</row>
    <row r="799" spans="1:54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</row>
    <row r="800" spans="1:54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</row>
    <row r="801" spans="1:54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</row>
    <row r="802" spans="1:54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</row>
    <row r="803" spans="1:54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</row>
    <row r="804" spans="1:54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</row>
    <row r="805" spans="1:54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</row>
    <row r="806" spans="1:54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</row>
    <row r="807" spans="1:54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</row>
    <row r="808" spans="1:54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</row>
    <row r="809" spans="1:54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</row>
    <row r="810" spans="1:54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</row>
    <row r="811" spans="1:54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</row>
    <row r="812" spans="1:54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</row>
    <row r="813" spans="1:54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</row>
    <row r="814" spans="1:54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</row>
    <row r="815" spans="1:54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</row>
    <row r="816" spans="1:54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</row>
    <row r="817" spans="1:54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</row>
    <row r="818" spans="1:54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</row>
    <row r="819" spans="1:54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</row>
    <row r="820" spans="1:54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</row>
    <row r="821" spans="1:54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</row>
    <row r="822" spans="1:54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</row>
    <row r="823" spans="1:54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</row>
    <row r="824" spans="1:54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</row>
    <row r="825" spans="1:54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</row>
    <row r="826" spans="1:54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</row>
    <row r="827" spans="1:54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</row>
    <row r="828" spans="1:54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</row>
    <row r="829" spans="1:54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</row>
    <row r="830" spans="1:54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</row>
    <row r="831" spans="1:54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</row>
    <row r="832" spans="1:54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</row>
    <row r="833" spans="1:54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</row>
    <row r="834" spans="1:54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</row>
    <row r="835" spans="1:54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</row>
    <row r="836" spans="1:54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</row>
    <row r="837" spans="1:54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</row>
    <row r="838" spans="1:54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</row>
    <row r="839" spans="1:54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</row>
    <row r="840" spans="1:54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</row>
    <row r="841" spans="1:54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</row>
    <row r="842" spans="1:54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</row>
    <row r="843" spans="1:54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</row>
    <row r="844" spans="1:54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</row>
    <row r="845" spans="1:54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</row>
    <row r="846" spans="1:54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</row>
    <row r="847" spans="1:54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</row>
    <row r="848" spans="1:54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</row>
    <row r="849" spans="1:54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</row>
    <row r="850" spans="1:54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</row>
    <row r="851" spans="1:54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</row>
    <row r="852" spans="1:54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</row>
    <row r="853" spans="1:54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</row>
    <row r="854" spans="1:54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</row>
    <row r="855" spans="1:54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</row>
    <row r="856" spans="1:54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</row>
    <row r="857" spans="1:54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</row>
    <row r="858" spans="1:54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</row>
    <row r="859" spans="1:54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</row>
    <row r="860" spans="1:54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</row>
    <row r="861" spans="1:54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</row>
    <row r="862" spans="1:54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</row>
    <row r="863" spans="1:54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</row>
    <row r="864" spans="1:54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</row>
    <row r="865" spans="1:54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</row>
    <row r="866" spans="1:54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</row>
    <row r="867" spans="1:54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</row>
    <row r="868" spans="1:54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</row>
    <row r="869" spans="1:54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</row>
    <row r="870" spans="1:54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</row>
    <row r="871" spans="1:54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</row>
    <row r="872" spans="1:54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</row>
    <row r="873" spans="1:54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</row>
    <row r="874" spans="1:54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</row>
    <row r="875" spans="1:54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</row>
    <row r="876" spans="1:54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</row>
    <row r="877" spans="1:54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</row>
    <row r="878" spans="1:54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</row>
    <row r="879" spans="1:54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</row>
    <row r="880" spans="1:54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</row>
    <row r="881" spans="1:54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</row>
    <row r="882" spans="1:54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</row>
    <row r="883" spans="1:54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</row>
    <row r="884" spans="1:54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</row>
    <row r="885" spans="1:54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</row>
    <row r="886" spans="1:54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</row>
    <row r="887" spans="1:54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</row>
    <row r="888" spans="1:54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</row>
    <row r="889" spans="1:54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</row>
    <row r="890" spans="1:54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</row>
    <row r="891" spans="1:54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</row>
    <row r="892" spans="1:54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</row>
    <row r="893" spans="1:54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</row>
    <row r="894" spans="1:54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</row>
    <row r="895" spans="1:54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</row>
    <row r="896" spans="1:54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</row>
    <row r="897" spans="1:54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</row>
    <row r="898" spans="1:54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</row>
    <row r="899" spans="1:54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</row>
    <row r="900" spans="1:54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</row>
    <row r="901" spans="1:54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</row>
    <row r="902" spans="1:54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</row>
    <row r="903" spans="1:54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</row>
    <row r="904" spans="1:54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</row>
    <row r="905" spans="1:54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</row>
    <row r="906" spans="1:54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</row>
    <row r="907" spans="1:54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</row>
    <row r="908" spans="1:54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</row>
    <row r="909" spans="1:54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</row>
    <row r="910" spans="1:54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</row>
    <row r="911" spans="1:54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</row>
    <row r="912" spans="1:54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</row>
    <row r="913" spans="1:54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</row>
    <row r="914" spans="1:54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</row>
    <row r="915" spans="1:54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</row>
    <row r="916" spans="1:54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</row>
    <row r="917" spans="1:54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</row>
    <row r="918" spans="1:54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</row>
    <row r="919" spans="1:54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</row>
    <row r="920" spans="1:54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</row>
    <row r="921" spans="1:54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</row>
    <row r="922" spans="1:54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</row>
    <row r="923" spans="1:54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</row>
    <row r="924" spans="1:54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</row>
    <row r="925" spans="1:54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</row>
    <row r="926" spans="1:54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</row>
    <row r="927" spans="1:54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</row>
    <row r="928" spans="1:54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</row>
    <row r="929" spans="1:54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</row>
    <row r="930" spans="1:54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</row>
    <row r="931" spans="1:54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</row>
    <row r="932" spans="1:54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</row>
    <row r="933" spans="1:54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</row>
    <row r="934" spans="1:54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</row>
    <row r="935" spans="1:54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</row>
    <row r="936" spans="1:54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</row>
    <row r="937" spans="1:54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</row>
    <row r="938" spans="1:54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</row>
    <row r="939" spans="1:54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</row>
    <row r="940" spans="1:54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</row>
    <row r="941" spans="1:54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</row>
    <row r="942" spans="1:54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</row>
    <row r="943" spans="1:54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</row>
    <row r="944" spans="1:54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</row>
    <row r="945" spans="1:54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</row>
    <row r="946" spans="1:54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</row>
    <row r="947" spans="1:54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</row>
    <row r="948" spans="1:54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</row>
    <row r="949" spans="1:54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</row>
    <row r="950" spans="1:54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</row>
    <row r="951" spans="1:54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</row>
    <row r="952" spans="1:54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</row>
    <row r="953" spans="1:54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</row>
    <row r="954" spans="1:54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</row>
    <row r="955" spans="1:54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</row>
    <row r="956" spans="1:54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</row>
    <row r="957" spans="1:54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</row>
    <row r="958" spans="1:54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</row>
    <row r="959" spans="1:54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</row>
    <row r="960" spans="1:54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</row>
    <row r="961" spans="1:54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</row>
    <row r="962" spans="1:54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</row>
    <row r="963" spans="1:54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</row>
    <row r="964" spans="1:54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</row>
    <row r="965" spans="1:54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</row>
    <row r="966" spans="1:54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</row>
    <row r="967" spans="1:54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</row>
    <row r="968" spans="1:54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</row>
    <row r="969" spans="1:54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</row>
    <row r="970" spans="1:54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</row>
    <row r="971" spans="1:54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</row>
    <row r="972" spans="1:54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</row>
    <row r="973" spans="1:54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</row>
    <row r="974" spans="1:54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</row>
    <row r="975" spans="1:54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</row>
    <row r="976" spans="1:54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</row>
    <row r="977" spans="1:54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</row>
    <row r="978" spans="1:54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</row>
    <row r="979" spans="1:54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</row>
    <row r="980" spans="1:54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</row>
    <row r="981" spans="1:54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</row>
    <row r="982" spans="1:54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</row>
    <row r="983" spans="1:54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</row>
    <row r="984" spans="1:54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</row>
    <row r="985" spans="1:54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</row>
    <row r="986" spans="1:54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</row>
    <row r="987" spans="1:54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</row>
    <row r="988" spans="1:54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</row>
    <row r="989" spans="1:54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</row>
    <row r="990" spans="1:54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</row>
    <row r="991" spans="1:54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</row>
    <row r="992" spans="1:54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</row>
    <row r="993" spans="1:54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</row>
    <row r="994" spans="1:54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</row>
    <row r="995" spans="1:54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</row>
    <row r="996" spans="1:54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</row>
    <row r="997" spans="1:54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</row>
    <row r="998" spans="1:54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</row>
    <row r="999" spans="1:54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</row>
    <row r="1000" spans="1:54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</row>
  </sheetData>
  <mergeCells count="7">
    <mergeCell ref="AP1:AW1"/>
    <mergeCell ref="AX1:BB1"/>
    <mergeCell ref="B1:I1"/>
    <mergeCell ref="J1:Q1"/>
    <mergeCell ref="R1:Y1"/>
    <mergeCell ref="Z1:AG1"/>
    <mergeCell ref="AH1:AO1"/>
  </mergeCells>
  <conditionalFormatting sqref="B3:AW302">
    <cfRule type="expression" dxfId="0" priority="1">
      <formula>AND(B$2="Solde fin",B3&lt;=0.01)</formula>
    </cfRule>
  </conditionalFormatting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Guide</vt:lpstr>
      <vt:lpstr>Synthèse</vt:lpstr>
      <vt:lpstr>Budget</vt:lpstr>
      <vt:lpstr>Crédits</vt:lpstr>
      <vt:lpstr>Suivi réel</vt:lpstr>
      <vt:lpstr>Plan</vt:lpstr>
      <vt:lpstr>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2026-09-27T14:01:56Z</dcterms:created>
  <dcterms:modified xsi:type="dcterms:W3CDTF">2026-09-27T14:01:56Z</dcterms:modified>
</cp:coreProperties>
</file>